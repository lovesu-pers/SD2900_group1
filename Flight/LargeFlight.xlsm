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8a0392809916d3d/Skola_Personlig/KTH/Flight Project/"/>
    </mc:Choice>
  </mc:AlternateContent>
  <xr:revisionPtr revIDLastSave="1497" documentId="8_{A3200A6C-0A8A-443A-B234-FD6E48768181}" xr6:coauthVersionLast="47" xr6:coauthVersionMax="47" xr10:uidLastSave="{2910405D-678B-4207-A582-2FFD91C8CD86}"/>
  <bookViews>
    <workbookView xWindow="-108" yWindow="-108" windowWidth="19416" windowHeight="10416" xr2:uid="{00000000-000D-0000-FFFF-FFFF00000000}"/>
  </bookViews>
  <sheets>
    <sheet name="Performance" sheetId="2" r:id="rId1"/>
    <sheet name="Constraints" sheetId="3" r:id="rId2"/>
    <sheet name="Velis Electr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2" l="1"/>
  <c r="M4" i="2"/>
  <c r="X14" i="2"/>
  <c r="N11" i="3"/>
  <c r="N10" i="3"/>
  <c r="N9" i="3"/>
  <c r="N8" i="3"/>
  <c r="E7" i="2"/>
  <c r="E22" i="2" s="1"/>
  <c r="E23" i="2" s="1"/>
  <c r="C54" i="3" s="1"/>
  <c r="C12" i="1"/>
  <c r="E4" i="3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29" i="2"/>
  <c r="N7" i="3" a="1"/>
  <c r="B22" i="3" l="1"/>
  <c r="B760" i="3"/>
  <c r="B724" i="3"/>
  <c r="B782" i="3"/>
  <c r="B764" i="3"/>
  <c r="B746" i="3"/>
  <c r="B734" i="3"/>
  <c r="B716" i="3"/>
  <c r="B698" i="3"/>
  <c r="B680" i="3"/>
  <c r="B655" i="3"/>
  <c r="B621" i="3"/>
  <c r="B567" i="3"/>
  <c r="B513" i="3"/>
  <c r="B457" i="3"/>
  <c r="B377" i="3"/>
  <c r="B269" i="3"/>
  <c r="B161" i="3"/>
  <c r="B41" i="3"/>
  <c r="C646" i="3"/>
  <c r="C402" i="3"/>
  <c r="B785" i="3"/>
  <c r="B779" i="3"/>
  <c r="B773" i="3"/>
  <c r="B767" i="3"/>
  <c r="B761" i="3"/>
  <c r="B755" i="3"/>
  <c r="B749" i="3"/>
  <c r="B743" i="3"/>
  <c r="B737" i="3"/>
  <c r="B731" i="3"/>
  <c r="B725" i="3"/>
  <c r="B719" i="3"/>
  <c r="B713" i="3"/>
  <c r="B707" i="3"/>
  <c r="B701" i="3"/>
  <c r="B695" i="3"/>
  <c r="B689" i="3"/>
  <c r="B683" i="3"/>
  <c r="B677" i="3"/>
  <c r="B671" i="3"/>
  <c r="B665" i="3"/>
  <c r="B658" i="3"/>
  <c r="B650" i="3"/>
  <c r="B639" i="3"/>
  <c r="B627" i="3"/>
  <c r="B613" i="3"/>
  <c r="B595" i="3"/>
  <c r="B577" i="3"/>
  <c r="B559" i="3"/>
  <c r="B541" i="3"/>
  <c r="B523" i="3"/>
  <c r="B505" i="3"/>
  <c r="B487" i="3"/>
  <c r="B469" i="3"/>
  <c r="B445" i="3"/>
  <c r="B419" i="3"/>
  <c r="B391" i="3"/>
  <c r="B360" i="3"/>
  <c r="B324" i="3"/>
  <c r="B288" i="3"/>
  <c r="B252" i="3"/>
  <c r="B216" i="3"/>
  <c r="B180" i="3"/>
  <c r="B144" i="3"/>
  <c r="B108" i="3"/>
  <c r="B71" i="3"/>
  <c r="C784" i="3"/>
  <c r="C730" i="3"/>
  <c r="C676" i="3"/>
  <c r="C622" i="3"/>
  <c r="C568" i="3"/>
  <c r="C497" i="3"/>
  <c r="C270" i="3"/>
  <c r="B784" i="3"/>
  <c r="B766" i="3"/>
  <c r="B748" i="3"/>
  <c r="B742" i="3"/>
  <c r="B718" i="3"/>
  <c r="B712" i="3"/>
  <c r="B706" i="3"/>
  <c r="B700" i="3"/>
  <c r="B694" i="3"/>
  <c r="B688" i="3"/>
  <c r="B682" i="3"/>
  <c r="B676" i="3"/>
  <c r="B670" i="3"/>
  <c r="B664" i="3"/>
  <c r="B657" i="3"/>
  <c r="B649" i="3"/>
  <c r="B638" i="3"/>
  <c r="B626" i="3"/>
  <c r="B609" i="3"/>
  <c r="B591" i="3"/>
  <c r="B573" i="3"/>
  <c r="B555" i="3"/>
  <c r="B537" i="3"/>
  <c r="B519" i="3"/>
  <c r="B501" i="3"/>
  <c r="B483" i="3"/>
  <c r="B465" i="3"/>
  <c r="B439" i="3"/>
  <c r="B413" i="3"/>
  <c r="B385" i="3"/>
  <c r="B353" i="3"/>
  <c r="B317" i="3"/>
  <c r="B281" i="3"/>
  <c r="B245" i="3"/>
  <c r="B209" i="3"/>
  <c r="B173" i="3"/>
  <c r="B137" i="3"/>
  <c r="B101" i="3"/>
  <c r="B59" i="3"/>
  <c r="C772" i="3"/>
  <c r="C718" i="3"/>
  <c r="C664" i="3"/>
  <c r="C610" i="3"/>
  <c r="C556" i="3"/>
  <c r="C473" i="3"/>
  <c r="C198" i="3"/>
  <c r="B789" i="3"/>
  <c r="B783" i="3"/>
  <c r="B777" i="3"/>
  <c r="B771" i="3"/>
  <c r="B765" i="3"/>
  <c r="B759" i="3"/>
  <c r="B753" i="3"/>
  <c r="B747" i="3"/>
  <c r="B741" i="3"/>
  <c r="B735" i="3"/>
  <c r="B729" i="3"/>
  <c r="B723" i="3"/>
  <c r="B717" i="3"/>
  <c r="B711" i="3"/>
  <c r="B705" i="3"/>
  <c r="B699" i="3"/>
  <c r="B693" i="3"/>
  <c r="B687" i="3"/>
  <c r="B681" i="3"/>
  <c r="B675" i="3"/>
  <c r="B669" i="3"/>
  <c r="B663" i="3"/>
  <c r="B656" i="3"/>
  <c r="B646" i="3"/>
  <c r="B637" i="3"/>
  <c r="B625" i="3"/>
  <c r="B607" i="3"/>
  <c r="B589" i="3"/>
  <c r="B571" i="3"/>
  <c r="B553" i="3"/>
  <c r="B535" i="3"/>
  <c r="B517" i="3"/>
  <c r="B499" i="3"/>
  <c r="B481" i="3"/>
  <c r="B463" i="3"/>
  <c r="B437" i="3"/>
  <c r="B409" i="3"/>
  <c r="B383" i="3"/>
  <c r="B348" i="3"/>
  <c r="B312" i="3"/>
  <c r="B276" i="3"/>
  <c r="B240" i="3"/>
  <c r="B204" i="3"/>
  <c r="B168" i="3"/>
  <c r="B132" i="3"/>
  <c r="B96" i="3"/>
  <c r="B53" i="3"/>
  <c r="C766" i="3"/>
  <c r="C712" i="3"/>
  <c r="C658" i="3"/>
  <c r="C604" i="3"/>
  <c r="C550" i="3"/>
  <c r="C450" i="3"/>
  <c r="C162" i="3"/>
  <c r="B778" i="3"/>
  <c r="B754" i="3"/>
  <c r="B730" i="3"/>
  <c r="B788" i="3"/>
  <c r="B770" i="3"/>
  <c r="B758" i="3"/>
  <c r="B740" i="3"/>
  <c r="B722" i="3"/>
  <c r="B704" i="3"/>
  <c r="B686" i="3"/>
  <c r="B668" i="3"/>
  <c r="B645" i="3"/>
  <c r="B603" i="3"/>
  <c r="B549" i="3"/>
  <c r="B495" i="3"/>
  <c r="B431" i="3"/>
  <c r="B341" i="3"/>
  <c r="B233" i="3"/>
  <c r="B125" i="3"/>
  <c r="C700" i="3"/>
  <c r="C90" i="3"/>
  <c r="B787" i="3"/>
  <c r="B781" i="3"/>
  <c r="B775" i="3"/>
  <c r="B769" i="3"/>
  <c r="B763" i="3"/>
  <c r="B757" i="3"/>
  <c r="B751" i="3"/>
  <c r="B745" i="3"/>
  <c r="B739" i="3"/>
  <c r="B733" i="3"/>
  <c r="B727" i="3"/>
  <c r="B721" i="3"/>
  <c r="B715" i="3"/>
  <c r="B709" i="3"/>
  <c r="B703" i="3"/>
  <c r="B697" i="3"/>
  <c r="B691" i="3"/>
  <c r="B685" i="3"/>
  <c r="B679" i="3"/>
  <c r="B673" i="3"/>
  <c r="B667" i="3"/>
  <c r="B661" i="3"/>
  <c r="B652" i="3"/>
  <c r="B644" i="3"/>
  <c r="B632" i="3"/>
  <c r="B619" i="3"/>
  <c r="B601" i="3"/>
  <c r="B583" i="3"/>
  <c r="B565" i="3"/>
  <c r="B547" i="3"/>
  <c r="B529" i="3"/>
  <c r="B511" i="3"/>
  <c r="B493" i="3"/>
  <c r="B475" i="3"/>
  <c r="B455" i="3"/>
  <c r="B427" i="3"/>
  <c r="B401" i="3"/>
  <c r="B372" i="3"/>
  <c r="B336" i="3"/>
  <c r="B300" i="3"/>
  <c r="B264" i="3"/>
  <c r="B228" i="3"/>
  <c r="B192" i="3"/>
  <c r="B156" i="3"/>
  <c r="B120" i="3"/>
  <c r="B84" i="3"/>
  <c r="B35" i="3"/>
  <c r="C748" i="3"/>
  <c r="C694" i="3"/>
  <c r="C640" i="3"/>
  <c r="C586" i="3"/>
  <c r="C532" i="3"/>
  <c r="C378" i="3"/>
  <c r="C27" i="3"/>
  <c r="C33" i="3"/>
  <c r="C39" i="3"/>
  <c r="C45" i="3"/>
  <c r="C51" i="3"/>
  <c r="C57" i="3"/>
  <c r="C63" i="3"/>
  <c r="C69" i="3"/>
  <c r="C75" i="3"/>
  <c r="C81" i="3"/>
  <c r="C87" i="3"/>
  <c r="C93" i="3"/>
  <c r="C99" i="3"/>
  <c r="C105" i="3"/>
  <c r="C111" i="3"/>
  <c r="C117" i="3"/>
  <c r="C123" i="3"/>
  <c r="C129" i="3"/>
  <c r="C135" i="3"/>
  <c r="C141" i="3"/>
  <c r="C147" i="3"/>
  <c r="C153" i="3"/>
  <c r="C159" i="3"/>
  <c r="C165" i="3"/>
  <c r="C171" i="3"/>
  <c r="C177" i="3"/>
  <c r="C183" i="3"/>
  <c r="C189" i="3"/>
  <c r="C195" i="3"/>
  <c r="C201" i="3"/>
  <c r="C207" i="3"/>
  <c r="C213" i="3"/>
  <c r="C219" i="3"/>
  <c r="C225" i="3"/>
  <c r="C231" i="3"/>
  <c r="C237" i="3"/>
  <c r="C243" i="3"/>
  <c r="C249" i="3"/>
  <c r="C255" i="3"/>
  <c r="C261" i="3"/>
  <c r="C267" i="3"/>
  <c r="C273" i="3"/>
  <c r="C279" i="3"/>
  <c r="C285" i="3"/>
  <c r="C291" i="3"/>
  <c r="C297" i="3"/>
  <c r="C303" i="3"/>
  <c r="C309" i="3"/>
  <c r="C315" i="3"/>
  <c r="C321" i="3"/>
  <c r="C327" i="3"/>
  <c r="C333" i="3"/>
  <c r="C339" i="3"/>
  <c r="C345" i="3"/>
  <c r="C351" i="3"/>
  <c r="C357" i="3"/>
  <c r="C363" i="3"/>
  <c r="C369" i="3"/>
  <c r="C375" i="3"/>
  <c r="C381" i="3"/>
  <c r="C387" i="3"/>
  <c r="C393" i="3"/>
  <c r="C399" i="3"/>
  <c r="C405" i="3"/>
  <c r="C411" i="3"/>
  <c r="C417" i="3"/>
  <c r="C423" i="3"/>
  <c r="C429" i="3"/>
  <c r="C435" i="3"/>
  <c r="C441" i="3"/>
  <c r="C447" i="3"/>
  <c r="C453" i="3"/>
  <c r="C459" i="3"/>
  <c r="C465" i="3"/>
  <c r="C471" i="3"/>
  <c r="C477" i="3"/>
  <c r="C483" i="3"/>
  <c r="C489" i="3"/>
  <c r="C495" i="3"/>
  <c r="C501" i="3"/>
  <c r="C507" i="3"/>
  <c r="C513" i="3"/>
  <c r="C519" i="3"/>
  <c r="C525" i="3"/>
  <c r="C531" i="3"/>
  <c r="C22" i="3"/>
  <c r="C28" i="3"/>
  <c r="C34" i="3"/>
  <c r="C40" i="3"/>
  <c r="C46" i="3"/>
  <c r="C52" i="3"/>
  <c r="C58" i="3"/>
  <c r="C64" i="3"/>
  <c r="C70" i="3"/>
  <c r="C76" i="3"/>
  <c r="C82" i="3"/>
  <c r="C88" i="3"/>
  <c r="C94" i="3"/>
  <c r="C100" i="3"/>
  <c r="C106" i="3"/>
  <c r="C112" i="3"/>
  <c r="C118" i="3"/>
  <c r="C124" i="3"/>
  <c r="C130" i="3"/>
  <c r="C136" i="3"/>
  <c r="C142" i="3"/>
  <c r="C148" i="3"/>
  <c r="C154" i="3"/>
  <c r="C160" i="3"/>
  <c r="C166" i="3"/>
  <c r="C172" i="3"/>
  <c r="C178" i="3"/>
  <c r="C184" i="3"/>
  <c r="C190" i="3"/>
  <c r="C196" i="3"/>
  <c r="C202" i="3"/>
  <c r="C208" i="3"/>
  <c r="C214" i="3"/>
  <c r="C220" i="3"/>
  <c r="C226" i="3"/>
  <c r="C232" i="3"/>
  <c r="C238" i="3"/>
  <c r="C244" i="3"/>
  <c r="C250" i="3"/>
  <c r="C256" i="3"/>
  <c r="C262" i="3"/>
  <c r="C268" i="3"/>
  <c r="C274" i="3"/>
  <c r="C280" i="3"/>
  <c r="C286" i="3"/>
  <c r="C292" i="3"/>
  <c r="C298" i="3"/>
  <c r="C304" i="3"/>
  <c r="C310" i="3"/>
  <c r="C316" i="3"/>
  <c r="C322" i="3"/>
  <c r="C328" i="3"/>
  <c r="C334" i="3"/>
  <c r="C340" i="3"/>
  <c r="C346" i="3"/>
  <c r="C352" i="3"/>
  <c r="C358" i="3"/>
  <c r="C364" i="3"/>
  <c r="C370" i="3"/>
  <c r="C376" i="3"/>
  <c r="C382" i="3"/>
  <c r="C388" i="3"/>
  <c r="C394" i="3"/>
  <c r="C400" i="3"/>
  <c r="C406" i="3"/>
  <c r="C412" i="3"/>
  <c r="C418" i="3"/>
  <c r="C424" i="3"/>
  <c r="C430" i="3"/>
  <c r="C436" i="3"/>
  <c r="C442" i="3"/>
  <c r="C448" i="3"/>
  <c r="C454" i="3"/>
  <c r="C460" i="3"/>
  <c r="C466" i="3"/>
  <c r="C472" i="3"/>
  <c r="C478" i="3"/>
  <c r="C484" i="3"/>
  <c r="C490" i="3"/>
  <c r="C496" i="3"/>
  <c r="C502" i="3"/>
  <c r="C508" i="3"/>
  <c r="C514" i="3"/>
  <c r="C520" i="3"/>
  <c r="C526" i="3"/>
  <c r="C23" i="3"/>
  <c r="C29" i="3"/>
  <c r="C35" i="3"/>
  <c r="C41" i="3"/>
  <c r="C47" i="3"/>
  <c r="C53" i="3"/>
  <c r="C59" i="3"/>
  <c r="C65" i="3"/>
  <c r="C71" i="3"/>
  <c r="C77" i="3"/>
  <c r="C83" i="3"/>
  <c r="C89" i="3"/>
  <c r="C95" i="3"/>
  <c r="C101" i="3"/>
  <c r="C107" i="3"/>
  <c r="C113" i="3"/>
  <c r="C119" i="3"/>
  <c r="C125" i="3"/>
  <c r="C131" i="3"/>
  <c r="C137" i="3"/>
  <c r="C143" i="3"/>
  <c r="C149" i="3"/>
  <c r="C155" i="3"/>
  <c r="C161" i="3"/>
  <c r="C167" i="3"/>
  <c r="C173" i="3"/>
  <c r="C179" i="3"/>
  <c r="C185" i="3"/>
  <c r="C191" i="3"/>
  <c r="C197" i="3"/>
  <c r="C203" i="3"/>
  <c r="C209" i="3"/>
  <c r="C215" i="3"/>
  <c r="C221" i="3"/>
  <c r="C227" i="3"/>
  <c r="C233" i="3"/>
  <c r="C239" i="3"/>
  <c r="C245" i="3"/>
  <c r="C251" i="3"/>
  <c r="C257" i="3"/>
  <c r="C263" i="3"/>
  <c r="C269" i="3"/>
  <c r="C275" i="3"/>
  <c r="C281" i="3"/>
  <c r="C287" i="3"/>
  <c r="C293" i="3"/>
  <c r="C299" i="3"/>
  <c r="C305" i="3"/>
  <c r="C311" i="3"/>
  <c r="C317" i="3"/>
  <c r="C323" i="3"/>
  <c r="C329" i="3"/>
  <c r="C335" i="3"/>
  <c r="C341" i="3"/>
  <c r="C347" i="3"/>
  <c r="C353" i="3"/>
  <c r="C359" i="3"/>
  <c r="C365" i="3"/>
  <c r="C371" i="3"/>
  <c r="C377" i="3"/>
  <c r="C24" i="3"/>
  <c r="C26" i="3"/>
  <c r="C32" i="3"/>
  <c r="C38" i="3"/>
  <c r="C44" i="3"/>
  <c r="C50" i="3"/>
  <c r="C56" i="3"/>
  <c r="C62" i="3"/>
  <c r="C68" i="3"/>
  <c r="C74" i="3"/>
  <c r="C80" i="3"/>
  <c r="C86" i="3"/>
  <c r="C92" i="3"/>
  <c r="C98" i="3"/>
  <c r="C104" i="3"/>
  <c r="C110" i="3"/>
  <c r="C116" i="3"/>
  <c r="C122" i="3"/>
  <c r="C128" i="3"/>
  <c r="C134" i="3"/>
  <c r="C140" i="3"/>
  <c r="C146" i="3"/>
  <c r="C152" i="3"/>
  <c r="C158" i="3"/>
  <c r="C164" i="3"/>
  <c r="C170" i="3"/>
  <c r="C176" i="3"/>
  <c r="C182" i="3"/>
  <c r="C188" i="3"/>
  <c r="C194" i="3"/>
  <c r="C200" i="3"/>
  <c r="C206" i="3"/>
  <c r="C212" i="3"/>
  <c r="C218" i="3"/>
  <c r="C224" i="3"/>
  <c r="C230" i="3"/>
  <c r="C236" i="3"/>
  <c r="C242" i="3"/>
  <c r="C248" i="3"/>
  <c r="C254" i="3"/>
  <c r="C260" i="3"/>
  <c r="C266" i="3"/>
  <c r="C272" i="3"/>
  <c r="C278" i="3"/>
  <c r="C284" i="3"/>
  <c r="C290" i="3"/>
  <c r="C296" i="3"/>
  <c r="C302" i="3"/>
  <c r="C308" i="3"/>
  <c r="C314" i="3"/>
  <c r="C320" i="3"/>
  <c r="C326" i="3"/>
  <c r="C332" i="3"/>
  <c r="C338" i="3"/>
  <c r="C344" i="3"/>
  <c r="C350" i="3"/>
  <c r="C356" i="3"/>
  <c r="C362" i="3"/>
  <c r="C368" i="3"/>
  <c r="C374" i="3"/>
  <c r="C380" i="3"/>
  <c r="C386" i="3"/>
  <c r="C392" i="3"/>
  <c r="C398" i="3"/>
  <c r="C404" i="3"/>
  <c r="C410" i="3"/>
  <c r="C416" i="3"/>
  <c r="C422" i="3"/>
  <c r="C428" i="3"/>
  <c r="C434" i="3"/>
  <c r="C440" i="3"/>
  <c r="C446" i="3"/>
  <c r="C452" i="3"/>
  <c r="C458" i="3"/>
  <c r="C464" i="3"/>
  <c r="C470" i="3"/>
  <c r="C476" i="3"/>
  <c r="C482" i="3"/>
  <c r="C488" i="3"/>
  <c r="C494" i="3"/>
  <c r="C500" i="3"/>
  <c r="C506" i="3"/>
  <c r="C512" i="3"/>
  <c r="C518" i="3"/>
  <c r="C524" i="3"/>
  <c r="C530" i="3"/>
  <c r="C42" i="3"/>
  <c r="C60" i="3"/>
  <c r="C78" i="3"/>
  <c r="C96" i="3"/>
  <c r="C114" i="3"/>
  <c r="C132" i="3"/>
  <c r="C150" i="3"/>
  <c r="C168" i="3"/>
  <c r="C186" i="3"/>
  <c r="C204" i="3"/>
  <c r="C222" i="3"/>
  <c r="C240" i="3"/>
  <c r="C258" i="3"/>
  <c r="C276" i="3"/>
  <c r="C294" i="3"/>
  <c r="C312" i="3"/>
  <c r="C330" i="3"/>
  <c r="C348" i="3"/>
  <c r="C366" i="3"/>
  <c r="C383" i="3"/>
  <c r="C395" i="3"/>
  <c r="C407" i="3"/>
  <c r="C419" i="3"/>
  <c r="C431" i="3"/>
  <c r="C443" i="3"/>
  <c r="C455" i="3"/>
  <c r="C467" i="3"/>
  <c r="C479" i="3"/>
  <c r="C491" i="3"/>
  <c r="C503" i="3"/>
  <c r="C515" i="3"/>
  <c r="C527" i="3"/>
  <c r="C535" i="3"/>
  <c r="C541" i="3"/>
  <c r="C547" i="3"/>
  <c r="C553" i="3"/>
  <c r="C559" i="3"/>
  <c r="C565" i="3"/>
  <c r="C571" i="3"/>
  <c r="C577" i="3"/>
  <c r="C583" i="3"/>
  <c r="C589" i="3"/>
  <c r="C595" i="3"/>
  <c r="C601" i="3"/>
  <c r="C607" i="3"/>
  <c r="C613" i="3"/>
  <c r="C619" i="3"/>
  <c r="C625" i="3"/>
  <c r="C631" i="3"/>
  <c r="C637" i="3"/>
  <c r="C643" i="3"/>
  <c r="C649" i="3"/>
  <c r="C655" i="3"/>
  <c r="C661" i="3"/>
  <c r="C667" i="3"/>
  <c r="C673" i="3"/>
  <c r="C679" i="3"/>
  <c r="C685" i="3"/>
  <c r="C691" i="3"/>
  <c r="C697" i="3"/>
  <c r="C703" i="3"/>
  <c r="C709" i="3"/>
  <c r="C715" i="3"/>
  <c r="C721" i="3"/>
  <c r="C727" i="3"/>
  <c r="C733" i="3"/>
  <c r="C739" i="3"/>
  <c r="C745" i="3"/>
  <c r="C751" i="3"/>
  <c r="C757" i="3"/>
  <c r="C763" i="3"/>
  <c r="C769" i="3"/>
  <c r="C775" i="3"/>
  <c r="C781" i="3"/>
  <c r="C787" i="3"/>
  <c r="B26" i="3"/>
  <c r="B32" i="3"/>
  <c r="B38" i="3"/>
  <c r="B44" i="3"/>
  <c r="B50" i="3"/>
  <c r="B56" i="3"/>
  <c r="B62" i="3"/>
  <c r="B68" i="3"/>
  <c r="B74" i="3"/>
  <c r="B80" i="3"/>
  <c r="B86" i="3"/>
  <c r="B92" i="3"/>
  <c r="B98" i="3"/>
  <c r="B104" i="3"/>
  <c r="B110" i="3"/>
  <c r="B116" i="3"/>
  <c r="B122" i="3"/>
  <c r="B128" i="3"/>
  <c r="B134" i="3"/>
  <c r="B140" i="3"/>
  <c r="B146" i="3"/>
  <c r="B152" i="3"/>
  <c r="B158" i="3"/>
  <c r="B164" i="3"/>
  <c r="B170" i="3"/>
  <c r="B176" i="3"/>
  <c r="B182" i="3"/>
  <c r="B188" i="3"/>
  <c r="B194" i="3"/>
  <c r="B200" i="3"/>
  <c r="B206" i="3"/>
  <c r="B212" i="3"/>
  <c r="B218" i="3"/>
  <c r="B224" i="3"/>
  <c r="B230" i="3"/>
  <c r="B236" i="3"/>
  <c r="B242" i="3"/>
  <c r="B248" i="3"/>
  <c r="B254" i="3"/>
  <c r="B260" i="3"/>
  <c r="B266" i="3"/>
  <c r="B272" i="3"/>
  <c r="B278" i="3"/>
  <c r="B284" i="3"/>
  <c r="B290" i="3"/>
  <c r="B296" i="3"/>
  <c r="B302" i="3"/>
  <c r="B308" i="3"/>
  <c r="B314" i="3"/>
  <c r="B320" i="3"/>
  <c r="B326" i="3"/>
  <c r="B332" i="3"/>
  <c r="B338" i="3"/>
  <c r="B344" i="3"/>
  <c r="B350" i="3"/>
  <c r="B356" i="3"/>
  <c r="B362" i="3"/>
  <c r="B368" i="3"/>
  <c r="B374" i="3"/>
  <c r="B380" i="3"/>
  <c r="B386" i="3"/>
  <c r="B392" i="3"/>
  <c r="B398" i="3"/>
  <c r="B404" i="3"/>
  <c r="B410" i="3"/>
  <c r="B416" i="3"/>
  <c r="B422" i="3"/>
  <c r="B428" i="3"/>
  <c r="B434" i="3"/>
  <c r="B440" i="3"/>
  <c r="B446" i="3"/>
  <c r="B452" i="3"/>
  <c r="B458" i="3"/>
  <c r="C25" i="3"/>
  <c r="C43" i="3"/>
  <c r="C61" i="3"/>
  <c r="C79" i="3"/>
  <c r="C97" i="3"/>
  <c r="C115" i="3"/>
  <c r="C133" i="3"/>
  <c r="C151" i="3"/>
  <c r="C169" i="3"/>
  <c r="C187" i="3"/>
  <c r="C205" i="3"/>
  <c r="C223" i="3"/>
  <c r="C241" i="3"/>
  <c r="C259" i="3"/>
  <c r="C277" i="3"/>
  <c r="C295" i="3"/>
  <c r="C313" i="3"/>
  <c r="C331" i="3"/>
  <c r="C349" i="3"/>
  <c r="C367" i="3"/>
  <c r="C384" i="3"/>
  <c r="C396" i="3"/>
  <c r="C408" i="3"/>
  <c r="C420" i="3"/>
  <c r="C432" i="3"/>
  <c r="C444" i="3"/>
  <c r="C456" i="3"/>
  <c r="C468" i="3"/>
  <c r="C480" i="3"/>
  <c r="C492" i="3"/>
  <c r="C504" i="3"/>
  <c r="C516" i="3"/>
  <c r="C528" i="3"/>
  <c r="C536" i="3"/>
  <c r="C542" i="3"/>
  <c r="C548" i="3"/>
  <c r="C554" i="3"/>
  <c r="C560" i="3"/>
  <c r="C566" i="3"/>
  <c r="C572" i="3"/>
  <c r="C578" i="3"/>
  <c r="C584" i="3"/>
  <c r="C590" i="3"/>
  <c r="C596" i="3"/>
  <c r="C602" i="3"/>
  <c r="C608" i="3"/>
  <c r="C614" i="3"/>
  <c r="C620" i="3"/>
  <c r="C626" i="3"/>
  <c r="C632" i="3"/>
  <c r="C638" i="3"/>
  <c r="C644" i="3"/>
  <c r="C650" i="3"/>
  <c r="C656" i="3"/>
  <c r="C662" i="3"/>
  <c r="C668" i="3"/>
  <c r="C674" i="3"/>
  <c r="C680" i="3"/>
  <c r="C686" i="3"/>
  <c r="C692" i="3"/>
  <c r="C698" i="3"/>
  <c r="C704" i="3"/>
  <c r="C710" i="3"/>
  <c r="C716" i="3"/>
  <c r="C722" i="3"/>
  <c r="C728" i="3"/>
  <c r="C734" i="3"/>
  <c r="C740" i="3"/>
  <c r="C746" i="3"/>
  <c r="C752" i="3"/>
  <c r="C758" i="3"/>
  <c r="C764" i="3"/>
  <c r="C770" i="3"/>
  <c r="C776" i="3"/>
  <c r="C782" i="3"/>
  <c r="C788" i="3"/>
  <c r="B27" i="3"/>
  <c r="B33" i="3"/>
  <c r="B39" i="3"/>
  <c r="B45" i="3"/>
  <c r="B51" i="3"/>
  <c r="B57" i="3"/>
  <c r="B63" i="3"/>
  <c r="B69" i="3"/>
  <c r="B75" i="3"/>
  <c r="B81" i="3"/>
  <c r="B87" i="3"/>
  <c r="B93" i="3"/>
  <c r="B99" i="3"/>
  <c r="B105" i="3"/>
  <c r="B111" i="3"/>
  <c r="B117" i="3"/>
  <c r="B123" i="3"/>
  <c r="B129" i="3"/>
  <c r="B135" i="3"/>
  <c r="B141" i="3"/>
  <c r="B147" i="3"/>
  <c r="B153" i="3"/>
  <c r="B159" i="3"/>
  <c r="B165" i="3"/>
  <c r="B171" i="3"/>
  <c r="B177" i="3"/>
  <c r="B183" i="3"/>
  <c r="B189" i="3"/>
  <c r="B195" i="3"/>
  <c r="B201" i="3"/>
  <c r="B207" i="3"/>
  <c r="B213" i="3"/>
  <c r="B219" i="3"/>
  <c r="B225" i="3"/>
  <c r="B231" i="3"/>
  <c r="B237" i="3"/>
  <c r="B243" i="3"/>
  <c r="B249" i="3"/>
  <c r="B255" i="3"/>
  <c r="B261" i="3"/>
  <c r="B267" i="3"/>
  <c r="B273" i="3"/>
  <c r="B279" i="3"/>
  <c r="B285" i="3"/>
  <c r="B291" i="3"/>
  <c r="B297" i="3"/>
  <c r="B303" i="3"/>
  <c r="B309" i="3"/>
  <c r="B315" i="3"/>
  <c r="B321" i="3"/>
  <c r="B327" i="3"/>
  <c r="B333" i="3"/>
  <c r="B339" i="3"/>
  <c r="B345" i="3"/>
  <c r="B351" i="3"/>
  <c r="B357" i="3"/>
  <c r="B363" i="3"/>
  <c r="B369" i="3"/>
  <c r="B375" i="3"/>
  <c r="B381" i="3"/>
  <c r="B387" i="3"/>
  <c r="B393" i="3"/>
  <c r="B399" i="3"/>
  <c r="B405" i="3"/>
  <c r="B411" i="3"/>
  <c r="B417" i="3"/>
  <c r="B423" i="3"/>
  <c r="B429" i="3"/>
  <c r="B435" i="3"/>
  <c r="B441" i="3"/>
  <c r="B447" i="3"/>
  <c r="B453" i="3"/>
  <c r="B459" i="3"/>
  <c r="C30" i="3"/>
  <c r="C48" i="3"/>
  <c r="C66" i="3"/>
  <c r="C84" i="3"/>
  <c r="C102" i="3"/>
  <c r="C120" i="3"/>
  <c r="C138" i="3"/>
  <c r="C156" i="3"/>
  <c r="C174" i="3"/>
  <c r="C192" i="3"/>
  <c r="C210" i="3"/>
  <c r="C228" i="3"/>
  <c r="C246" i="3"/>
  <c r="C264" i="3"/>
  <c r="C282" i="3"/>
  <c r="C300" i="3"/>
  <c r="C318" i="3"/>
  <c r="C336" i="3"/>
  <c r="C354" i="3"/>
  <c r="C372" i="3"/>
  <c r="C385" i="3"/>
  <c r="C397" i="3"/>
  <c r="C409" i="3"/>
  <c r="C421" i="3"/>
  <c r="C433" i="3"/>
  <c r="C445" i="3"/>
  <c r="C457" i="3"/>
  <c r="C469" i="3"/>
  <c r="C481" i="3"/>
  <c r="C493" i="3"/>
  <c r="C505" i="3"/>
  <c r="C517" i="3"/>
  <c r="C529" i="3"/>
  <c r="C537" i="3"/>
  <c r="C543" i="3"/>
  <c r="C549" i="3"/>
  <c r="C555" i="3"/>
  <c r="C561" i="3"/>
  <c r="C567" i="3"/>
  <c r="C573" i="3"/>
  <c r="C579" i="3"/>
  <c r="C585" i="3"/>
  <c r="C591" i="3"/>
  <c r="C597" i="3"/>
  <c r="C603" i="3"/>
  <c r="C609" i="3"/>
  <c r="C615" i="3"/>
  <c r="C621" i="3"/>
  <c r="C627" i="3"/>
  <c r="C633" i="3"/>
  <c r="C639" i="3"/>
  <c r="C645" i="3"/>
  <c r="C651" i="3"/>
  <c r="C657" i="3"/>
  <c r="C663" i="3"/>
  <c r="C669" i="3"/>
  <c r="C675" i="3"/>
  <c r="C681" i="3"/>
  <c r="C687" i="3"/>
  <c r="C693" i="3"/>
  <c r="C699" i="3"/>
  <c r="C705" i="3"/>
  <c r="C711" i="3"/>
  <c r="C717" i="3"/>
  <c r="C723" i="3"/>
  <c r="C729" i="3"/>
  <c r="C735" i="3"/>
  <c r="C741" i="3"/>
  <c r="C747" i="3"/>
  <c r="C753" i="3"/>
  <c r="C759" i="3"/>
  <c r="C765" i="3"/>
  <c r="C771" i="3"/>
  <c r="C777" i="3"/>
  <c r="C783" i="3"/>
  <c r="C789" i="3"/>
  <c r="B28" i="3"/>
  <c r="B34" i="3"/>
  <c r="B40" i="3"/>
  <c r="B46" i="3"/>
  <c r="B52" i="3"/>
  <c r="B58" i="3"/>
  <c r="B64" i="3"/>
  <c r="B70" i="3"/>
  <c r="B76" i="3"/>
  <c r="C31" i="3"/>
  <c r="C49" i="3"/>
  <c r="C67" i="3"/>
  <c r="C85" i="3"/>
  <c r="C103" i="3"/>
  <c r="C121" i="3"/>
  <c r="C139" i="3"/>
  <c r="C157" i="3"/>
  <c r="C175" i="3"/>
  <c r="C193" i="3"/>
  <c r="C211" i="3"/>
  <c r="C229" i="3"/>
  <c r="C247" i="3"/>
  <c r="C265" i="3"/>
  <c r="C283" i="3"/>
  <c r="C301" i="3"/>
  <c r="C319" i="3"/>
  <c r="C337" i="3"/>
  <c r="C355" i="3"/>
  <c r="C373" i="3"/>
  <c r="C389" i="3"/>
  <c r="C401" i="3"/>
  <c r="C413" i="3"/>
  <c r="C425" i="3"/>
  <c r="C437" i="3"/>
  <c r="C449" i="3"/>
  <c r="C461" i="3"/>
  <c r="C37" i="3"/>
  <c r="C55" i="3"/>
  <c r="C73" i="3"/>
  <c r="C91" i="3"/>
  <c r="C109" i="3"/>
  <c r="C127" i="3"/>
  <c r="C145" i="3"/>
  <c r="C163" i="3"/>
  <c r="C181" i="3"/>
  <c r="C199" i="3"/>
  <c r="C217" i="3"/>
  <c r="C235" i="3"/>
  <c r="C253" i="3"/>
  <c r="C271" i="3"/>
  <c r="C289" i="3"/>
  <c r="C307" i="3"/>
  <c r="C325" i="3"/>
  <c r="C343" i="3"/>
  <c r="C361" i="3"/>
  <c r="C379" i="3"/>
  <c r="C391" i="3"/>
  <c r="C403" i="3"/>
  <c r="C415" i="3"/>
  <c r="C427" i="3"/>
  <c r="C439" i="3"/>
  <c r="C451" i="3"/>
  <c r="C463" i="3"/>
  <c r="C475" i="3"/>
  <c r="C487" i="3"/>
  <c r="C499" i="3"/>
  <c r="C511" i="3"/>
  <c r="C523" i="3"/>
  <c r="C534" i="3"/>
  <c r="C540" i="3"/>
  <c r="C546" i="3"/>
  <c r="C552" i="3"/>
  <c r="C558" i="3"/>
  <c r="C564" i="3"/>
  <c r="C570" i="3"/>
  <c r="C576" i="3"/>
  <c r="C582" i="3"/>
  <c r="C588" i="3"/>
  <c r="C594" i="3"/>
  <c r="C600" i="3"/>
  <c r="C606" i="3"/>
  <c r="C612" i="3"/>
  <c r="C618" i="3"/>
  <c r="C624" i="3"/>
  <c r="C630" i="3"/>
  <c r="C636" i="3"/>
  <c r="C642" i="3"/>
  <c r="C648" i="3"/>
  <c r="C654" i="3"/>
  <c r="C660" i="3"/>
  <c r="C666" i="3"/>
  <c r="C672" i="3"/>
  <c r="C678" i="3"/>
  <c r="C684" i="3"/>
  <c r="C690" i="3"/>
  <c r="C696" i="3"/>
  <c r="C702" i="3"/>
  <c r="C708" i="3"/>
  <c r="C714" i="3"/>
  <c r="C720" i="3"/>
  <c r="C726" i="3"/>
  <c r="C732" i="3"/>
  <c r="C738" i="3"/>
  <c r="C744" i="3"/>
  <c r="C750" i="3"/>
  <c r="C756" i="3"/>
  <c r="C762" i="3"/>
  <c r="C768" i="3"/>
  <c r="C774" i="3"/>
  <c r="C780" i="3"/>
  <c r="C786" i="3"/>
  <c r="B25" i="3"/>
  <c r="B31" i="3"/>
  <c r="B37" i="3"/>
  <c r="B43" i="3"/>
  <c r="B49" i="3"/>
  <c r="B55" i="3"/>
  <c r="B61" i="3"/>
  <c r="B67" i="3"/>
  <c r="B73" i="3"/>
  <c r="B79" i="3"/>
  <c r="B85" i="3"/>
  <c r="B91" i="3"/>
  <c r="B97" i="3"/>
  <c r="B103" i="3"/>
  <c r="B109" i="3"/>
  <c r="B115" i="3"/>
  <c r="B121" i="3"/>
  <c r="B127" i="3"/>
  <c r="B133" i="3"/>
  <c r="B139" i="3"/>
  <c r="B145" i="3"/>
  <c r="B151" i="3"/>
  <c r="B157" i="3"/>
  <c r="B163" i="3"/>
  <c r="B169" i="3"/>
  <c r="B175" i="3"/>
  <c r="B181" i="3"/>
  <c r="B187" i="3"/>
  <c r="B193" i="3"/>
  <c r="B199" i="3"/>
  <c r="B205" i="3"/>
  <c r="B211" i="3"/>
  <c r="B217" i="3"/>
  <c r="B223" i="3"/>
  <c r="B229" i="3"/>
  <c r="B235" i="3"/>
  <c r="B241" i="3"/>
  <c r="B247" i="3"/>
  <c r="B253" i="3"/>
  <c r="B259" i="3"/>
  <c r="B265" i="3"/>
  <c r="B271" i="3"/>
  <c r="B277" i="3"/>
  <c r="B283" i="3"/>
  <c r="B289" i="3"/>
  <c r="B295" i="3"/>
  <c r="B301" i="3"/>
  <c r="B307" i="3"/>
  <c r="B313" i="3"/>
  <c r="B319" i="3"/>
  <c r="B325" i="3"/>
  <c r="B331" i="3"/>
  <c r="B337" i="3"/>
  <c r="B343" i="3"/>
  <c r="B349" i="3"/>
  <c r="B355" i="3"/>
  <c r="B361" i="3"/>
  <c r="B367" i="3"/>
  <c r="B373" i="3"/>
  <c r="C126" i="3"/>
  <c r="C234" i="3"/>
  <c r="C342" i="3"/>
  <c r="C426" i="3"/>
  <c r="C485" i="3"/>
  <c r="C521" i="3"/>
  <c r="C544" i="3"/>
  <c r="C562" i="3"/>
  <c r="C580" i="3"/>
  <c r="C598" i="3"/>
  <c r="C616" i="3"/>
  <c r="C634" i="3"/>
  <c r="C652" i="3"/>
  <c r="C670" i="3"/>
  <c r="C688" i="3"/>
  <c r="C706" i="3"/>
  <c r="C724" i="3"/>
  <c r="C742" i="3"/>
  <c r="C760" i="3"/>
  <c r="C778" i="3"/>
  <c r="B29" i="3"/>
  <c r="B47" i="3"/>
  <c r="B65" i="3"/>
  <c r="B82" i="3"/>
  <c r="B94" i="3"/>
  <c r="B106" i="3"/>
  <c r="B118" i="3"/>
  <c r="B130" i="3"/>
  <c r="B142" i="3"/>
  <c r="B154" i="3"/>
  <c r="B166" i="3"/>
  <c r="B178" i="3"/>
  <c r="B190" i="3"/>
  <c r="B202" i="3"/>
  <c r="B214" i="3"/>
  <c r="B226" i="3"/>
  <c r="B238" i="3"/>
  <c r="B250" i="3"/>
  <c r="B262" i="3"/>
  <c r="B274" i="3"/>
  <c r="B286" i="3"/>
  <c r="B298" i="3"/>
  <c r="B310" i="3"/>
  <c r="B322" i="3"/>
  <c r="B334" i="3"/>
  <c r="B346" i="3"/>
  <c r="B358" i="3"/>
  <c r="B370" i="3"/>
  <c r="B379" i="3"/>
  <c r="B389" i="3"/>
  <c r="B397" i="3"/>
  <c r="B407" i="3"/>
  <c r="B415" i="3"/>
  <c r="B425" i="3"/>
  <c r="B433" i="3"/>
  <c r="B443" i="3"/>
  <c r="B451" i="3"/>
  <c r="B461" i="3"/>
  <c r="B467" i="3"/>
  <c r="B473" i="3"/>
  <c r="B479" i="3"/>
  <c r="B485" i="3"/>
  <c r="B491" i="3"/>
  <c r="B497" i="3"/>
  <c r="B503" i="3"/>
  <c r="B509" i="3"/>
  <c r="B515" i="3"/>
  <c r="B521" i="3"/>
  <c r="B527" i="3"/>
  <c r="B533" i="3"/>
  <c r="B539" i="3"/>
  <c r="B545" i="3"/>
  <c r="B551" i="3"/>
  <c r="B557" i="3"/>
  <c r="B563" i="3"/>
  <c r="B569" i="3"/>
  <c r="B575" i="3"/>
  <c r="B581" i="3"/>
  <c r="B587" i="3"/>
  <c r="B593" i="3"/>
  <c r="B599" i="3"/>
  <c r="B605" i="3"/>
  <c r="B611" i="3"/>
  <c r="B617" i="3"/>
  <c r="B623" i="3"/>
  <c r="B629" i="3"/>
  <c r="B635" i="3"/>
  <c r="B641" i="3"/>
  <c r="B647" i="3"/>
  <c r="B653" i="3"/>
  <c r="B659" i="3"/>
  <c r="C36" i="3"/>
  <c r="C144" i="3"/>
  <c r="C252" i="3"/>
  <c r="C360" i="3"/>
  <c r="C438" i="3"/>
  <c r="C486" i="3"/>
  <c r="C522" i="3"/>
  <c r="C545" i="3"/>
  <c r="C563" i="3"/>
  <c r="C581" i="3"/>
  <c r="C599" i="3"/>
  <c r="C617" i="3"/>
  <c r="C635" i="3"/>
  <c r="C653" i="3"/>
  <c r="C671" i="3"/>
  <c r="C689" i="3"/>
  <c r="C707" i="3"/>
  <c r="C725" i="3"/>
  <c r="C743" i="3"/>
  <c r="C761" i="3"/>
  <c r="C779" i="3"/>
  <c r="B30" i="3"/>
  <c r="B48" i="3"/>
  <c r="B66" i="3"/>
  <c r="B83" i="3"/>
  <c r="B95" i="3"/>
  <c r="B107" i="3"/>
  <c r="B119" i="3"/>
  <c r="B131" i="3"/>
  <c r="B143" i="3"/>
  <c r="B155" i="3"/>
  <c r="B167" i="3"/>
  <c r="B179" i="3"/>
  <c r="B191" i="3"/>
  <c r="B203" i="3"/>
  <c r="B215" i="3"/>
  <c r="B227" i="3"/>
  <c r="B239" i="3"/>
  <c r="B251" i="3"/>
  <c r="B263" i="3"/>
  <c r="B275" i="3"/>
  <c r="B287" i="3"/>
  <c r="B299" i="3"/>
  <c r="B311" i="3"/>
  <c r="B323" i="3"/>
  <c r="B335" i="3"/>
  <c r="B347" i="3"/>
  <c r="B359" i="3"/>
  <c r="B371" i="3"/>
  <c r="B382" i="3"/>
  <c r="B390" i="3"/>
  <c r="B400" i="3"/>
  <c r="B408" i="3"/>
  <c r="B418" i="3"/>
  <c r="B426" i="3"/>
  <c r="B436" i="3"/>
  <c r="B444" i="3"/>
  <c r="B454" i="3"/>
  <c r="B462" i="3"/>
  <c r="B468" i="3"/>
  <c r="B474" i="3"/>
  <c r="B480" i="3"/>
  <c r="B486" i="3"/>
  <c r="B492" i="3"/>
  <c r="B498" i="3"/>
  <c r="B504" i="3"/>
  <c r="B510" i="3"/>
  <c r="B516" i="3"/>
  <c r="B522" i="3"/>
  <c r="B528" i="3"/>
  <c r="B534" i="3"/>
  <c r="B540" i="3"/>
  <c r="B546" i="3"/>
  <c r="B552" i="3"/>
  <c r="B558" i="3"/>
  <c r="B564" i="3"/>
  <c r="B570" i="3"/>
  <c r="B576" i="3"/>
  <c r="B582" i="3"/>
  <c r="B588" i="3"/>
  <c r="B594" i="3"/>
  <c r="B600" i="3"/>
  <c r="B606" i="3"/>
  <c r="B612" i="3"/>
  <c r="B618" i="3"/>
  <c r="B624" i="3"/>
  <c r="B630" i="3"/>
  <c r="B636" i="3"/>
  <c r="B642" i="3"/>
  <c r="B648" i="3"/>
  <c r="B654" i="3"/>
  <c r="C72" i="3"/>
  <c r="C180" i="3"/>
  <c r="C288" i="3"/>
  <c r="C390" i="3"/>
  <c r="C462" i="3"/>
  <c r="C498" i="3"/>
  <c r="C533" i="3"/>
  <c r="C551" i="3"/>
  <c r="C569" i="3"/>
  <c r="C587" i="3"/>
  <c r="C605" i="3"/>
  <c r="C623" i="3"/>
  <c r="C641" i="3"/>
  <c r="C659" i="3"/>
  <c r="C677" i="3"/>
  <c r="C695" i="3"/>
  <c r="C713" i="3"/>
  <c r="C731" i="3"/>
  <c r="C749" i="3"/>
  <c r="C767" i="3"/>
  <c r="C785" i="3"/>
  <c r="B36" i="3"/>
  <c r="B54" i="3"/>
  <c r="B72" i="3"/>
  <c r="B88" i="3"/>
  <c r="B100" i="3"/>
  <c r="B112" i="3"/>
  <c r="B124" i="3"/>
  <c r="B136" i="3"/>
  <c r="B148" i="3"/>
  <c r="B160" i="3"/>
  <c r="B172" i="3"/>
  <c r="B184" i="3"/>
  <c r="B196" i="3"/>
  <c r="B208" i="3"/>
  <c r="B220" i="3"/>
  <c r="B232" i="3"/>
  <c r="B244" i="3"/>
  <c r="B256" i="3"/>
  <c r="B268" i="3"/>
  <c r="B280" i="3"/>
  <c r="B292" i="3"/>
  <c r="B304" i="3"/>
  <c r="B316" i="3"/>
  <c r="B328" i="3"/>
  <c r="B340" i="3"/>
  <c r="B352" i="3"/>
  <c r="B364" i="3"/>
  <c r="B376" i="3"/>
  <c r="B384" i="3"/>
  <c r="B394" i="3"/>
  <c r="B402" i="3"/>
  <c r="B412" i="3"/>
  <c r="B420" i="3"/>
  <c r="B430" i="3"/>
  <c r="B438" i="3"/>
  <c r="B448" i="3"/>
  <c r="B456" i="3"/>
  <c r="B464" i="3"/>
  <c r="B470" i="3"/>
  <c r="B476" i="3"/>
  <c r="B482" i="3"/>
  <c r="B488" i="3"/>
  <c r="B494" i="3"/>
  <c r="B500" i="3"/>
  <c r="B506" i="3"/>
  <c r="B512" i="3"/>
  <c r="B518" i="3"/>
  <c r="B524" i="3"/>
  <c r="B530" i="3"/>
  <c r="B536" i="3"/>
  <c r="B542" i="3"/>
  <c r="B548" i="3"/>
  <c r="B554" i="3"/>
  <c r="B560" i="3"/>
  <c r="B566" i="3"/>
  <c r="B572" i="3"/>
  <c r="B578" i="3"/>
  <c r="B584" i="3"/>
  <c r="B590" i="3"/>
  <c r="B596" i="3"/>
  <c r="B602" i="3"/>
  <c r="B608" i="3"/>
  <c r="B614" i="3"/>
  <c r="B620" i="3"/>
  <c r="C108" i="3"/>
  <c r="C216" i="3"/>
  <c r="C324" i="3"/>
  <c r="C414" i="3"/>
  <c r="C474" i="3"/>
  <c r="C510" i="3"/>
  <c r="C539" i="3"/>
  <c r="C557" i="3"/>
  <c r="C575" i="3"/>
  <c r="C593" i="3"/>
  <c r="C611" i="3"/>
  <c r="C629" i="3"/>
  <c r="C647" i="3"/>
  <c r="C665" i="3"/>
  <c r="C683" i="3"/>
  <c r="C701" i="3"/>
  <c r="C719" i="3"/>
  <c r="C737" i="3"/>
  <c r="C755" i="3"/>
  <c r="C773" i="3"/>
  <c r="B24" i="3"/>
  <c r="B42" i="3"/>
  <c r="B60" i="3"/>
  <c r="B78" i="3"/>
  <c r="B90" i="3"/>
  <c r="B102" i="3"/>
  <c r="B114" i="3"/>
  <c r="B126" i="3"/>
  <c r="B138" i="3"/>
  <c r="B150" i="3"/>
  <c r="B162" i="3"/>
  <c r="B174" i="3"/>
  <c r="B186" i="3"/>
  <c r="B198" i="3"/>
  <c r="B210" i="3"/>
  <c r="B222" i="3"/>
  <c r="B234" i="3"/>
  <c r="B246" i="3"/>
  <c r="B258" i="3"/>
  <c r="B270" i="3"/>
  <c r="B282" i="3"/>
  <c r="B294" i="3"/>
  <c r="B306" i="3"/>
  <c r="B318" i="3"/>
  <c r="B330" i="3"/>
  <c r="B342" i="3"/>
  <c r="B354" i="3"/>
  <c r="B366" i="3"/>
  <c r="B378" i="3"/>
  <c r="B388" i="3"/>
  <c r="B396" i="3"/>
  <c r="B406" i="3"/>
  <c r="B414" i="3"/>
  <c r="B424" i="3"/>
  <c r="B432" i="3"/>
  <c r="B442" i="3"/>
  <c r="B450" i="3"/>
  <c r="B460" i="3"/>
  <c r="B466" i="3"/>
  <c r="B472" i="3"/>
  <c r="B478" i="3"/>
  <c r="B484" i="3"/>
  <c r="B490" i="3"/>
  <c r="B496" i="3"/>
  <c r="B502" i="3"/>
  <c r="B508" i="3"/>
  <c r="B514" i="3"/>
  <c r="B520" i="3"/>
  <c r="B526" i="3"/>
  <c r="B532" i="3"/>
  <c r="B538" i="3"/>
  <c r="B544" i="3"/>
  <c r="B550" i="3"/>
  <c r="B556" i="3"/>
  <c r="B562" i="3"/>
  <c r="B568" i="3"/>
  <c r="B574" i="3"/>
  <c r="B580" i="3"/>
  <c r="B586" i="3"/>
  <c r="B592" i="3"/>
  <c r="B598" i="3"/>
  <c r="B604" i="3"/>
  <c r="B610" i="3"/>
  <c r="B616" i="3"/>
  <c r="B622" i="3"/>
  <c r="B628" i="3"/>
  <c r="B634" i="3"/>
  <c r="B640" i="3"/>
  <c r="B772" i="3"/>
  <c r="B736" i="3"/>
  <c r="B776" i="3"/>
  <c r="B752" i="3"/>
  <c r="B728" i="3"/>
  <c r="B710" i="3"/>
  <c r="B692" i="3"/>
  <c r="B674" i="3"/>
  <c r="B662" i="3"/>
  <c r="B633" i="3"/>
  <c r="B585" i="3"/>
  <c r="B531" i="3"/>
  <c r="B477" i="3"/>
  <c r="B403" i="3"/>
  <c r="B305" i="3"/>
  <c r="B197" i="3"/>
  <c r="B89" i="3"/>
  <c r="C754" i="3"/>
  <c r="C592" i="3"/>
  <c r="C538" i="3"/>
  <c r="B786" i="3"/>
  <c r="B780" i="3"/>
  <c r="B774" i="3"/>
  <c r="B768" i="3"/>
  <c r="B762" i="3"/>
  <c r="B756" i="3"/>
  <c r="B750" i="3"/>
  <c r="B744" i="3"/>
  <c r="B738" i="3"/>
  <c r="B732" i="3"/>
  <c r="B726" i="3"/>
  <c r="B720" i="3"/>
  <c r="B714" i="3"/>
  <c r="B708" i="3"/>
  <c r="B702" i="3"/>
  <c r="B696" i="3"/>
  <c r="B690" i="3"/>
  <c r="B684" i="3"/>
  <c r="B678" i="3"/>
  <c r="B672" i="3"/>
  <c r="B666" i="3"/>
  <c r="B660" i="3"/>
  <c r="B651" i="3"/>
  <c r="B643" i="3"/>
  <c r="B631" i="3"/>
  <c r="B615" i="3"/>
  <c r="B597" i="3"/>
  <c r="B579" i="3"/>
  <c r="B561" i="3"/>
  <c r="B543" i="3"/>
  <c r="B525" i="3"/>
  <c r="B507" i="3"/>
  <c r="B489" i="3"/>
  <c r="B471" i="3"/>
  <c r="B449" i="3"/>
  <c r="B421" i="3"/>
  <c r="B395" i="3"/>
  <c r="B365" i="3"/>
  <c r="B329" i="3"/>
  <c r="B293" i="3"/>
  <c r="B257" i="3"/>
  <c r="B221" i="3"/>
  <c r="B185" i="3"/>
  <c r="B149" i="3"/>
  <c r="B113" i="3"/>
  <c r="B77" i="3"/>
  <c r="B23" i="3"/>
  <c r="C736" i="3"/>
  <c r="C682" i="3"/>
  <c r="C628" i="3"/>
  <c r="C574" i="3"/>
  <c r="C509" i="3"/>
  <c r="C306" i="3"/>
  <c r="N7" i="3"/>
  <c r="D777" i="3" s="1"/>
  <c r="E4" i="2"/>
  <c r="V3" i="3" a="1"/>
  <c r="E11" i="3" a="1"/>
  <c r="E10" i="3" a="1"/>
  <c r="B149" i="2" a="1"/>
  <c r="F74" i="2" a="1"/>
  <c r="F105" i="2" a="1"/>
  <c r="F146" i="2" a="1"/>
  <c r="C135" i="2" a="1"/>
  <c r="B82" i="2" a="1"/>
  <c r="C67" i="2" a="1"/>
  <c r="F97" i="2" a="1"/>
  <c r="F95" i="2" a="1"/>
  <c r="C52" i="2" a="1"/>
  <c r="F51" i="2" a="1"/>
  <c r="C134" i="2" a="1"/>
  <c r="C107" i="2" a="1"/>
  <c r="F70" i="2" a="1"/>
  <c r="F38" i="2" a="1"/>
  <c r="F43" i="2" a="1"/>
  <c r="C85" i="2" a="1"/>
  <c r="B40" i="2" a="1"/>
  <c r="F30" i="2" a="1"/>
  <c r="F81" i="2" a="1"/>
  <c r="F133" i="2" a="1"/>
  <c r="B108" i="2" a="1"/>
  <c r="F141" i="2" a="1"/>
  <c r="F150" i="2" a="1"/>
  <c r="C61" i="2" a="1"/>
  <c r="F55" i="2" a="1"/>
  <c r="B35" i="2" a="1"/>
  <c r="F85" i="2" a="1"/>
  <c r="B139" i="2" a="1"/>
  <c r="C34" i="2" a="1"/>
  <c r="F119" i="2" a="1"/>
  <c r="F139" i="2" a="1"/>
  <c r="C151" i="2" a="1"/>
  <c r="B121" i="2" a="1"/>
  <c r="C35" i="2" a="1"/>
  <c r="C130" i="2" a="1"/>
  <c r="F40" i="2" a="1"/>
  <c r="F49" i="2" a="1"/>
  <c r="F158" i="2" a="1"/>
  <c r="F44" i="2" a="1"/>
  <c r="C93" i="2" a="1"/>
  <c r="B68" i="2" a="1"/>
  <c r="F66" i="2" a="1"/>
  <c r="C145" i="2" a="1"/>
  <c r="B47" i="2" a="1"/>
  <c r="F155" i="2" a="1"/>
  <c r="K8" i="2" a="1"/>
  <c r="F103" i="2" a="1"/>
  <c r="B49" i="2" a="1"/>
  <c r="B46" i="2" a="1"/>
  <c r="C142" i="2" a="1"/>
  <c r="F52" i="2" a="1"/>
  <c r="C42" i="2" a="1"/>
  <c r="C109" i="2" a="1"/>
  <c r="B93" i="2" a="1"/>
  <c r="C99" i="2" a="1"/>
  <c r="C159" i="2" a="1"/>
  <c r="F137" i="2" a="1"/>
  <c r="B86" i="2" a="1"/>
  <c r="F111" i="2" a="1"/>
  <c r="B99" i="2" a="1"/>
  <c r="C111" i="2" a="1"/>
  <c r="C86" i="2" a="1"/>
  <c r="C115" i="2" a="1"/>
  <c r="C83" i="2" a="1"/>
  <c r="F39" i="2" a="1"/>
  <c r="F80" i="2" a="1"/>
  <c r="F107" i="2" a="1"/>
  <c r="C87" i="2" a="1"/>
  <c r="F115" i="2" a="1"/>
  <c r="C113" i="2" a="1"/>
  <c r="B153" i="2" a="1"/>
  <c r="B78" i="2" a="1"/>
  <c r="C119" i="2" a="1"/>
  <c r="B116" i="2" a="1"/>
  <c r="C70" i="2" a="1"/>
  <c r="F41" i="2" a="1"/>
  <c r="F42" i="2" a="1"/>
  <c r="F78" i="2" a="1"/>
  <c r="C97" i="2" a="1"/>
  <c r="C69" i="2" a="1"/>
  <c r="F109" i="2" a="1"/>
  <c r="F62" i="2" a="1"/>
  <c r="F45" i="2" a="1"/>
  <c r="K9" i="2" a="1"/>
  <c r="C59" i="2" a="1"/>
  <c r="C49" i="2" a="1"/>
  <c r="C114" i="2" a="1"/>
  <c r="C81" i="2" a="1"/>
  <c r="B65" i="2" a="1"/>
  <c r="F132" i="2" a="1"/>
  <c r="B96" i="2" a="1"/>
  <c r="F113" i="2" a="1"/>
  <c r="C89" i="2" a="1"/>
  <c r="F129" i="2" a="1"/>
  <c r="F145" i="2" a="1"/>
  <c r="F76" i="2" a="1"/>
  <c r="B39" i="2" a="1"/>
  <c r="C136" i="2" a="1"/>
  <c r="B155" i="2" a="1"/>
  <c r="B81" i="2" a="1"/>
  <c r="C72" i="2" a="1"/>
  <c r="C156" i="2" a="1"/>
  <c r="C154" i="2" a="1"/>
  <c r="F153" i="2" a="1"/>
  <c r="C29" i="2" a="1"/>
  <c r="F34" i="2" a="1"/>
  <c r="B75" i="2" a="1"/>
  <c r="B73" i="2" a="1"/>
  <c r="B142" i="2" a="1"/>
  <c r="C122" i="2" a="1"/>
  <c r="C88" i="2" a="1"/>
  <c r="B120" i="2" a="1"/>
  <c r="B122" i="2" a="1"/>
  <c r="B133" i="2" a="1"/>
  <c r="B72" i="2" a="1"/>
  <c r="C108" i="2" a="1"/>
  <c r="F83" i="2" a="1"/>
  <c r="C127" i="2" a="1"/>
  <c r="C128" i="2" a="1"/>
  <c r="C60" i="2" a="1"/>
  <c r="F77" i="2" a="1"/>
  <c r="B103" i="2" a="1"/>
  <c r="B89" i="2" a="1"/>
  <c r="F33" i="2" a="1"/>
  <c r="C105" i="2" a="1"/>
  <c r="C65" i="2" a="1"/>
  <c r="B125" i="2" a="1"/>
  <c r="F116" i="2" a="1"/>
  <c r="C118" i="2" a="1"/>
  <c r="B70" i="2" a="1"/>
  <c r="F61" i="2" a="1"/>
  <c r="B158" i="2" a="1"/>
  <c r="B71" i="2" a="1"/>
  <c r="C57" i="2" a="1"/>
  <c r="C71" i="2" a="1"/>
  <c r="B32" i="2" a="1"/>
  <c r="K5" i="2" a="1"/>
  <c r="B79" i="2" a="1"/>
  <c r="B43" i="2" a="1"/>
  <c r="C101" i="2" a="1"/>
  <c r="C56" i="2" a="1"/>
  <c r="C143" i="2" a="1"/>
  <c r="F96" i="2" a="1"/>
  <c r="F79" i="2" a="1"/>
  <c r="F151" i="2" a="1"/>
  <c r="C45" i="2" a="1"/>
  <c r="B124" i="2" a="1"/>
  <c r="C100" i="2" a="1"/>
  <c r="F58" i="2" a="1"/>
  <c r="C66" i="2" a="1"/>
  <c r="C157" i="2" a="1"/>
  <c r="C140" i="2" a="1"/>
  <c r="F68" i="2" a="1"/>
  <c r="C137" i="2" a="1"/>
  <c r="B138" i="2" a="1"/>
  <c r="C90" i="2" a="1"/>
  <c r="B141" i="2" a="1"/>
  <c r="B126" i="2" a="1"/>
  <c r="F131" i="2" a="1"/>
  <c r="F152" i="2" a="1"/>
  <c r="C33" i="2" a="1"/>
  <c r="B88" i="2" a="1"/>
  <c r="C139" i="2" a="1"/>
  <c r="C112" i="2" a="1"/>
  <c r="F72" i="2" a="1"/>
  <c r="B45" i="2" a="1"/>
  <c r="C148" i="2" a="1"/>
  <c r="F125" i="2" a="1"/>
  <c r="B152" i="2" a="1"/>
  <c r="F89" i="2" a="1"/>
  <c r="F98" i="2" a="1"/>
  <c r="F135" i="2" a="1"/>
  <c r="B119" i="2" a="1"/>
  <c r="C37" i="2" a="1"/>
  <c r="C120" i="2" a="1"/>
  <c r="C138" i="2" a="1"/>
  <c r="B36" i="2" a="1"/>
  <c r="F91" i="2" a="1"/>
  <c r="B37" i="2" a="1"/>
  <c r="F73" i="2" a="1"/>
  <c r="F48" i="2" a="1"/>
  <c r="B57" i="2" a="1"/>
  <c r="F144" i="2" a="1"/>
  <c r="F117" i="2" a="1"/>
  <c r="F94" i="2" a="1"/>
  <c r="C75" i="2" a="1"/>
  <c r="C79" i="2" a="1"/>
  <c r="C133" i="2" a="1"/>
  <c r="C76" i="2" a="1"/>
  <c r="C68" i="2" a="1"/>
  <c r="F106" i="2" a="1"/>
  <c r="F126" i="2" a="1"/>
  <c r="K7" i="2" a="1"/>
  <c r="B30" i="2" a="1"/>
  <c r="B130" i="2" a="1"/>
  <c r="F56" i="2" a="1"/>
  <c r="B90" i="2" a="1"/>
  <c r="B84" i="2" a="1"/>
  <c r="F118" i="2" a="1"/>
  <c r="B144" i="2" a="1"/>
  <c r="F123" i="2" a="1"/>
  <c r="B98" i="2" a="1"/>
  <c r="B128" i="2" a="1"/>
  <c r="F122" i="2" a="1"/>
  <c r="C82" i="2" a="1"/>
  <c r="B131" i="2" a="1"/>
  <c r="C152" i="2" a="1"/>
  <c r="C62" i="2" a="1"/>
  <c r="B115" i="2" a="1"/>
  <c r="B97" i="2" a="1"/>
  <c r="B157" i="2" a="1"/>
  <c r="B111" i="2" a="1"/>
  <c r="B63" i="2" a="1"/>
  <c r="F120" i="2" a="1"/>
  <c r="F93" i="2" a="1"/>
  <c r="F102" i="2" a="1"/>
  <c r="F35" i="2" a="1"/>
  <c r="B127" i="2" a="1"/>
  <c r="F59" i="2" a="1"/>
  <c r="F65" i="2" a="1"/>
  <c r="K10" i="2" a="1"/>
  <c r="C54" i="2" a="1"/>
  <c r="B91" i="2" a="1"/>
  <c r="B101" i="2" a="1"/>
  <c r="F31" i="2" a="1"/>
  <c r="B106" i="2" a="1"/>
  <c r="C36" i="2" a="1"/>
  <c r="B41" i="2" a="1"/>
  <c r="C38" i="2" a="1"/>
  <c r="B132" i="2" a="1"/>
  <c r="B114" i="2" a="1"/>
  <c r="C92" i="2" a="1"/>
  <c r="F143" i="2" a="1"/>
  <c r="C47" i="2" a="1"/>
  <c r="B54" i="2" a="1"/>
  <c r="C121" i="2" a="1"/>
  <c r="F148" i="2" a="1"/>
  <c r="C58" i="2" a="1"/>
  <c r="C129" i="2" a="1"/>
  <c r="C43" i="2" a="1"/>
  <c r="F154" i="2" a="1"/>
  <c r="C124" i="2" a="1"/>
  <c r="F136" i="2" a="1"/>
  <c r="F134" i="2" a="1"/>
  <c r="F57" i="2" a="1"/>
  <c r="B145" i="2" a="1"/>
  <c r="B129" i="2" a="1"/>
  <c r="B85" i="2" a="1"/>
  <c r="B87" i="2" a="1"/>
  <c r="C153" i="2" a="1"/>
  <c r="C125" i="2" a="1"/>
  <c r="F104" i="2" a="1"/>
  <c r="B143" i="2" a="1"/>
  <c r="C150" i="2" a="1"/>
  <c r="B48" i="2" a="1"/>
  <c r="C141" i="2" a="1"/>
  <c r="C103" i="2" a="1"/>
  <c r="F112" i="2" a="1"/>
  <c r="B102" i="2" a="1"/>
  <c r="C149" i="2" a="1"/>
  <c r="B44" i="2" a="1"/>
  <c r="F63" i="2" a="1"/>
  <c r="F71" i="2" a="1"/>
  <c r="F84" i="2" a="1"/>
  <c r="B69" i="2" a="1"/>
  <c r="B76" i="2" a="1"/>
  <c r="F32" i="2" a="1"/>
  <c r="F47" i="2" a="1"/>
  <c r="F92" i="2" a="1"/>
  <c r="B50" i="2" a="1"/>
  <c r="B77" i="2" a="1"/>
  <c r="F46" i="2" a="1"/>
  <c r="F138" i="2" a="1"/>
  <c r="B117" i="2" a="1"/>
  <c r="B104" i="2" a="1"/>
  <c r="C155" i="2" a="1"/>
  <c r="B134" i="2" a="1"/>
  <c r="F90" i="2" a="1"/>
  <c r="B60" i="2" a="1"/>
  <c r="F99" i="2" a="1"/>
  <c r="B59" i="2" a="1"/>
  <c r="F36" i="2" a="1"/>
  <c r="F140" i="2" a="1"/>
  <c r="B113" i="2" a="1"/>
  <c r="B118" i="2" a="1"/>
  <c r="B147" i="2" a="1"/>
  <c r="C94" i="2" a="1"/>
  <c r="C50" i="2" a="1"/>
  <c r="B140" i="2" a="1"/>
  <c r="B156" i="2" a="1"/>
  <c r="B123" i="2" a="1"/>
  <c r="B94" i="2" a="1"/>
  <c r="B64" i="2" a="1"/>
  <c r="C39" i="2" a="1"/>
  <c r="F53" i="2" a="1"/>
  <c r="B135" i="2" a="1"/>
  <c r="C132" i="2" a="1"/>
  <c r="F156" i="2" a="1"/>
  <c r="C131" i="2" a="1"/>
  <c r="B61" i="2" a="1"/>
  <c r="K6" i="2" a="1"/>
  <c r="F50" i="2" a="1"/>
  <c r="B53" i="2" a="1"/>
  <c r="F82" i="2" a="1"/>
  <c r="B92" i="2" a="1"/>
  <c r="F149" i="2" a="1"/>
  <c r="F142" i="2" a="1"/>
  <c r="F128" i="2" a="1"/>
  <c r="C53" i="2" a="1"/>
  <c r="C95" i="2" a="1"/>
  <c r="C44" i="2" a="1"/>
  <c r="B67" i="2" a="1"/>
  <c r="B137" i="2" a="1"/>
  <c r="C73" i="2" a="1"/>
  <c r="C96" i="2" a="1"/>
  <c r="B105" i="2" a="1"/>
  <c r="B52" i="2" a="1"/>
  <c r="C51" i="2" a="1"/>
  <c r="F67" i="2" a="1"/>
  <c r="F100" i="2" a="1"/>
  <c r="B42" i="2" a="1"/>
  <c r="C80" i="2" a="1"/>
  <c r="B107" i="2" a="1"/>
  <c r="C144" i="2" a="1"/>
  <c r="C110" i="2" a="1"/>
  <c r="C64" i="2" a="1"/>
  <c r="C30" i="2" a="1"/>
  <c r="F64" i="2" a="1"/>
  <c r="F69" i="2" a="1"/>
  <c r="F157" i="2" a="1"/>
  <c r="C126" i="2" a="1"/>
  <c r="B112" i="2" a="1"/>
  <c r="B159" i="2" a="1"/>
  <c r="B56" i="2" a="1"/>
  <c r="B83" i="2" a="1"/>
  <c r="B109" i="2" a="1"/>
  <c r="F114" i="2" a="1"/>
  <c r="B38" i="2" a="1"/>
  <c r="F108" i="2" a="1"/>
  <c r="F127" i="2" a="1"/>
  <c r="C98" i="2" a="1"/>
  <c r="B100" i="2" a="1"/>
  <c r="C84" i="2" a="1"/>
  <c r="B31" i="2" a="1"/>
  <c r="C40" i="2" a="1"/>
  <c r="B150" i="2" a="1"/>
  <c r="B74" i="2" a="1"/>
  <c r="C74" i="2" a="1"/>
  <c r="C123" i="2" a="1"/>
  <c r="C158" i="2" a="1"/>
  <c r="F101" i="2" a="1"/>
  <c r="B58" i="2" a="1"/>
  <c r="B151" i="2" a="1"/>
  <c r="F124" i="2" a="1"/>
  <c r="B34" i="2" a="1"/>
  <c r="C77" i="2" a="1"/>
  <c r="C146" i="2" a="1"/>
  <c r="F87" i="2" a="1"/>
  <c r="F37" i="2" a="1"/>
  <c r="F121" i="2" a="1"/>
  <c r="C106" i="2" a="1"/>
  <c r="F54" i="2" a="1"/>
  <c r="F86" i="2" a="1"/>
  <c r="B136" i="2" a="1"/>
  <c r="C31" i="2" a="1"/>
  <c r="F159" i="2" a="1"/>
  <c r="B80" i="2" a="1"/>
  <c r="B29" i="2" a="1"/>
  <c r="F130" i="2" a="1"/>
  <c r="B146" i="2" a="1"/>
  <c r="C48" i="2" a="1"/>
  <c r="C102" i="2" a="1"/>
  <c r="B66" i="2" a="1"/>
  <c r="C55" i="2" a="1"/>
  <c r="C147" i="2" a="1"/>
  <c r="C32" i="2" a="1"/>
  <c r="B51" i="2" a="1"/>
  <c r="C63" i="2" a="1"/>
  <c r="C41" i="2" a="1"/>
  <c r="C78" i="2" a="1"/>
  <c r="F147" i="2" a="1"/>
  <c r="C91" i="2" a="1"/>
  <c r="C116" i="2" a="1"/>
  <c r="C46" i="2" a="1"/>
  <c r="F60" i="2" a="1"/>
  <c r="C117" i="2" a="1"/>
  <c r="B95" i="2" a="1"/>
  <c r="F75" i="2" a="1"/>
  <c r="B33" i="2" a="1"/>
  <c r="B55" i="2" a="1"/>
  <c r="F29" i="2" a="1"/>
  <c r="B62" i="2" a="1"/>
  <c r="B154" i="2" a="1"/>
  <c r="B110" i="2" a="1"/>
  <c r="F88" i="2" a="1"/>
  <c r="B148" i="2" a="1"/>
  <c r="F110" i="2" a="1"/>
  <c r="C104" i="2" a="1"/>
  <c r="D640" i="3" l="1"/>
  <c r="D667" i="3"/>
  <c r="D686" i="3"/>
  <c r="D414" i="3"/>
  <c r="D248" i="3"/>
  <c r="D260" i="3"/>
  <c r="D656" i="3"/>
  <c r="D611" i="3"/>
  <c r="D558" i="3"/>
  <c r="D774" i="3"/>
  <c r="D314" i="3"/>
  <c r="D364" i="3"/>
  <c r="D285" i="3"/>
  <c r="D664" i="3"/>
  <c r="D619" i="3"/>
  <c r="D566" i="3"/>
  <c r="D782" i="3"/>
  <c r="D390" i="3"/>
  <c r="D431" i="3"/>
  <c r="D332" i="3"/>
  <c r="D441" i="3"/>
  <c r="D609" i="3"/>
  <c r="D560" i="3"/>
  <c r="D632" i="3"/>
  <c r="D704" i="3"/>
  <c r="D511" i="3"/>
  <c r="D587" i="3"/>
  <c r="D659" i="3"/>
  <c r="D731" i="3"/>
  <c r="D534" i="3"/>
  <c r="D606" i="3"/>
  <c r="D678" i="3"/>
  <c r="D750" i="3"/>
  <c r="D494" i="3"/>
  <c r="D422" i="3"/>
  <c r="D346" i="3"/>
  <c r="D90" i="3"/>
  <c r="D296" i="3"/>
  <c r="D436" i="3"/>
  <c r="D110" i="3"/>
  <c r="D307" i="3"/>
  <c r="D227" i="3"/>
  <c r="D357" i="3"/>
  <c r="D117" i="3"/>
  <c r="D712" i="3"/>
  <c r="D614" i="3"/>
  <c r="D69" i="3"/>
  <c r="D116" i="3"/>
  <c r="D523" i="3"/>
  <c r="D542" i="3"/>
  <c r="D486" i="3"/>
  <c r="D42" i="3"/>
  <c r="D62" i="3"/>
  <c r="D203" i="3"/>
  <c r="D584" i="3"/>
  <c r="D539" i="3"/>
  <c r="D755" i="3"/>
  <c r="D702" i="3"/>
  <c r="D398" i="3"/>
  <c r="D152" i="3"/>
  <c r="D164" i="3"/>
  <c r="D155" i="3"/>
  <c r="D520" i="3"/>
  <c r="D736" i="3"/>
  <c r="D691" i="3"/>
  <c r="D638" i="3"/>
  <c r="D462" i="3"/>
  <c r="D104" i="3"/>
  <c r="D131" i="3"/>
  <c r="D536" i="3"/>
  <c r="D608" i="3"/>
  <c r="D680" i="3"/>
  <c r="D752" i="3"/>
  <c r="D563" i="3"/>
  <c r="D635" i="3"/>
  <c r="D707" i="3"/>
  <c r="D497" i="3"/>
  <c r="D582" i="3"/>
  <c r="D654" i="3"/>
  <c r="D726" i="3"/>
  <c r="D518" i="3"/>
  <c r="D446" i="3"/>
  <c r="D374" i="3"/>
  <c r="D234" i="3"/>
  <c r="D383" i="3"/>
  <c r="D508" i="3"/>
  <c r="D254" i="3"/>
  <c r="D393" i="3"/>
  <c r="D26" i="3"/>
  <c r="D83" i="3"/>
  <c r="D213" i="3"/>
  <c r="D705" i="3"/>
  <c r="D568" i="3"/>
  <c r="D595" i="3"/>
  <c r="D739" i="3"/>
  <c r="D758" i="3"/>
  <c r="D340" i="3"/>
  <c r="D412" i="3"/>
  <c r="D333" i="3"/>
  <c r="D509" i="3"/>
  <c r="D728" i="3"/>
  <c r="D683" i="3"/>
  <c r="D630" i="3"/>
  <c r="D470" i="3"/>
  <c r="D455" i="3"/>
  <c r="D465" i="3"/>
  <c r="D561" i="3"/>
  <c r="D592" i="3"/>
  <c r="D547" i="3"/>
  <c r="D763" i="3"/>
  <c r="D710" i="3"/>
  <c r="D308" i="3"/>
  <c r="D261" i="3"/>
  <c r="D544" i="3"/>
  <c r="D616" i="3"/>
  <c r="D688" i="3"/>
  <c r="D776" i="3"/>
  <c r="D571" i="3"/>
  <c r="D643" i="3"/>
  <c r="D715" i="3"/>
  <c r="D513" i="3"/>
  <c r="D590" i="3"/>
  <c r="D662" i="3"/>
  <c r="D734" i="3"/>
  <c r="D510" i="3"/>
  <c r="D438" i="3"/>
  <c r="D366" i="3"/>
  <c r="D186" i="3"/>
  <c r="D360" i="3"/>
  <c r="D484" i="3"/>
  <c r="D206" i="3"/>
  <c r="D369" i="3"/>
  <c r="D275" i="3"/>
  <c r="D59" i="3"/>
  <c r="D189" i="3"/>
  <c r="D753" i="3"/>
  <c r="D501" i="3"/>
  <c r="D532" i="3"/>
  <c r="D556" i="3"/>
  <c r="D580" i="3"/>
  <c r="D604" i="3"/>
  <c r="D628" i="3"/>
  <c r="D652" i="3"/>
  <c r="D676" i="3"/>
  <c r="D700" i="3"/>
  <c r="D724" i="3"/>
  <c r="D748" i="3"/>
  <c r="D503" i="3"/>
  <c r="D535" i="3"/>
  <c r="D559" i="3"/>
  <c r="D583" i="3"/>
  <c r="D607" i="3"/>
  <c r="D631" i="3"/>
  <c r="D655" i="3"/>
  <c r="D679" i="3"/>
  <c r="D703" i="3"/>
  <c r="D727" i="3"/>
  <c r="D751" i="3"/>
  <c r="D775" i="3"/>
  <c r="D530" i="3"/>
  <c r="D554" i="3"/>
  <c r="D578" i="3"/>
  <c r="D602" i="3"/>
  <c r="D626" i="3"/>
  <c r="D650" i="3"/>
  <c r="D674" i="3"/>
  <c r="D698" i="3"/>
  <c r="D722" i="3"/>
  <c r="D746" i="3"/>
  <c r="D770" i="3"/>
  <c r="D784" i="3"/>
  <c r="D498" i="3"/>
  <c r="D474" i="3"/>
  <c r="D450" i="3"/>
  <c r="D426" i="3"/>
  <c r="D402" i="3"/>
  <c r="D378" i="3"/>
  <c r="D356" i="3"/>
  <c r="D324" i="3"/>
  <c r="D258" i="3"/>
  <c r="D114" i="3"/>
  <c r="D467" i="3"/>
  <c r="D395" i="3"/>
  <c r="D312" i="3"/>
  <c r="D176" i="3"/>
  <c r="D32" i="3"/>
  <c r="D448" i="3"/>
  <c r="D376" i="3"/>
  <c r="D278" i="3"/>
  <c r="D134" i="3"/>
  <c r="D477" i="3"/>
  <c r="D405" i="3"/>
  <c r="D323" i="3"/>
  <c r="D188" i="3"/>
  <c r="D44" i="3"/>
  <c r="D239" i="3"/>
  <c r="D167" i="3"/>
  <c r="D95" i="3"/>
  <c r="D23" i="3"/>
  <c r="D297" i="3"/>
  <c r="D225" i="3"/>
  <c r="D141" i="3"/>
  <c r="D537" i="3"/>
  <c r="D681" i="3"/>
  <c r="D517" i="3"/>
  <c r="D540" i="3"/>
  <c r="D564" i="3"/>
  <c r="D588" i="3"/>
  <c r="D612" i="3"/>
  <c r="D636" i="3"/>
  <c r="D660" i="3"/>
  <c r="D684" i="3"/>
  <c r="D708" i="3"/>
  <c r="D732" i="3"/>
  <c r="D772" i="3"/>
  <c r="D519" i="3"/>
  <c r="D543" i="3"/>
  <c r="D567" i="3"/>
  <c r="D591" i="3"/>
  <c r="D615" i="3"/>
  <c r="D639" i="3"/>
  <c r="D663" i="3"/>
  <c r="D687" i="3"/>
  <c r="D711" i="3"/>
  <c r="D735" i="3"/>
  <c r="D759" i="3"/>
  <c r="D505" i="3"/>
  <c r="D538" i="3"/>
  <c r="D562" i="3"/>
  <c r="D586" i="3"/>
  <c r="D610" i="3"/>
  <c r="D634" i="3"/>
  <c r="D658" i="3"/>
  <c r="D682" i="3"/>
  <c r="D706" i="3"/>
  <c r="D730" i="3"/>
  <c r="D754" i="3"/>
  <c r="D778" i="3"/>
  <c r="D514" i="3"/>
  <c r="D490" i="3"/>
  <c r="D466" i="3"/>
  <c r="D442" i="3"/>
  <c r="D418" i="3"/>
  <c r="D394" i="3"/>
  <c r="D370" i="3"/>
  <c r="D343" i="3"/>
  <c r="D311" i="3"/>
  <c r="D210" i="3"/>
  <c r="D66" i="3"/>
  <c r="D443" i="3"/>
  <c r="D371" i="3"/>
  <c r="D272" i="3"/>
  <c r="D128" i="3"/>
  <c r="D496" i="3"/>
  <c r="D424" i="3"/>
  <c r="D348" i="3"/>
  <c r="D230" i="3"/>
  <c r="D86" i="3"/>
  <c r="D453" i="3"/>
  <c r="D381" i="3"/>
  <c r="D284" i="3"/>
  <c r="D140" i="3"/>
  <c r="D287" i="3"/>
  <c r="D215" i="3"/>
  <c r="D143" i="3"/>
  <c r="D71" i="3"/>
  <c r="D345" i="3"/>
  <c r="D273" i="3"/>
  <c r="D201" i="3"/>
  <c r="D93" i="3"/>
  <c r="D585" i="3"/>
  <c r="D729" i="3"/>
  <c r="D524" i="3"/>
  <c r="D548" i="3"/>
  <c r="D572" i="3"/>
  <c r="D596" i="3"/>
  <c r="D620" i="3"/>
  <c r="D644" i="3"/>
  <c r="D668" i="3"/>
  <c r="D692" i="3"/>
  <c r="D716" i="3"/>
  <c r="D740" i="3"/>
  <c r="D788" i="3"/>
  <c r="D527" i="3"/>
  <c r="D551" i="3"/>
  <c r="D575" i="3"/>
  <c r="D599" i="3"/>
  <c r="D623" i="3"/>
  <c r="D647" i="3"/>
  <c r="D671" i="3"/>
  <c r="D695" i="3"/>
  <c r="D719" i="3"/>
  <c r="D743" i="3"/>
  <c r="D767" i="3"/>
  <c r="D522" i="3"/>
  <c r="D546" i="3"/>
  <c r="D570" i="3"/>
  <c r="D594" i="3"/>
  <c r="D618" i="3"/>
  <c r="D642" i="3"/>
  <c r="D666" i="3"/>
  <c r="D690" i="3"/>
  <c r="D714" i="3"/>
  <c r="D738" i="3"/>
  <c r="D762" i="3"/>
  <c r="D786" i="3"/>
  <c r="D506" i="3"/>
  <c r="D482" i="3"/>
  <c r="D458" i="3"/>
  <c r="D434" i="3"/>
  <c r="D410" i="3"/>
  <c r="D386" i="3"/>
  <c r="D362" i="3"/>
  <c r="D330" i="3"/>
  <c r="D298" i="3"/>
  <c r="D162" i="3"/>
  <c r="D491" i="3"/>
  <c r="D419" i="3"/>
  <c r="D344" i="3"/>
  <c r="D224" i="3"/>
  <c r="D80" i="3"/>
  <c r="D472" i="3"/>
  <c r="D400" i="3"/>
  <c r="D316" i="3"/>
  <c r="D182" i="3"/>
  <c r="D38" i="3"/>
  <c r="D429" i="3"/>
  <c r="D355" i="3"/>
  <c r="D236" i="3"/>
  <c r="D92" i="3"/>
  <c r="D263" i="3"/>
  <c r="D191" i="3"/>
  <c r="D119" i="3"/>
  <c r="D47" i="3"/>
  <c r="D321" i="3"/>
  <c r="D249" i="3"/>
  <c r="D177" i="3"/>
  <c r="D45" i="3"/>
  <c r="D633" i="3"/>
  <c r="D22" i="3"/>
  <c r="D499" i="3"/>
  <c r="D756" i="3"/>
  <c r="D769" i="3"/>
  <c r="D745" i="3"/>
  <c r="D721" i="3"/>
  <c r="D697" i="3"/>
  <c r="D673" i="3"/>
  <c r="D649" i="3"/>
  <c r="D625" i="3"/>
  <c r="D601" i="3"/>
  <c r="D577" i="3"/>
  <c r="D553" i="3"/>
  <c r="D529" i="3"/>
  <c r="D29" i="3"/>
  <c r="D53" i="3"/>
  <c r="D77" i="3"/>
  <c r="D101" i="3"/>
  <c r="D125" i="3"/>
  <c r="D149" i="3"/>
  <c r="D173" i="3"/>
  <c r="D197" i="3"/>
  <c r="D221" i="3"/>
  <c r="D245" i="3"/>
  <c r="D269" i="3"/>
  <c r="D293" i="3"/>
  <c r="D317" i="3"/>
  <c r="D341" i="3"/>
  <c r="D24" i="3"/>
  <c r="D43" i="3"/>
  <c r="D67" i="3"/>
  <c r="D91" i="3"/>
  <c r="D115" i="3"/>
  <c r="D139" i="3"/>
  <c r="D163" i="3"/>
  <c r="D187" i="3"/>
  <c r="D211" i="3"/>
  <c r="D235" i="3"/>
  <c r="D259" i="3"/>
  <c r="D283" i="3"/>
  <c r="D36" i="3"/>
  <c r="D84" i="3"/>
  <c r="D132" i="3"/>
  <c r="D180" i="3"/>
  <c r="D228" i="3"/>
  <c r="D276" i="3"/>
  <c r="D320" i="3"/>
  <c r="D352" i="3"/>
  <c r="D377" i="3"/>
  <c r="D401" i="3"/>
  <c r="D425" i="3"/>
  <c r="D449" i="3"/>
  <c r="D473" i="3"/>
  <c r="D30" i="3"/>
  <c r="D78" i="3"/>
  <c r="D126" i="3"/>
  <c r="D174" i="3"/>
  <c r="D222" i="3"/>
  <c r="D270" i="3"/>
  <c r="D306" i="3"/>
  <c r="D338" i="3"/>
  <c r="D372" i="3"/>
  <c r="D396" i="3"/>
  <c r="D420" i="3"/>
  <c r="D444" i="3"/>
  <c r="D468" i="3"/>
  <c r="D492" i="3"/>
  <c r="D516" i="3"/>
  <c r="D72" i="3"/>
  <c r="D120" i="3"/>
  <c r="D168" i="3"/>
  <c r="D216" i="3"/>
  <c r="D264" i="3"/>
  <c r="D302" i="3"/>
  <c r="D334" i="3"/>
  <c r="D367" i="3"/>
  <c r="D391" i="3"/>
  <c r="D415" i="3"/>
  <c r="D439" i="3"/>
  <c r="D463" i="3"/>
  <c r="D487" i="3"/>
  <c r="D58" i="3"/>
  <c r="D106" i="3"/>
  <c r="D154" i="3"/>
  <c r="D202" i="3"/>
  <c r="D250" i="3"/>
  <c r="D779" i="3"/>
  <c r="D789" i="3"/>
  <c r="D765" i="3"/>
  <c r="D741" i="3"/>
  <c r="D717" i="3"/>
  <c r="D693" i="3"/>
  <c r="D669" i="3"/>
  <c r="D645" i="3"/>
  <c r="D621" i="3"/>
  <c r="D597" i="3"/>
  <c r="D573" i="3"/>
  <c r="D549" i="3"/>
  <c r="D525" i="3"/>
  <c r="D33" i="3"/>
  <c r="D57" i="3"/>
  <c r="D81" i="3"/>
  <c r="D105" i="3"/>
  <c r="D129" i="3"/>
  <c r="D153" i="3"/>
  <c r="D783" i="3"/>
  <c r="D785" i="3"/>
  <c r="D761" i="3"/>
  <c r="D737" i="3"/>
  <c r="D713" i="3"/>
  <c r="D689" i="3"/>
  <c r="D665" i="3"/>
  <c r="D641" i="3"/>
  <c r="D617" i="3"/>
  <c r="D593" i="3"/>
  <c r="D569" i="3"/>
  <c r="D545" i="3"/>
  <c r="D521" i="3"/>
  <c r="D37" i="3"/>
  <c r="D61" i="3"/>
  <c r="D85" i="3"/>
  <c r="D109" i="3"/>
  <c r="D133" i="3"/>
  <c r="D157" i="3"/>
  <c r="D181" i="3"/>
  <c r="D205" i="3"/>
  <c r="D229" i="3"/>
  <c r="D253" i="3"/>
  <c r="D277" i="3"/>
  <c r="D301" i="3"/>
  <c r="D325" i="3"/>
  <c r="D349" i="3"/>
  <c r="D27" i="3"/>
  <c r="D51" i="3"/>
  <c r="D75" i="3"/>
  <c r="D99" i="3"/>
  <c r="D123" i="3"/>
  <c r="D147" i="3"/>
  <c r="D171" i="3"/>
  <c r="D195" i="3"/>
  <c r="D219" i="3"/>
  <c r="D243" i="3"/>
  <c r="D267" i="3"/>
  <c r="D291" i="3"/>
  <c r="D52" i="3"/>
  <c r="D100" i="3"/>
  <c r="D148" i="3"/>
  <c r="D196" i="3"/>
  <c r="D244" i="3"/>
  <c r="D292" i="3"/>
  <c r="D326" i="3"/>
  <c r="D358" i="3"/>
  <c r="D385" i="3"/>
  <c r="D409" i="3"/>
  <c r="D433" i="3"/>
  <c r="D457" i="3"/>
  <c r="D481" i="3"/>
  <c r="D46" i="3"/>
  <c r="D94" i="3"/>
  <c r="D142" i="3"/>
  <c r="D190" i="3"/>
  <c r="D238" i="3"/>
  <c r="D286" i="3"/>
  <c r="D319" i="3"/>
  <c r="D351" i="3"/>
  <c r="D380" i="3"/>
  <c r="D404" i="3"/>
  <c r="D428" i="3"/>
  <c r="D452" i="3"/>
  <c r="D476" i="3"/>
  <c r="D500" i="3"/>
  <c r="D40" i="3"/>
  <c r="D88" i="3"/>
  <c r="D136" i="3"/>
  <c r="D184" i="3"/>
  <c r="D232" i="3"/>
  <c r="D280" i="3"/>
  <c r="D315" i="3"/>
  <c r="D347" i="3"/>
  <c r="D375" i="3"/>
  <c r="D399" i="3"/>
  <c r="D423" i="3"/>
  <c r="D447" i="3"/>
  <c r="D471" i="3"/>
  <c r="D495" i="3"/>
  <c r="D74" i="3"/>
  <c r="D122" i="3"/>
  <c r="D170" i="3"/>
  <c r="D218" i="3"/>
  <c r="D266" i="3"/>
  <c r="D780" i="3"/>
  <c r="D781" i="3"/>
  <c r="D757" i="3"/>
  <c r="D733" i="3"/>
  <c r="D709" i="3"/>
  <c r="D685" i="3"/>
  <c r="D661" i="3"/>
  <c r="D637" i="3"/>
  <c r="D613" i="3"/>
  <c r="D589" i="3"/>
  <c r="D565" i="3"/>
  <c r="D541" i="3"/>
  <c r="D515" i="3"/>
  <c r="D41" i="3"/>
  <c r="D65" i="3"/>
  <c r="D89" i="3"/>
  <c r="D113" i="3"/>
  <c r="D137" i="3"/>
  <c r="D161" i="3"/>
  <c r="D185" i="3"/>
  <c r="D209" i="3"/>
  <c r="D233" i="3"/>
  <c r="D257" i="3"/>
  <c r="D281" i="3"/>
  <c r="D305" i="3"/>
  <c r="D329" i="3"/>
  <c r="D353" i="3"/>
  <c r="D31" i="3"/>
  <c r="D55" i="3"/>
  <c r="D79" i="3"/>
  <c r="D103" i="3"/>
  <c r="D127" i="3"/>
  <c r="D151" i="3"/>
  <c r="D175" i="3"/>
  <c r="D199" i="3"/>
  <c r="D223" i="3"/>
  <c r="D247" i="3"/>
  <c r="D271" i="3"/>
  <c r="D295" i="3"/>
  <c r="D60" i="3"/>
  <c r="D108" i="3"/>
  <c r="D156" i="3"/>
  <c r="D204" i="3"/>
  <c r="D252" i="3"/>
  <c r="D304" i="3"/>
  <c r="D336" i="3"/>
  <c r="D365" i="3"/>
  <c r="D389" i="3"/>
  <c r="D413" i="3"/>
  <c r="D437" i="3"/>
  <c r="D461" i="3"/>
  <c r="D485" i="3"/>
  <c r="D54" i="3"/>
  <c r="D102" i="3"/>
  <c r="D150" i="3"/>
  <c r="D198" i="3"/>
  <c r="D246" i="3"/>
  <c r="D294" i="3"/>
  <c r="D322" i="3"/>
  <c r="D354" i="3"/>
  <c r="D384" i="3"/>
  <c r="D408" i="3"/>
  <c r="D432" i="3"/>
  <c r="D456" i="3"/>
  <c r="D480" i="3"/>
  <c r="D504" i="3"/>
  <c r="D48" i="3"/>
  <c r="D96" i="3"/>
  <c r="D144" i="3"/>
  <c r="D192" i="3"/>
  <c r="D240" i="3"/>
  <c r="D288" i="3"/>
  <c r="D318" i="3"/>
  <c r="D350" i="3"/>
  <c r="D379" i="3"/>
  <c r="D403" i="3"/>
  <c r="D427" i="3"/>
  <c r="D451" i="3"/>
  <c r="D475" i="3"/>
  <c r="D34" i="3"/>
  <c r="D82" i="3"/>
  <c r="D130" i="3"/>
  <c r="D178" i="3"/>
  <c r="D226" i="3"/>
  <c r="D274" i="3"/>
  <c r="D760" i="3"/>
  <c r="D773" i="3"/>
  <c r="D749" i="3"/>
  <c r="D725" i="3"/>
  <c r="D701" i="3"/>
  <c r="D677" i="3"/>
  <c r="D653" i="3"/>
  <c r="D629" i="3"/>
  <c r="D605" i="3"/>
  <c r="D581" i="3"/>
  <c r="D557" i="3"/>
  <c r="D533" i="3"/>
  <c r="D25" i="3"/>
  <c r="D49" i="3"/>
  <c r="D73" i="3"/>
  <c r="D97" i="3"/>
  <c r="D121" i="3"/>
  <c r="D145" i="3"/>
  <c r="D169" i="3"/>
  <c r="D193" i="3"/>
  <c r="D217" i="3"/>
  <c r="D241" i="3"/>
  <c r="D265" i="3"/>
  <c r="D289" i="3"/>
  <c r="D313" i="3"/>
  <c r="D337" i="3"/>
  <c r="D361" i="3"/>
  <c r="D39" i="3"/>
  <c r="D63" i="3"/>
  <c r="D87" i="3"/>
  <c r="D111" i="3"/>
  <c r="D135" i="3"/>
  <c r="D159" i="3"/>
  <c r="D183" i="3"/>
  <c r="D207" i="3"/>
  <c r="D231" i="3"/>
  <c r="D255" i="3"/>
  <c r="D279" i="3"/>
  <c r="D28" i="3"/>
  <c r="D76" i="3"/>
  <c r="D124" i="3"/>
  <c r="D172" i="3"/>
  <c r="D220" i="3"/>
  <c r="D268" i="3"/>
  <c r="D310" i="3"/>
  <c r="D342" i="3"/>
  <c r="D373" i="3"/>
  <c r="D397" i="3"/>
  <c r="D421" i="3"/>
  <c r="D445" i="3"/>
  <c r="D469" i="3"/>
  <c r="D493" i="3"/>
  <c r="D70" i="3"/>
  <c r="D118" i="3"/>
  <c r="D166" i="3"/>
  <c r="D214" i="3"/>
  <c r="D262" i="3"/>
  <c r="D303" i="3"/>
  <c r="D335" i="3"/>
  <c r="D368" i="3"/>
  <c r="D392" i="3"/>
  <c r="D416" i="3"/>
  <c r="D440" i="3"/>
  <c r="D464" i="3"/>
  <c r="D488" i="3"/>
  <c r="D512" i="3"/>
  <c r="D64" i="3"/>
  <c r="D112" i="3"/>
  <c r="D160" i="3"/>
  <c r="D208" i="3"/>
  <c r="D256" i="3"/>
  <c r="D299" i="3"/>
  <c r="D331" i="3"/>
  <c r="D363" i="3"/>
  <c r="D387" i="3"/>
  <c r="D411" i="3"/>
  <c r="D435" i="3"/>
  <c r="D459" i="3"/>
  <c r="D483" i="3"/>
  <c r="D50" i="3"/>
  <c r="D98" i="3"/>
  <c r="D146" i="3"/>
  <c r="D194" i="3"/>
  <c r="D242" i="3"/>
  <c r="D290" i="3"/>
  <c r="D528" i="3"/>
  <c r="D552" i="3"/>
  <c r="D576" i="3"/>
  <c r="D600" i="3"/>
  <c r="D624" i="3"/>
  <c r="D648" i="3"/>
  <c r="D672" i="3"/>
  <c r="D696" i="3"/>
  <c r="D720" i="3"/>
  <c r="D744" i="3"/>
  <c r="D787" i="3"/>
  <c r="D531" i="3"/>
  <c r="D555" i="3"/>
  <c r="D579" i="3"/>
  <c r="D603" i="3"/>
  <c r="D627" i="3"/>
  <c r="D651" i="3"/>
  <c r="D675" i="3"/>
  <c r="D699" i="3"/>
  <c r="D723" i="3"/>
  <c r="D747" i="3"/>
  <c r="D771" i="3"/>
  <c r="D526" i="3"/>
  <c r="D550" i="3"/>
  <c r="D574" i="3"/>
  <c r="D598" i="3"/>
  <c r="D622" i="3"/>
  <c r="D646" i="3"/>
  <c r="D670" i="3"/>
  <c r="D694" i="3"/>
  <c r="D718" i="3"/>
  <c r="D742" i="3"/>
  <c r="D766" i="3"/>
  <c r="D768" i="3"/>
  <c r="D502" i="3"/>
  <c r="D478" i="3"/>
  <c r="D454" i="3"/>
  <c r="D430" i="3"/>
  <c r="D406" i="3"/>
  <c r="D382" i="3"/>
  <c r="D359" i="3"/>
  <c r="D327" i="3"/>
  <c r="D282" i="3"/>
  <c r="D138" i="3"/>
  <c r="D479" i="3"/>
  <c r="D407" i="3"/>
  <c r="D328" i="3"/>
  <c r="D200" i="3"/>
  <c r="D56" i="3"/>
  <c r="D460" i="3"/>
  <c r="D388" i="3"/>
  <c r="D300" i="3"/>
  <c r="D158" i="3"/>
  <c r="D489" i="3"/>
  <c r="D417" i="3"/>
  <c r="D339" i="3"/>
  <c r="D212" i="3"/>
  <c r="D68" i="3"/>
  <c r="D251" i="3"/>
  <c r="D179" i="3"/>
  <c r="D107" i="3"/>
  <c r="D35" i="3"/>
  <c r="D309" i="3"/>
  <c r="D237" i="3"/>
  <c r="D165" i="3"/>
  <c r="D507" i="3"/>
  <c r="D657" i="3"/>
  <c r="D764" i="3"/>
  <c r="F41" i="2"/>
  <c r="C86" i="2"/>
  <c r="D86" i="2" s="1"/>
  <c r="E86" i="2" s="1"/>
  <c r="C31" i="2"/>
  <c r="D31" i="2" s="1"/>
  <c r="E31" i="2" s="1"/>
  <c r="C104" i="2"/>
  <c r="D104" i="2" s="1"/>
  <c r="E104" i="2" s="1"/>
  <c r="C46" i="2"/>
  <c r="D46" i="2" s="1"/>
  <c r="E46" i="2" s="1"/>
  <c r="B63" i="2"/>
  <c r="F61" i="2"/>
  <c r="F130" i="2"/>
  <c r="B136" i="2"/>
  <c r="C45" i="2"/>
  <c r="D45" i="2" s="1"/>
  <c r="E45" i="2" s="1"/>
  <c r="B118" i="2"/>
  <c r="B111" i="2"/>
  <c r="F147" i="2"/>
  <c r="C111" i="2"/>
  <c r="D111" i="2" s="1"/>
  <c r="E111" i="2" s="1"/>
  <c r="F86" i="2"/>
  <c r="F156" i="2"/>
  <c r="C47" i="2"/>
  <c r="D47" i="2" s="1"/>
  <c r="E47" i="2" s="1"/>
  <c r="B157" i="2"/>
  <c r="C70" i="2"/>
  <c r="D70" i="2" s="1"/>
  <c r="E70" i="2" s="1"/>
  <c r="B29" i="2"/>
  <c r="F54" i="2"/>
  <c r="B96" i="2"/>
  <c r="F78" i="2"/>
  <c r="B97" i="2"/>
  <c r="E10" i="3"/>
  <c r="B99" i="2"/>
  <c r="C106" i="2"/>
  <c r="D106" i="2" s="1"/>
  <c r="E106" i="2" s="1"/>
  <c r="B129" i="2"/>
  <c r="B71" i="2"/>
  <c r="B115" i="2"/>
  <c r="B70" i="2"/>
  <c r="B80" i="2"/>
  <c r="F121" i="2"/>
  <c r="F110" i="2"/>
  <c r="C116" i="2"/>
  <c r="D116" i="2" s="1"/>
  <c r="E116" i="2" s="1"/>
  <c r="C62" i="2"/>
  <c r="D62" i="2" s="1"/>
  <c r="E62" i="2" s="1"/>
  <c r="B116" i="2"/>
  <c r="F111" i="2"/>
  <c r="F37" i="2"/>
  <c r="F151" i="2"/>
  <c r="F143" i="2"/>
  <c r="C152" i="2"/>
  <c r="D152" i="2" s="1"/>
  <c r="E152" i="2" s="1"/>
  <c r="C78" i="2"/>
  <c r="D78" i="2" s="1"/>
  <c r="E78" i="2" s="1"/>
  <c r="B86" i="2"/>
  <c r="F87" i="2"/>
  <c r="C132" i="2"/>
  <c r="D132" i="2" s="1"/>
  <c r="E132" i="2" s="1"/>
  <c r="B113" i="2"/>
  <c r="B131" i="2"/>
  <c r="C118" i="2"/>
  <c r="D118" i="2" s="1"/>
  <c r="E118" i="2" s="1"/>
  <c r="F159" i="2"/>
  <c r="C146" i="2"/>
  <c r="D146" i="2" s="1"/>
  <c r="E146" i="2" s="1"/>
  <c r="F132" i="2"/>
  <c r="C92" i="2"/>
  <c r="D92" i="2" s="1"/>
  <c r="E92" i="2" s="1"/>
  <c r="C82" i="2"/>
  <c r="D82" i="2" s="1"/>
  <c r="E82" i="2" s="1"/>
  <c r="C119" i="2"/>
  <c r="D119" i="2" s="1"/>
  <c r="E119" i="2" s="1"/>
  <c r="F137" i="2"/>
  <c r="C77" i="2"/>
  <c r="D77" i="2" s="1"/>
  <c r="E77" i="2" s="1"/>
  <c r="B145" i="2"/>
  <c r="F42" i="2"/>
  <c r="F122" i="2"/>
  <c r="C41" i="2"/>
  <c r="D41" i="2" s="1"/>
  <c r="E41" i="2" s="1"/>
  <c r="C159" i="2"/>
  <c r="D159" i="2" s="1"/>
  <c r="E159" i="2" s="1"/>
  <c r="B34" i="2"/>
  <c r="B148" i="2"/>
  <c r="B158" i="2"/>
  <c r="B128" i="2"/>
  <c r="F116" i="2"/>
  <c r="C99" i="2"/>
  <c r="D99" i="2" s="1"/>
  <c r="E99" i="2" s="1"/>
  <c r="F124" i="2"/>
  <c r="F79" i="2"/>
  <c r="F140" i="2"/>
  <c r="B98" i="2"/>
  <c r="B78" i="2"/>
  <c r="B93" i="2"/>
  <c r="B151" i="2"/>
  <c r="B135" i="2"/>
  <c r="C91" i="2"/>
  <c r="D91" i="2" s="1"/>
  <c r="E91" i="2" s="1"/>
  <c r="F123" i="2"/>
  <c r="C63" i="2"/>
  <c r="D63" i="2" s="1"/>
  <c r="E63" i="2" s="1"/>
  <c r="C109" i="2"/>
  <c r="D109" i="2" s="1"/>
  <c r="E109" i="2" s="1"/>
  <c r="B58" i="2"/>
  <c r="B65" i="2"/>
  <c r="B114" i="2"/>
  <c r="B144" i="2"/>
  <c r="B125" i="2"/>
  <c r="C42" i="2"/>
  <c r="D42" i="2" s="1"/>
  <c r="E42" i="2" s="1"/>
  <c r="F101" i="2"/>
  <c r="F57" i="2"/>
  <c r="F36" i="2"/>
  <c r="F118" i="2"/>
  <c r="B153" i="2"/>
  <c r="F52" i="2"/>
  <c r="C158" i="2"/>
  <c r="D158" i="2" s="1"/>
  <c r="E158" i="2" s="1"/>
  <c r="F88" i="2"/>
  <c r="B132" i="2"/>
  <c r="B84" i="2"/>
  <c r="B51" i="2"/>
  <c r="C142" i="2"/>
  <c r="D142" i="2" s="1"/>
  <c r="E142" i="2" s="1"/>
  <c r="C123" i="2"/>
  <c r="D123" i="2" s="1"/>
  <c r="E123" i="2" s="1"/>
  <c r="F96" i="2"/>
  <c r="C38" i="2"/>
  <c r="D38" i="2" s="1"/>
  <c r="E38" i="2" s="1"/>
  <c r="B90" i="2"/>
  <c r="C65" i="2"/>
  <c r="D65" i="2" s="1"/>
  <c r="E65" i="2" s="1"/>
  <c r="B46" i="2"/>
  <c r="C74" i="2"/>
  <c r="D74" i="2" s="1"/>
  <c r="E74" i="2" s="1"/>
  <c r="F53" i="2"/>
  <c r="B59" i="2"/>
  <c r="F56" i="2"/>
  <c r="C113" i="2"/>
  <c r="D113" i="2" s="1"/>
  <c r="E113" i="2" s="1"/>
  <c r="B49" i="2"/>
  <c r="B74" i="2"/>
  <c r="C81" i="2"/>
  <c r="D81" i="2" s="1"/>
  <c r="E81" i="2" s="1"/>
  <c r="B41" i="2"/>
  <c r="B130" i="2"/>
  <c r="C32" i="2"/>
  <c r="D32" i="2" s="1"/>
  <c r="E32" i="2" s="1"/>
  <c r="F103" i="2"/>
  <c r="B150" i="2"/>
  <c r="F134" i="2"/>
  <c r="F99" i="2"/>
  <c r="B30" i="2"/>
  <c r="C105" i="2"/>
  <c r="D105" i="2" s="1"/>
  <c r="E105" i="2" s="1"/>
  <c r="K8" i="2"/>
  <c r="C40" i="2"/>
  <c r="D40" i="2" s="1"/>
  <c r="E40" i="2" s="1"/>
  <c r="B110" i="2"/>
  <c r="C36" i="2"/>
  <c r="D36" i="2" s="1"/>
  <c r="E36" i="2" s="1"/>
  <c r="K7" i="2"/>
  <c r="F115" i="2"/>
  <c r="F155" i="2"/>
  <c r="B31" i="2"/>
  <c r="C143" i="2"/>
  <c r="D143" i="2" s="1"/>
  <c r="E143" i="2" s="1"/>
  <c r="B60" i="2"/>
  <c r="F126" i="2"/>
  <c r="C147" i="2"/>
  <c r="D147" i="2" s="1"/>
  <c r="E147" i="2" s="1"/>
  <c r="B47" i="2"/>
  <c r="C84" i="2"/>
  <c r="D84" i="2" s="1"/>
  <c r="E84" i="2" s="1"/>
  <c r="C114" i="2"/>
  <c r="D114" i="2" s="1"/>
  <c r="E114" i="2" s="1"/>
  <c r="B106" i="2"/>
  <c r="F106" i="2"/>
  <c r="C87" i="2"/>
  <c r="D87" i="2" s="1"/>
  <c r="E87" i="2" s="1"/>
  <c r="C145" i="2"/>
  <c r="D145" i="2" s="1"/>
  <c r="E145" i="2" s="1"/>
  <c r="B100" i="2"/>
  <c r="C39" i="2"/>
  <c r="D39" i="2" s="1"/>
  <c r="E39" i="2" s="1"/>
  <c r="F90" i="2"/>
  <c r="C68" i="2"/>
  <c r="D68" i="2" s="1"/>
  <c r="E68" i="2" s="1"/>
  <c r="F33" i="2"/>
  <c r="F66" i="2"/>
  <c r="C98" i="2"/>
  <c r="D98" i="2" s="1"/>
  <c r="E98" i="2" s="1"/>
  <c r="F136" i="2"/>
  <c r="F31" i="2"/>
  <c r="C76" i="2"/>
  <c r="D76" i="2" s="1"/>
  <c r="E76" i="2" s="1"/>
  <c r="C55" i="2"/>
  <c r="D55" i="2" s="1"/>
  <c r="E55" i="2" s="1"/>
  <c r="B68" i="2"/>
  <c r="F127" i="2"/>
  <c r="B154" i="2"/>
  <c r="B134" i="2"/>
  <c r="C133" i="2"/>
  <c r="D133" i="2" s="1"/>
  <c r="E133" i="2" s="1"/>
  <c r="F107" i="2"/>
  <c r="C93" i="2"/>
  <c r="D93" i="2" s="1"/>
  <c r="E93" i="2" s="1"/>
  <c r="F108" i="2"/>
  <c r="E11" i="3"/>
  <c r="B101" i="2"/>
  <c r="C79" i="2"/>
  <c r="D79" i="2" s="1"/>
  <c r="E79" i="2" s="1"/>
  <c r="B89" i="2"/>
  <c r="F44" i="2"/>
  <c r="B38" i="2"/>
  <c r="C56" i="2"/>
  <c r="D56" i="2" s="1"/>
  <c r="E56" i="2" s="1"/>
  <c r="C155" i="2"/>
  <c r="D155" i="2" s="1"/>
  <c r="E155" i="2" s="1"/>
  <c r="C75" i="2"/>
  <c r="D75" i="2" s="1"/>
  <c r="E75" i="2" s="1"/>
  <c r="B66" i="2"/>
  <c r="F158" i="2"/>
  <c r="F114" i="2"/>
  <c r="C49" i="2"/>
  <c r="D49" i="2" s="1"/>
  <c r="E49" i="2" s="1"/>
  <c r="B91" i="2"/>
  <c r="F94" i="2"/>
  <c r="F80" i="2"/>
  <c r="F49" i="2"/>
  <c r="B109" i="2"/>
  <c r="C124" i="2"/>
  <c r="D124" i="2" s="1"/>
  <c r="E124" i="2" s="1"/>
  <c r="C54" i="2"/>
  <c r="D54" i="2" s="1"/>
  <c r="E54" i="2" s="1"/>
  <c r="F117" i="2"/>
  <c r="B103" i="2"/>
  <c r="F40" i="2"/>
  <c r="B83" i="2"/>
  <c r="B62" i="2"/>
  <c r="B104" i="2"/>
  <c r="F144" i="2"/>
  <c r="C102" i="2"/>
  <c r="D102" i="2" s="1"/>
  <c r="E102" i="2" s="1"/>
  <c r="C130" i="2"/>
  <c r="D130" i="2" s="1"/>
  <c r="E130" i="2" s="1"/>
  <c r="B56" i="2"/>
  <c r="B64" i="2"/>
  <c r="K10" i="2"/>
  <c r="B57" i="2"/>
  <c r="F39" i="2"/>
  <c r="C35" i="2"/>
  <c r="D35" i="2" s="1"/>
  <c r="E35" i="2" s="1"/>
  <c r="B159" i="2"/>
  <c r="C101" i="2"/>
  <c r="D101" i="2" s="1"/>
  <c r="E101" i="2" s="1"/>
  <c r="B117" i="2"/>
  <c r="F48" i="2"/>
  <c r="F77" i="2"/>
  <c r="B121" i="2"/>
  <c r="B112" i="2"/>
  <c r="C59" i="2"/>
  <c r="D59" i="2" s="1"/>
  <c r="E59" i="2" s="1"/>
  <c r="F65" i="2"/>
  <c r="F73" i="2"/>
  <c r="C48" i="2"/>
  <c r="D48" i="2" s="1"/>
  <c r="E48" i="2" s="1"/>
  <c r="C151" i="2"/>
  <c r="D151" i="2" s="1"/>
  <c r="E151" i="2" s="1"/>
  <c r="C126" i="2"/>
  <c r="D126" i="2" s="1"/>
  <c r="E126" i="2" s="1"/>
  <c r="F154" i="2"/>
  <c r="F138" i="2"/>
  <c r="B37" i="2"/>
  <c r="C83" i="2"/>
  <c r="D83" i="2" s="1"/>
  <c r="E83" i="2" s="1"/>
  <c r="F139" i="2"/>
  <c r="F157" i="2"/>
  <c r="F29" i="2"/>
  <c r="F59" i="2"/>
  <c r="F91" i="2"/>
  <c r="C60" i="2"/>
  <c r="D60" i="2" s="1"/>
  <c r="E60" i="2" s="1"/>
  <c r="F119" i="2"/>
  <c r="F69" i="2"/>
  <c r="B94" i="2"/>
  <c r="B127" i="2"/>
  <c r="B36" i="2"/>
  <c r="C128" i="2"/>
  <c r="D128" i="2" s="1"/>
  <c r="E128" i="2" s="1"/>
  <c r="C34" i="2"/>
  <c r="D34" i="2" s="1"/>
  <c r="E34" i="2" s="1"/>
  <c r="F64" i="2"/>
  <c r="B43" i="2"/>
  <c r="F46" i="2"/>
  <c r="C138" i="2"/>
  <c r="D138" i="2" s="1"/>
  <c r="E138" i="2" s="1"/>
  <c r="C127" i="2"/>
  <c r="D127" i="2" s="1"/>
  <c r="E127" i="2" s="1"/>
  <c r="B139" i="2"/>
  <c r="C30" i="2"/>
  <c r="D30" i="2" s="1"/>
  <c r="E30" i="2" s="1"/>
  <c r="K9" i="2"/>
  <c r="F35" i="2"/>
  <c r="C120" i="2"/>
  <c r="D120" i="2" s="1"/>
  <c r="E120" i="2" s="1"/>
  <c r="F83" i="2"/>
  <c r="F85" i="2"/>
  <c r="C64" i="2"/>
  <c r="D64" i="2" s="1"/>
  <c r="E64" i="2" s="1"/>
  <c r="C43" i="2"/>
  <c r="D43" i="2" s="1"/>
  <c r="E43" i="2" s="1"/>
  <c r="B77" i="2"/>
  <c r="C37" i="2"/>
  <c r="D37" i="2" s="1"/>
  <c r="E37" i="2" s="1"/>
  <c r="C108" i="2"/>
  <c r="D108" i="2" s="1"/>
  <c r="E108" i="2" s="1"/>
  <c r="B35" i="2"/>
  <c r="C110" i="2"/>
  <c r="D110" i="2" s="1"/>
  <c r="E110" i="2" s="1"/>
  <c r="B55" i="2"/>
  <c r="F102" i="2"/>
  <c r="B119" i="2"/>
  <c r="B72" i="2"/>
  <c r="F55" i="2"/>
  <c r="C144" i="2"/>
  <c r="D144" i="2" s="1"/>
  <c r="E144" i="2" s="1"/>
  <c r="B79" i="2"/>
  <c r="B50" i="2"/>
  <c r="F135" i="2"/>
  <c r="B133" i="2"/>
  <c r="C61" i="2"/>
  <c r="D61" i="2" s="1"/>
  <c r="E61" i="2" s="1"/>
  <c r="B107" i="2"/>
  <c r="B123" i="2"/>
  <c r="F92" i="2"/>
  <c r="F98" i="2"/>
  <c r="B122" i="2"/>
  <c r="F150" i="2"/>
  <c r="C80" i="2"/>
  <c r="D80" i="2" s="1"/>
  <c r="E80" i="2" s="1"/>
  <c r="F45" i="2"/>
  <c r="F93" i="2"/>
  <c r="F89" i="2"/>
  <c r="C115" i="2"/>
  <c r="D115" i="2" s="1"/>
  <c r="E115" i="2" s="1"/>
  <c r="F141" i="2"/>
  <c r="B42" i="2"/>
  <c r="C129" i="2"/>
  <c r="D129" i="2" s="1"/>
  <c r="E129" i="2" s="1"/>
  <c r="F47" i="2"/>
  <c r="B152" i="2"/>
  <c r="B120" i="2"/>
  <c r="B108" i="2"/>
  <c r="F100" i="2"/>
  <c r="B33" i="2"/>
  <c r="F32" i="2"/>
  <c r="F125" i="2"/>
  <c r="B146" i="2"/>
  <c r="F133" i="2"/>
  <c r="F67" i="2"/>
  <c r="K5" i="2"/>
  <c r="B76" i="2"/>
  <c r="C148" i="2"/>
  <c r="D148" i="2" s="1"/>
  <c r="E148" i="2" s="1"/>
  <c r="C88" i="2"/>
  <c r="D88" i="2" s="1"/>
  <c r="E88" i="2" s="1"/>
  <c r="F81" i="2"/>
  <c r="C51" i="2"/>
  <c r="D51" i="2" s="1"/>
  <c r="E51" i="2" s="1"/>
  <c r="B156" i="2"/>
  <c r="B69" i="2"/>
  <c r="B45" i="2"/>
  <c r="C122" i="2"/>
  <c r="D122" i="2" s="1"/>
  <c r="E122" i="2" s="1"/>
  <c r="F30" i="2"/>
  <c r="B52" i="2"/>
  <c r="F62" i="2"/>
  <c r="F84" i="2"/>
  <c r="F72" i="2"/>
  <c r="B142" i="2"/>
  <c r="B40" i="2"/>
  <c r="B105" i="2"/>
  <c r="C58" i="2"/>
  <c r="D58" i="2" s="1"/>
  <c r="E58" i="2" s="1"/>
  <c r="F71" i="2"/>
  <c r="C112" i="2"/>
  <c r="D112" i="2" s="1"/>
  <c r="E112" i="2" s="1"/>
  <c r="B73" i="2"/>
  <c r="C85" i="2"/>
  <c r="D85" i="2" s="1"/>
  <c r="E85" i="2" s="1"/>
  <c r="C96" i="2"/>
  <c r="D96" i="2" s="1"/>
  <c r="E96" i="2" s="1"/>
  <c r="F75" i="2"/>
  <c r="F63" i="2"/>
  <c r="C139" i="2"/>
  <c r="D139" i="2" s="1"/>
  <c r="E139" i="2" s="1"/>
  <c r="B75" i="2"/>
  <c r="F43" i="2"/>
  <c r="C73" i="2"/>
  <c r="D73" i="2" s="1"/>
  <c r="E73" i="2" s="1"/>
  <c r="B32" i="2"/>
  <c r="B44" i="2"/>
  <c r="B88" i="2"/>
  <c r="F34" i="2"/>
  <c r="F38" i="2"/>
  <c r="B137" i="2"/>
  <c r="B140" i="2"/>
  <c r="C149" i="2"/>
  <c r="D149" i="2" s="1"/>
  <c r="E149" i="2" s="1"/>
  <c r="C33" i="2"/>
  <c r="D33" i="2" s="1"/>
  <c r="E33" i="2" s="1"/>
  <c r="C29" i="2"/>
  <c r="D29" i="2" s="1"/>
  <c r="E29" i="2" s="1"/>
  <c r="F70" i="2"/>
  <c r="B67" i="2"/>
  <c r="F109" i="2"/>
  <c r="B102" i="2"/>
  <c r="F152" i="2"/>
  <c r="F153" i="2"/>
  <c r="C107" i="2"/>
  <c r="D107" i="2" s="1"/>
  <c r="E107" i="2" s="1"/>
  <c r="C44" i="2"/>
  <c r="D44" i="2" s="1"/>
  <c r="E44" i="2" s="1"/>
  <c r="F148" i="2"/>
  <c r="F112" i="2"/>
  <c r="F131" i="2"/>
  <c r="C154" i="2"/>
  <c r="D154" i="2" s="1"/>
  <c r="E154" i="2" s="1"/>
  <c r="C134" i="2"/>
  <c r="D134" i="2" s="1"/>
  <c r="E134" i="2" s="1"/>
  <c r="C95" i="2"/>
  <c r="D95" i="2" s="1"/>
  <c r="E95" i="2" s="1"/>
  <c r="B95" i="2"/>
  <c r="C103" i="2"/>
  <c r="D103" i="2" s="1"/>
  <c r="E103" i="2" s="1"/>
  <c r="B126" i="2"/>
  <c r="C156" i="2"/>
  <c r="D156" i="2" s="1"/>
  <c r="E156" i="2" s="1"/>
  <c r="F51" i="2"/>
  <c r="C53" i="2"/>
  <c r="D53" i="2" s="1"/>
  <c r="E53" i="2" s="1"/>
  <c r="C50" i="2"/>
  <c r="D50" i="2" s="1"/>
  <c r="E50" i="2" s="1"/>
  <c r="C141" i="2"/>
  <c r="D141" i="2" s="1"/>
  <c r="E141" i="2" s="1"/>
  <c r="B141" i="2"/>
  <c r="C72" i="2"/>
  <c r="D72" i="2" s="1"/>
  <c r="E72" i="2" s="1"/>
  <c r="C52" i="2"/>
  <c r="D52" i="2" s="1"/>
  <c r="E52" i="2" s="1"/>
  <c r="F128" i="2"/>
  <c r="C71" i="2"/>
  <c r="D71" i="2" s="1"/>
  <c r="E71" i="2" s="1"/>
  <c r="F120" i="2"/>
  <c r="C90" i="2"/>
  <c r="D90" i="2" s="1"/>
  <c r="E90" i="2" s="1"/>
  <c r="B81" i="2"/>
  <c r="F95" i="2"/>
  <c r="F142" i="2"/>
  <c r="C69" i="2"/>
  <c r="D69" i="2" s="1"/>
  <c r="E69" i="2" s="1"/>
  <c r="B48" i="2"/>
  <c r="B138" i="2"/>
  <c r="B155" i="2"/>
  <c r="F97" i="2"/>
  <c r="F149" i="2"/>
  <c r="C121" i="2"/>
  <c r="D121" i="2" s="1"/>
  <c r="E121" i="2" s="1"/>
  <c r="C150" i="2"/>
  <c r="D150" i="2" s="1"/>
  <c r="E150" i="2" s="1"/>
  <c r="C137" i="2"/>
  <c r="D137" i="2" s="1"/>
  <c r="E137" i="2" s="1"/>
  <c r="C136" i="2"/>
  <c r="D136" i="2" s="1"/>
  <c r="E136" i="2" s="1"/>
  <c r="C67" i="2"/>
  <c r="D67" i="2" s="1"/>
  <c r="E67" i="2" s="1"/>
  <c r="B92" i="2"/>
  <c r="C117" i="2"/>
  <c r="D117" i="2" s="1"/>
  <c r="E117" i="2" s="1"/>
  <c r="B143" i="2"/>
  <c r="F68" i="2"/>
  <c r="B39" i="2"/>
  <c r="B82" i="2"/>
  <c r="F82" i="2"/>
  <c r="C94" i="2"/>
  <c r="D94" i="2" s="1"/>
  <c r="E94" i="2" s="1"/>
  <c r="V3" i="3"/>
  <c r="C140" i="2"/>
  <c r="D140" i="2" s="1"/>
  <c r="E140" i="2" s="1"/>
  <c r="F76" i="2"/>
  <c r="C135" i="2"/>
  <c r="D135" i="2" s="1"/>
  <c r="E135" i="2" s="1"/>
  <c r="B53" i="2"/>
  <c r="B147" i="2"/>
  <c r="F104" i="2"/>
  <c r="C157" i="2"/>
  <c r="D157" i="2" s="1"/>
  <c r="E157" i="2" s="1"/>
  <c r="F145" i="2"/>
  <c r="F146" i="2"/>
  <c r="F50" i="2"/>
  <c r="F60" i="2"/>
  <c r="C125" i="2"/>
  <c r="D125" i="2" s="1"/>
  <c r="E125" i="2" s="1"/>
  <c r="C66" i="2"/>
  <c r="D66" i="2" s="1"/>
  <c r="E66" i="2" s="1"/>
  <c r="F129" i="2"/>
  <c r="F105" i="2"/>
  <c r="K6" i="2"/>
  <c r="G70" i="2" s="1"/>
  <c r="H70" i="2" s="1"/>
  <c r="B54" i="2"/>
  <c r="C153" i="2"/>
  <c r="D153" i="2" s="1"/>
  <c r="E153" i="2" s="1"/>
  <c r="F58" i="2"/>
  <c r="C89" i="2"/>
  <c r="D89" i="2" s="1"/>
  <c r="E89" i="2" s="1"/>
  <c r="F74" i="2"/>
  <c r="B61" i="2"/>
  <c r="C97" i="2"/>
  <c r="D97" i="2" s="1"/>
  <c r="E97" i="2" s="1"/>
  <c r="B87" i="2"/>
  <c r="C100" i="2"/>
  <c r="D100" i="2" s="1"/>
  <c r="E100" i="2" s="1"/>
  <c r="F113" i="2"/>
  <c r="B149" i="2"/>
  <c r="C131" i="2"/>
  <c r="D131" i="2" s="1"/>
  <c r="E131" i="2" s="1"/>
  <c r="C57" i="2"/>
  <c r="D57" i="2" s="1"/>
  <c r="E57" i="2" s="1"/>
  <c r="B85" i="2"/>
  <c r="B124" i="2"/>
  <c r="V4" i="3"/>
  <c r="V5" i="3"/>
  <c r="G118" i="2"/>
  <c r="H118" i="2" s="1"/>
  <c r="G97" i="2"/>
  <c r="H97" i="2" s="1"/>
  <c r="G159" i="2"/>
  <c r="H159" i="2" s="1"/>
  <c r="G92" i="2"/>
  <c r="H92" i="2" s="1"/>
  <c r="G102" i="2"/>
  <c r="H102" i="2" s="1"/>
  <c r="E10" i="2"/>
  <c r="G44" i="2" l="1"/>
  <c r="H44" i="2" s="1"/>
  <c r="G158" i="2"/>
  <c r="G119" i="2"/>
  <c r="H119" i="2" s="1"/>
  <c r="I119" i="2" s="1"/>
  <c r="G53" i="2"/>
  <c r="H53" i="2" s="1"/>
  <c r="I53" i="2" s="1"/>
  <c r="G108" i="2"/>
  <c r="H108" i="2" s="1"/>
  <c r="I108" i="2" s="1"/>
  <c r="G32" i="2"/>
  <c r="H32" i="2" s="1"/>
  <c r="K32" i="2" s="1"/>
  <c r="L32" i="2" s="1"/>
  <c r="P32" i="2" s="1"/>
  <c r="Q32" i="2" s="1"/>
  <c r="T32" i="2" s="1"/>
  <c r="U32" i="2" s="1"/>
  <c r="G147" i="2"/>
  <c r="H147" i="2" s="1"/>
  <c r="K147" i="2" s="1"/>
  <c r="L147" i="2" s="1"/>
  <c r="N147" i="2" s="1"/>
  <c r="G65" i="2"/>
  <c r="H65" i="2" s="1"/>
  <c r="I65" i="2" s="1"/>
  <c r="G96" i="2"/>
  <c r="H96" i="2" s="1"/>
  <c r="I96" i="2" s="1"/>
  <c r="G49" i="2"/>
  <c r="H49" i="2" s="1"/>
  <c r="K49" i="2" s="1"/>
  <c r="L49" i="2" s="1"/>
  <c r="O49" i="2" s="1"/>
  <c r="G110" i="2"/>
  <c r="H110" i="2" s="1"/>
  <c r="G98" i="2"/>
  <c r="H98" i="2" s="1"/>
  <c r="I98" i="2" s="1"/>
  <c r="G87" i="2"/>
  <c r="G43" i="2"/>
  <c r="H43" i="2" s="1"/>
  <c r="K43" i="2" s="1"/>
  <c r="L43" i="2" s="1"/>
  <c r="M43" i="2" s="1"/>
  <c r="G71" i="2"/>
  <c r="G135" i="2"/>
  <c r="H135" i="2" s="1"/>
  <c r="K135" i="2" s="1"/>
  <c r="L135" i="2" s="1"/>
  <c r="O135" i="2" s="1"/>
  <c r="G59" i="2"/>
  <c r="H59" i="2" s="1"/>
  <c r="K59" i="2" s="1"/>
  <c r="L59" i="2" s="1"/>
  <c r="M59" i="2" s="1"/>
  <c r="G36" i="2"/>
  <c r="H36" i="2" s="1"/>
  <c r="I36" i="2" s="1"/>
  <c r="G76" i="2"/>
  <c r="H76" i="2" s="1"/>
  <c r="I76" i="2" s="1"/>
  <c r="G103" i="2"/>
  <c r="H103" i="2" s="1"/>
  <c r="K103" i="2" s="1"/>
  <c r="L103" i="2" s="1"/>
  <c r="M103" i="2" s="1"/>
  <c r="G124" i="2"/>
  <c r="H124" i="2" s="1"/>
  <c r="I124" i="2" s="1"/>
  <c r="G104" i="2"/>
  <c r="H104" i="2" s="1"/>
  <c r="G52" i="2"/>
  <c r="H52" i="2" s="1"/>
  <c r="K52" i="2" s="1"/>
  <c r="L52" i="2" s="1"/>
  <c r="P52" i="2" s="1"/>
  <c r="Q52" i="2" s="1"/>
  <c r="T52" i="2" s="1"/>
  <c r="U52" i="2" s="1"/>
  <c r="G57" i="2"/>
  <c r="H57" i="2" s="1"/>
  <c r="K57" i="2" s="1"/>
  <c r="L57" i="2" s="1"/>
  <c r="N57" i="2" s="1"/>
  <c r="G143" i="2"/>
  <c r="H143" i="2" s="1"/>
  <c r="K143" i="2" s="1"/>
  <c r="L143" i="2" s="1"/>
  <c r="N143" i="2" s="1"/>
  <c r="G120" i="2"/>
  <c r="H120" i="2" s="1"/>
  <c r="G47" i="2"/>
  <c r="H47" i="2" s="1"/>
  <c r="K47" i="2" s="1"/>
  <c r="L47" i="2" s="1"/>
  <c r="P47" i="2" s="1"/>
  <c r="Q47" i="2" s="1"/>
  <c r="T47" i="2" s="1"/>
  <c r="U47" i="2" s="1"/>
  <c r="G129" i="2"/>
  <c r="H129" i="2" s="1"/>
  <c r="I129" i="2" s="1"/>
  <c r="G72" i="2"/>
  <c r="H72" i="2" s="1"/>
  <c r="K72" i="2" s="1"/>
  <c r="L72" i="2" s="1"/>
  <c r="P72" i="2" s="1"/>
  <c r="Q72" i="2" s="1"/>
  <c r="T72" i="2" s="1"/>
  <c r="U72" i="2" s="1"/>
  <c r="G132" i="2"/>
  <c r="H132" i="2" s="1"/>
  <c r="I132" i="2" s="1"/>
  <c r="G60" i="2"/>
  <c r="H60" i="2" s="1"/>
  <c r="I60" i="2" s="1"/>
  <c r="G95" i="2"/>
  <c r="H95" i="2" s="1"/>
  <c r="I95" i="2" s="1"/>
  <c r="G157" i="2"/>
  <c r="H157" i="2" s="1"/>
  <c r="I157" i="2" s="1"/>
  <c r="G79" i="2"/>
  <c r="G154" i="2"/>
  <c r="H154" i="2" s="1"/>
  <c r="K154" i="2" s="1"/>
  <c r="L154" i="2" s="1"/>
  <c r="M154" i="2" s="1"/>
  <c r="G100" i="2"/>
  <c r="H100" i="2" s="1"/>
  <c r="I100" i="2" s="1"/>
  <c r="G46" i="2"/>
  <c r="H46" i="2" s="1"/>
  <c r="G39" i="2"/>
  <c r="H39" i="2" s="1"/>
  <c r="K39" i="2" s="1"/>
  <c r="L39" i="2" s="1"/>
  <c r="P39" i="2" s="1"/>
  <c r="Q39" i="2" s="1"/>
  <c r="T39" i="2" s="1"/>
  <c r="U39" i="2" s="1"/>
  <c r="G125" i="2"/>
  <c r="H125" i="2" s="1"/>
  <c r="G137" i="2"/>
  <c r="H137" i="2" s="1"/>
  <c r="G116" i="2"/>
  <c r="H116" i="2" s="1"/>
  <c r="K116" i="2" s="1"/>
  <c r="L116" i="2" s="1"/>
  <c r="M116" i="2" s="1"/>
  <c r="G144" i="2"/>
  <c r="H144" i="2" s="1"/>
  <c r="I144" i="2" s="1"/>
  <c r="G63" i="2"/>
  <c r="H63" i="2" s="1"/>
  <c r="G123" i="2"/>
  <c r="H123" i="2" s="1"/>
  <c r="I123" i="2" s="1"/>
  <c r="G51" i="2"/>
  <c r="H51" i="2" s="1"/>
  <c r="K51" i="2" s="1"/>
  <c r="L51" i="2" s="1"/>
  <c r="M51" i="2" s="1"/>
  <c r="G68" i="2"/>
  <c r="H68" i="2" s="1"/>
  <c r="K68" i="2" s="1"/>
  <c r="L68" i="2" s="1"/>
  <c r="N68" i="2" s="1"/>
  <c r="G139" i="2"/>
  <c r="G67" i="2"/>
  <c r="H67" i="2" s="1"/>
  <c r="K67" i="2" s="1"/>
  <c r="L67" i="2" s="1"/>
  <c r="P67" i="2" s="1"/>
  <c r="Q67" i="2" s="1"/>
  <c r="T67" i="2" s="1"/>
  <c r="U67" i="2" s="1"/>
  <c r="G148" i="2"/>
  <c r="H148" i="2" s="1"/>
  <c r="K148" i="2" s="1"/>
  <c r="L148" i="2" s="1"/>
  <c r="P148" i="2" s="1"/>
  <c r="Q148" i="2" s="1"/>
  <c r="T148" i="2" s="1"/>
  <c r="U148" i="2" s="1"/>
  <c r="G94" i="2"/>
  <c r="H94" i="2" s="1"/>
  <c r="K94" i="2" s="1"/>
  <c r="L94" i="2" s="1"/>
  <c r="P94" i="2" s="1"/>
  <c r="Q94" i="2" s="1"/>
  <c r="T94" i="2" s="1"/>
  <c r="U94" i="2" s="1"/>
  <c r="G40" i="2"/>
  <c r="H40" i="2" s="1"/>
  <c r="G138" i="2"/>
  <c r="H138" i="2" s="1"/>
  <c r="I138" i="2" s="1"/>
  <c r="G99" i="2"/>
  <c r="H99" i="2" s="1"/>
  <c r="I99" i="2" s="1"/>
  <c r="G133" i="2"/>
  <c r="H133" i="2" s="1"/>
  <c r="I133" i="2" s="1"/>
  <c r="G111" i="2"/>
  <c r="H111" i="2" s="1"/>
  <c r="G146" i="2"/>
  <c r="H146" i="2" s="1"/>
  <c r="I146" i="2" s="1"/>
  <c r="G74" i="2"/>
  <c r="H74" i="2" s="1"/>
  <c r="K74" i="2" s="1"/>
  <c r="L74" i="2" s="1"/>
  <c r="P74" i="2" s="1"/>
  <c r="Q74" i="2" s="1"/>
  <c r="T74" i="2" s="1"/>
  <c r="U74" i="2" s="1"/>
  <c r="G107" i="2"/>
  <c r="H107" i="2" s="1"/>
  <c r="I107" i="2" s="1"/>
  <c r="G35" i="2"/>
  <c r="H35" i="2" s="1"/>
  <c r="I35" i="2" s="1"/>
  <c r="G30" i="2"/>
  <c r="H30" i="2" s="1"/>
  <c r="I30" i="2" s="1"/>
  <c r="G101" i="2"/>
  <c r="H101" i="2" s="1"/>
  <c r="K101" i="2" s="1"/>
  <c r="L101" i="2" s="1"/>
  <c r="P101" i="2" s="1"/>
  <c r="Q101" i="2" s="1"/>
  <c r="T101" i="2" s="1"/>
  <c r="U101" i="2" s="1"/>
  <c r="G152" i="2"/>
  <c r="H152" i="2" s="1"/>
  <c r="I152" i="2" s="1"/>
  <c r="G80" i="2"/>
  <c r="H80" i="2" s="1"/>
  <c r="K80" i="2" s="1"/>
  <c r="L80" i="2" s="1"/>
  <c r="P80" i="2" s="1"/>
  <c r="Q80" i="2" s="1"/>
  <c r="T80" i="2" s="1"/>
  <c r="U80" i="2" s="1"/>
  <c r="G84" i="2"/>
  <c r="G38" i="2"/>
  <c r="H38" i="2" s="1"/>
  <c r="K38" i="2" s="1"/>
  <c r="L38" i="2" s="1"/>
  <c r="N38" i="2" s="1"/>
  <c r="G126" i="2"/>
  <c r="H126" i="2" s="1"/>
  <c r="K126" i="2" s="1"/>
  <c r="L126" i="2" s="1"/>
  <c r="P126" i="2" s="1"/>
  <c r="Q126" i="2" s="1"/>
  <c r="T126" i="2" s="1"/>
  <c r="U126" i="2" s="1"/>
  <c r="G90" i="2"/>
  <c r="H90" i="2" s="1"/>
  <c r="I90" i="2" s="1"/>
  <c r="G54" i="2"/>
  <c r="H54" i="2" s="1"/>
  <c r="G150" i="2"/>
  <c r="H150" i="2" s="1"/>
  <c r="G114" i="2"/>
  <c r="G78" i="2"/>
  <c r="H78" i="2" s="1"/>
  <c r="K78" i="2" s="1"/>
  <c r="L78" i="2" s="1"/>
  <c r="P78" i="2" s="1"/>
  <c r="Q78" i="2" s="1"/>
  <c r="T78" i="2" s="1"/>
  <c r="U78" i="2" s="1"/>
  <c r="G42" i="2"/>
  <c r="H42" i="2" s="1"/>
  <c r="K42" i="2" s="1"/>
  <c r="L42" i="2" s="1"/>
  <c r="P42" i="2" s="1"/>
  <c r="Q42" i="2" s="1"/>
  <c r="T42" i="2" s="1"/>
  <c r="U42" i="2" s="1"/>
  <c r="G131" i="2"/>
  <c r="H131" i="2" s="1"/>
  <c r="I131" i="2" s="1"/>
  <c r="G86" i="2"/>
  <c r="H86" i="2" s="1"/>
  <c r="G50" i="2"/>
  <c r="H50" i="2" s="1"/>
  <c r="G151" i="2"/>
  <c r="H151" i="2" s="1"/>
  <c r="K151" i="2" s="1"/>
  <c r="L151" i="2" s="1"/>
  <c r="P151" i="2" s="1"/>
  <c r="Q151" i="2" s="1"/>
  <c r="T151" i="2" s="1"/>
  <c r="U151" i="2" s="1"/>
  <c r="G121" i="2"/>
  <c r="H121" i="2" s="1"/>
  <c r="I121" i="2" s="1"/>
  <c r="G91" i="2"/>
  <c r="H91" i="2" s="1"/>
  <c r="I91" i="2" s="1"/>
  <c r="G61" i="2"/>
  <c r="H61" i="2" s="1"/>
  <c r="I61" i="2" s="1"/>
  <c r="G37" i="2"/>
  <c r="H37" i="2" s="1"/>
  <c r="G142" i="2"/>
  <c r="H142" i="2" s="1"/>
  <c r="G112" i="2"/>
  <c r="H112" i="2" s="1"/>
  <c r="K112" i="2" s="1"/>
  <c r="L112" i="2" s="1"/>
  <c r="N112" i="2" s="1"/>
  <c r="G88" i="2"/>
  <c r="H88" i="2" s="1"/>
  <c r="K88" i="2" s="1"/>
  <c r="L88" i="2" s="1"/>
  <c r="O88" i="2" s="1"/>
  <c r="G58" i="2"/>
  <c r="H58" i="2" s="1"/>
  <c r="G34" i="2"/>
  <c r="H34" i="2" s="1"/>
  <c r="K34" i="2" s="1"/>
  <c r="L34" i="2" s="1"/>
  <c r="P34" i="2" s="1"/>
  <c r="Q34" i="2" s="1"/>
  <c r="T34" i="2" s="1"/>
  <c r="U34" i="2" s="1"/>
  <c r="G66" i="2"/>
  <c r="H66" i="2" s="1"/>
  <c r="K66" i="2" s="1"/>
  <c r="L66" i="2" s="1"/>
  <c r="O66" i="2" s="1"/>
  <c r="G75" i="2"/>
  <c r="H75" i="2" s="1"/>
  <c r="G140" i="2"/>
  <c r="H140" i="2" s="1"/>
  <c r="G93" i="2"/>
  <c r="H93" i="2" s="1"/>
  <c r="I93" i="2" s="1"/>
  <c r="G128" i="2"/>
  <c r="G56" i="2"/>
  <c r="H56" i="2" s="1"/>
  <c r="G89" i="2"/>
  <c r="H89" i="2" s="1"/>
  <c r="I89" i="2" s="1"/>
  <c r="G156" i="2"/>
  <c r="H156" i="2" s="1"/>
  <c r="I156" i="2" s="1"/>
  <c r="G155" i="2"/>
  <c r="H155" i="2" s="1"/>
  <c r="K155" i="2" s="1"/>
  <c r="L155" i="2" s="1"/>
  <c r="N155" i="2" s="1"/>
  <c r="G83" i="2"/>
  <c r="H83" i="2" s="1"/>
  <c r="I83" i="2" s="1"/>
  <c r="G134" i="2"/>
  <c r="H134" i="2" s="1"/>
  <c r="K134" i="2" s="1"/>
  <c r="L134" i="2" s="1"/>
  <c r="N134" i="2" s="1"/>
  <c r="G62" i="2"/>
  <c r="H62" i="2" s="1"/>
  <c r="I62" i="2" s="1"/>
  <c r="G48" i="2"/>
  <c r="H48" i="2" s="1"/>
  <c r="K48" i="2" s="1"/>
  <c r="L48" i="2" s="1"/>
  <c r="P48" i="2" s="1"/>
  <c r="Q48" i="2" s="1"/>
  <c r="T48" i="2" s="1"/>
  <c r="U48" i="2" s="1"/>
  <c r="G153" i="2"/>
  <c r="G117" i="2"/>
  <c r="G81" i="2"/>
  <c r="H81" i="2" s="1"/>
  <c r="K81" i="2" s="1"/>
  <c r="L81" i="2" s="1"/>
  <c r="M81" i="2" s="1"/>
  <c r="G45" i="2"/>
  <c r="G141" i="2"/>
  <c r="H141" i="2" s="1"/>
  <c r="G105" i="2"/>
  <c r="H105" i="2" s="1"/>
  <c r="G69" i="2"/>
  <c r="H69" i="2" s="1"/>
  <c r="G33" i="2"/>
  <c r="G113" i="2"/>
  <c r="H113" i="2" s="1"/>
  <c r="G77" i="2"/>
  <c r="H77" i="2" s="1"/>
  <c r="K77" i="2" s="1"/>
  <c r="L77" i="2" s="1"/>
  <c r="M77" i="2" s="1"/>
  <c r="G41" i="2"/>
  <c r="H41" i="2" s="1"/>
  <c r="I41" i="2" s="1"/>
  <c r="G145" i="2"/>
  <c r="G109" i="2"/>
  <c r="H109" i="2" s="1"/>
  <c r="K109" i="2" s="1"/>
  <c r="L109" i="2" s="1"/>
  <c r="O109" i="2" s="1"/>
  <c r="G85" i="2"/>
  <c r="H85" i="2" s="1"/>
  <c r="I85" i="2" s="1"/>
  <c r="G55" i="2"/>
  <c r="H55" i="2" s="1"/>
  <c r="I55" i="2" s="1"/>
  <c r="G31" i="2"/>
  <c r="G130" i="2"/>
  <c r="H130" i="2" s="1"/>
  <c r="K130" i="2" s="1"/>
  <c r="L130" i="2" s="1"/>
  <c r="P130" i="2" s="1"/>
  <c r="Q130" i="2" s="1"/>
  <c r="T130" i="2" s="1"/>
  <c r="U130" i="2" s="1"/>
  <c r="G106" i="2"/>
  <c r="H106" i="2" s="1"/>
  <c r="G82" i="2"/>
  <c r="H82" i="2" s="1"/>
  <c r="G122" i="2"/>
  <c r="H122" i="2" s="1"/>
  <c r="K122" i="2" s="1"/>
  <c r="L122" i="2" s="1"/>
  <c r="P122" i="2" s="1"/>
  <c r="Q122" i="2" s="1"/>
  <c r="T122" i="2" s="1"/>
  <c r="U122" i="2" s="1"/>
  <c r="G127" i="2"/>
  <c r="H127" i="2" s="1"/>
  <c r="G149" i="2"/>
  <c r="H149" i="2" s="1"/>
  <c r="K149" i="2" s="1"/>
  <c r="L149" i="2" s="1"/>
  <c r="M149" i="2" s="1"/>
  <c r="G73" i="2"/>
  <c r="H73" i="2" s="1"/>
  <c r="K73" i="2" s="1"/>
  <c r="L73" i="2" s="1"/>
  <c r="P73" i="2" s="1"/>
  <c r="Q73" i="2" s="1"/>
  <c r="T73" i="2" s="1"/>
  <c r="U73" i="2" s="1"/>
  <c r="G29" i="2"/>
  <c r="H29" i="2" s="1"/>
  <c r="K29" i="2" s="1"/>
  <c r="L29" i="2" s="1"/>
  <c r="M29" i="2" s="1"/>
  <c r="G136" i="2"/>
  <c r="G64" i="2"/>
  <c r="H64" i="2" s="1"/>
  <c r="I64" i="2" s="1"/>
  <c r="G115" i="2"/>
  <c r="H115" i="2" s="1"/>
  <c r="K115" i="2" s="1"/>
  <c r="L115" i="2" s="1"/>
  <c r="P115" i="2" s="1"/>
  <c r="Q115" i="2" s="1"/>
  <c r="T115" i="2" s="1"/>
  <c r="U115" i="2" s="1"/>
  <c r="I63" i="2"/>
  <c r="I143" i="2"/>
  <c r="I44" i="2"/>
  <c r="I155" i="2"/>
  <c r="I59" i="2"/>
  <c r="I118" i="2"/>
  <c r="I135" i="2"/>
  <c r="I125" i="2"/>
  <c r="I58" i="2"/>
  <c r="I92" i="2"/>
  <c r="K30" i="2"/>
  <c r="L30" i="2" s="1"/>
  <c r="M30" i="2" s="1"/>
  <c r="K36" i="2"/>
  <c r="L36" i="2" s="1"/>
  <c r="O36" i="2" s="1"/>
  <c r="K40" i="2"/>
  <c r="L40" i="2" s="1"/>
  <c r="N40" i="2" s="1"/>
  <c r="K85" i="2"/>
  <c r="L85" i="2" s="1"/>
  <c r="O85" i="2" s="1"/>
  <c r="K91" i="2"/>
  <c r="L91" i="2" s="1"/>
  <c r="O91" i="2" s="1"/>
  <c r="K97" i="2"/>
  <c r="L97" i="2" s="1"/>
  <c r="O97" i="2" s="1"/>
  <c r="K44" i="2"/>
  <c r="L44" i="2" s="1"/>
  <c r="M44" i="2" s="1"/>
  <c r="K58" i="2"/>
  <c r="L58" i="2" s="1"/>
  <c r="M58" i="2" s="1"/>
  <c r="K64" i="2"/>
  <c r="L64" i="2" s="1"/>
  <c r="O64" i="2" s="1"/>
  <c r="K70" i="2"/>
  <c r="L70" i="2" s="1"/>
  <c r="O70" i="2" s="1"/>
  <c r="K100" i="2"/>
  <c r="L100" i="2" s="1"/>
  <c r="M100" i="2" s="1"/>
  <c r="K118" i="2"/>
  <c r="L118" i="2" s="1"/>
  <c r="M118" i="2" s="1"/>
  <c r="K124" i="2"/>
  <c r="L124" i="2" s="1"/>
  <c r="O124" i="2" s="1"/>
  <c r="K125" i="2"/>
  <c r="L125" i="2" s="1"/>
  <c r="M125" i="2" s="1"/>
  <c r="K98" i="2"/>
  <c r="L98" i="2" s="1"/>
  <c r="O98" i="2" s="1"/>
  <c r="K63" i="2"/>
  <c r="L63" i="2" s="1"/>
  <c r="N63" i="2" s="1"/>
  <c r="K123" i="2"/>
  <c r="L123" i="2" s="1"/>
  <c r="P123" i="2" s="1"/>
  <c r="Q123" i="2" s="1"/>
  <c r="T123" i="2" s="1"/>
  <c r="U123" i="2" s="1"/>
  <c r="K159" i="2"/>
  <c r="L159" i="2" s="1"/>
  <c r="M159" i="2" s="1"/>
  <c r="K92" i="2"/>
  <c r="L92" i="2" s="1"/>
  <c r="N92" i="2" s="1"/>
  <c r="K152" i="2"/>
  <c r="L152" i="2" s="1"/>
  <c r="M152" i="2" s="1"/>
  <c r="K129" i="2"/>
  <c r="L129" i="2" s="1"/>
  <c r="M129" i="2" s="1"/>
  <c r="K144" i="2"/>
  <c r="L144" i="2" s="1"/>
  <c r="O144" i="2" s="1"/>
  <c r="K90" i="2"/>
  <c r="L90" i="2" s="1"/>
  <c r="N90" i="2" s="1"/>
  <c r="K96" i="2"/>
  <c r="L96" i="2" s="1"/>
  <c r="N96" i="2" s="1"/>
  <c r="K102" i="2"/>
  <c r="L102" i="2" s="1"/>
  <c r="N102" i="2" s="1"/>
  <c r="I66" i="2"/>
  <c r="I40" i="2"/>
  <c r="I52" i="2"/>
  <c r="I159" i="2"/>
  <c r="H87" i="2"/>
  <c r="K87" i="2" s="1"/>
  <c r="L87" i="2" s="1"/>
  <c r="P87" i="2" s="1"/>
  <c r="Q87" i="2" s="1"/>
  <c r="T87" i="2" s="1"/>
  <c r="U87" i="2" s="1"/>
  <c r="H158" i="2"/>
  <c r="H128" i="2"/>
  <c r="H145" i="2"/>
  <c r="K145" i="2" s="1"/>
  <c r="L145" i="2" s="1"/>
  <c r="P145" i="2" s="1"/>
  <c r="Q145" i="2" s="1"/>
  <c r="T145" i="2" s="1"/>
  <c r="U145" i="2" s="1"/>
  <c r="H153" i="2"/>
  <c r="H117" i="2"/>
  <c r="K117" i="2" s="1"/>
  <c r="L117" i="2" s="1"/>
  <c r="P117" i="2" s="1"/>
  <c r="Q117" i="2" s="1"/>
  <c r="T117" i="2" s="1"/>
  <c r="U117" i="2" s="1"/>
  <c r="H45" i="2"/>
  <c r="I70" i="2"/>
  <c r="I122" i="2"/>
  <c r="I102" i="2"/>
  <c r="I97" i="2"/>
  <c r="H136" i="2"/>
  <c r="K136" i="2" s="1"/>
  <c r="L136" i="2" s="1"/>
  <c r="P136" i="2" s="1"/>
  <c r="Q136" i="2" s="1"/>
  <c r="T136" i="2" s="1"/>
  <c r="U136" i="2" s="1"/>
  <c r="H84" i="2"/>
  <c r="I48" i="2"/>
  <c r="H79" i="2"/>
  <c r="K79" i="2" s="1"/>
  <c r="L79" i="2" s="1"/>
  <c r="P79" i="2" s="1"/>
  <c r="Q79" i="2" s="1"/>
  <c r="T79" i="2" s="1"/>
  <c r="U79" i="2" s="1"/>
  <c r="H71" i="2"/>
  <c r="H139" i="2"/>
  <c r="K139" i="2" s="1"/>
  <c r="L139" i="2" s="1"/>
  <c r="P139" i="2" s="1"/>
  <c r="Q139" i="2" s="1"/>
  <c r="T139" i="2" s="1"/>
  <c r="U139" i="2" s="1"/>
  <c r="H31" i="2"/>
  <c r="H114" i="2"/>
  <c r="K114" i="2" s="1"/>
  <c r="L114" i="2" s="1"/>
  <c r="P114" i="2" s="1"/>
  <c r="Q114" i="2" s="1"/>
  <c r="T114" i="2" s="1"/>
  <c r="U114" i="2" s="1"/>
  <c r="H33" i="2"/>
  <c r="K35" i="2" l="1"/>
  <c r="L35" i="2" s="1"/>
  <c r="P35" i="2" s="1"/>
  <c r="Q35" i="2" s="1"/>
  <c r="T35" i="2" s="1"/>
  <c r="U35" i="2" s="1"/>
  <c r="I112" i="2"/>
  <c r="I109" i="2"/>
  <c r="I49" i="2"/>
  <c r="I151" i="2"/>
  <c r="I68" i="2"/>
  <c r="K53" i="2"/>
  <c r="L53" i="2" s="1"/>
  <c r="N53" i="2" s="1"/>
  <c r="K119" i="2"/>
  <c r="L119" i="2" s="1"/>
  <c r="O119" i="2" s="1"/>
  <c r="P40" i="2"/>
  <c r="Q40" i="2" s="1"/>
  <c r="T40" i="2" s="1"/>
  <c r="U40" i="2" s="1"/>
  <c r="K107" i="2"/>
  <c r="L107" i="2" s="1"/>
  <c r="N107" i="2" s="1"/>
  <c r="I154" i="2"/>
  <c r="K138" i="2"/>
  <c r="L138" i="2" s="1"/>
  <c r="N138" i="2" s="1"/>
  <c r="K108" i="2"/>
  <c r="L108" i="2" s="1"/>
  <c r="P108" i="2" s="1"/>
  <c r="Q108" i="2" s="1"/>
  <c r="T108" i="2" s="1"/>
  <c r="U108" i="2" s="1"/>
  <c r="K83" i="2"/>
  <c r="L83" i="2" s="1"/>
  <c r="N83" i="2" s="1"/>
  <c r="K95" i="2"/>
  <c r="L95" i="2" s="1"/>
  <c r="M95" i="2" s="1"/>
  <c r="I29" i="2"/>
  <c r="K89" i="2"/>
  <c r="L89" i="2" s="1"/>
  <c r="M89" i="2" s="1"/>
  <c r="I43" i="2"/>
  <c r="K132" i="2"/>
  <c r="L132" i="2" s="1"/>
  <c r="M132" i="2" s="1"/>
  <c r="K76" i="2"/>
  <c r="L76" i="2" s="1"/>
  <c r="M76" i="2" s="1"/>
  <c r="K133" i="2"/>
  <c r="L133" i="2" s="1"/>
  <c r="O133" i="2" s="1"/>
  <c r="K65" i="2"/>
  <c r="L65" i="2" s="1"/>
  <c r="P65" i="2" s="1"/>
  <c r="Q65" i="2" s="1"/>
  <c r="T65" i="2" s="1"/>
  <c r="U65" i="2" s="1"/>
  <c r="I77" i="2"/>
  <c r="I147" i="2"/>
  <c r="I149" i="2"/>
  <c r="I38" i="2"/>
  <c r="I134" i="2"/>
  <c r="K60" i="2"/>
  <c r="L60" i="2" s="1"/>
  <c r="M60" i="2" s="1"/>
  <c r="I103" i="2"/>
  <c r="K146" i="2"/>
  <c r="L146" i="2" s="1"/>
  <c r="N146" i="2" s="1"/>
  <c r="I57" i="2"/>
  <c r="K61" i="2"/>
  <c r="L61" i="2" s="1"/>
  <c r="N61" i="2" s="1"/>
  <c r="K62" i="2"/>
  <c r="L62" i="2" s="1"/>
  <c r="N62" i="2" s="1"/>
  <c r="K41" i="2"/>
  <c r="L41" i="2" s="1"/>
  <c r="M41" i="2" s="1"/>
  <c r="I88" i="2"/>
  <c r="K93" i="2"/>
  <c r="L93" i="2" s="1"/>
  <c r="O93" i="2" s="1"/>
  <c r="P154" i="2"/>
  <c r="Q154" i="2" s="1"/>
  <c r="T154" i="2" s="1"/>
  <c r="U154" i="2" s="1"/>
  <c r="I51" i="2"/>
  <c r="K99" i="2"/>
  <c r="L99" i="2" s="1"/>
  <c r="N99" i="2" s="1"/>
  <c r="K55" i="2"/>
  <c r="L55" i="2" s="1"/>
  <c r="P55" i="2" s="1"/>
  <c r="Q55" i="2" s="1"/>
  <c r="T55" i="2" s="1"/>
  <c r="U55" i="2" s="1"/>
  <c r="K131" i="2"/>
  <c r="L131" i="2" s="1"/>
  <c r="M131" i="2" s="1"/>
  <c r="I148" i="2"/>
  <c r="K156" i="2"/>
  <c r="L156" i="2" s="1"/>
  <c r="O156" i="2" s="1"/>
  <c r="K121" i="2"/>
  <c r="L121" i="2" s="1"/>
  <c r="N121" i="2" s="1"/>
  <c r="I81" i="2"/>
  <c r="I116" i="2"/>
  <c r="P30" i="2"/>
  <c r="Q30" i="2" s="1"/>
  <c r="T30" i="2" s="1"/>
  <c r="U30" i="2" s="1"/>
  <c r="K157" i="2"/>
  <c r="L157" i="2" s="1"/>
  <c r="M157" i="2" s="1"/>
  <c r="M40" i="2"/>
  <c r="O38" i="2"/>
  <c r="N103" i="2"/>
  <c r="N95" i="2"/>
  <c r="N151" i="2"/>
  <c r="P91" i="2"/>
  <c r="Q91" i="2" s="1"/>
  <c r="T91" i="2" s="1"/>
  <c r="U91" i="2" s="1"/>
  <c r="N98" i="2"/>
  <c r="N52" i="2"/>
  <c r="O51" i="2"/>
  <c r="M97" i="2"/>
  <c r="P133" i="2"/>
  <c r="Q133" i="2" s="1"/>
  <c r="T133" i="2" s="1"/>
  <c r="U133" i="2" s="1"/>
  <c r="N129" i="2"/>
  <c r="P97" i="2"/>
  <c r="Q97" i="2" s="1"/>
  <c r="T97" i="2" s="1"/>
  <c r="U97" i="2" s="1"/>
  <c r="O40" i="2"/>
  <c r="P38" i="2"/>
  <c r="Q38" i="2" s="1"/>
  <c r="T38" i="2" s="1"/>
  <c r="U38" i="2" s="1"/>
  <c r="P112" i="2"/>
  <c r="Q112" i="2" s="1"/>
  <c r="T112" i="2" s="1"/>
  <c r="U112" i="2" s="1"/>
  <c r="M38" i="2"/>
  <c r="P66" i="2"/>
  <c r="Q66" i="2" s="1"/>
  <c r="T66" i="2" s="1"/>
  <c r="U66" i="2" s="1"/>
  <c r="M93" i="2"/>
  <c r="N30" i="2"/>
  <c r="P95" i="2"/>
  <c r="Q95" i="2" s="1"/>
  <c r="T95" i="2" s="1"/>
  <c r="U95" i="2" s="1"/>
  <c r="N133" i="2"/>
  <c r="N66" i="2"/>
  <c r="N124" i="2"/>
  <c r="P98" i="2"/>
  <c r="Q98" i="2" s="1"/>
  <c r="T98" i="2" s="1"/>
  <c r="U98" i="2" s="1"/>
  <c r="M96" i="2"/>
  <c r="N97" i="2"/>
  <c r="P155" i="2"/>
  <c r="Q155" i="2" s="1"/>
  <c r="T155" i="2" s="1"/>
  <c r="U155" i="2" s="1"/>
  <c r="O30" i="2"/>
  <c r="M49" i="2"/>
  <c r="O148" i="2"/>
  <c r="M124" i="2"/>
  <c r="P90" i="2"/>
  <c r="Q90" i="2" s="1"/>
  <c r="T90" i="2" s="1"/>
  <c r="U90" i="2" s="1"/>
  <c r="P147" i="2"/>
  <c r="Q147" i="2" s="1"/>
  <c r="T147" i="2" s="1"/>
  <c r="U147" i="2" s="1"/>
  <c r="O96" i="2"/>
  <c r="N148" i="2"/>
  <c r="O68" i="2"/>
  <c r="P64" i="2"/>
  <c r="Q64" i="2" s="1"/>
  <c r="T64" i="2" s="1"/>
  <c r="U64" i="2" s="1"/>
  <c r="P144" i="2"/>
  <c r="Q144" i="2" s="1"/>
  <c r="T144" i="2" s="1"/>
  <c r="U144" i="2" s="1"/>
  <c r="M35" i="2"/>
  <c r="P77" i="2"/>
  <c r="Q77" i="2" s="1"/>
  <c r="T77" i="2" s="1"/>
  <c r="U77" i="2" s="1"/>
  <c r="N149" i="2"/>
  <c r="P100" i="2"/>
  <c r="Q100" i="2" s="1"/>
  <c r="T100" i="2" s="1"/>
  <c r="U100" i="2" s="1"/>
  <c r="M52" i="2"/>
  <c r="M148" i="2"/>
  <c r="O151" i="2"/>
  <c r="O43" i="2"/>
  <c r="P85" i="2"/>
  <c r="Q85" i="2" s="1"/>
  <c r="T85" i="2" s="1"/>
  <c r="U85" i="2" s="1"/>
  <c r="P92" i="2"/>
  <c r="Q92" i="2" s="1"/>
  <c r="T92" i="2" s="1"/>
  <c r="U92" i="2" s="1"/>
  <c r="M147" i="2"/>
  <c r="M98" i="2"/>
  <c r="M151" i="2"/>
  <c r="P118" i="2"/>
  <c r="Q118" i="2" s="1"/>
  <c r="T118" i="2" s="1"/>
  <c r="U118" i="2" s="1"/>
  <c r="O146" i="2"/>
  <c r="P124" i="2"/>
  <c r="Q124" i="2" s="1"/>
  <c r="T124" i="2" s="1"/>
  <c r="U124" i="2" s="1"/>
  <c r="O123" i="2"/>
  <c r="P103" i="2"/>
  <c r="Q103" i="2" s="1"/>
  <c r="T103" i="2" s="1"/>
  <c r="U103" i="2" s="1"/>
  <c r="O103" i="2"/>
  <c r="P68" i="2"/>
  <c r="Q68" i="2" s="1"/>
  <c r="T68" i="2" s="1"/>
  <c r="U68" i="2" s="1"/>
  <c r="O52" i="2"/>
  <c r="M68" i="2"/>
  <c r="M64" i="2"/>
  <c r="M85" i="2"/>
  <c r="N29" i="2"/>
  <c r="M66" i="2"/>
  <c r="P51" i="2"/>
  <c r="Q51" i="2" s="1"/>
  <c r="T51" i="2" s="1"/>
  <c r="U51" i="2" s="1"/>
  <c r="O147" i="2"/>
  <c r="P116" i="2"/>
  <c r="Q116" i="2" s="1"/>
  <c r="T116" i="2" s="1"/>
  <c r="U116" i="2" s="1"/>
  <c r="P107" i="2"/>
  <c r="Q107" i="2" s="1"/>
  <c r="T107" i="2" s="1"/>
  <c r="U107" i="2" s="1"/>
  <c r="P29" i="2"/>
  <c r="Q29" i="2" s="1"/>
  <c r="T29" i="2" s="1"/>
  <c r="U29" i="2" s="1"/>
  <c r="N51" i="2"/>
  <c r="O29" i="2"/>
  <c r="N43" i="2"/>
  <c r="P43" i="2"/>
  <c r="Q43" i="2" s="1"/>
  <c r="T43" i="2" s="1"/>
  <c r="U43" i="2" s="1"/>
  <c r="P49" i="2"/>
  <c r="Q49" i="2" s="1"/>
  <c r="T49" i="2" s="1"/>
  <c r="U49" i="2" s="1"/>
  <c r="P159" i="2"/>
  <c r="Q159" i="2" s="1"/>
  <c r="T159" i="2" s="1"/>
  <c r="U159" i="2" s="1"/>
  <c r="P143" i="2"/>
  <c r="Q143" i="2" s="1"/>
  <c r="T143" i="2" s="1"/>
  <c r="U143" i="2" s="1"/>
  <c r="P53" i="2"/>
  <c r="Q53" i="2" s="1"/>
  <c r="T53" i="2" s="1"/>
  <c r="U53" i="2" s="1"/>
  <c r="P138" i="2"/>
  <c r="Q138" i="2" s="1"/>
  <c r="T138" i="2" s="1"/>
  <c r="U138" i="2" s="1"/>
  <c r="O159" i="2"/>
  <c r="P96" i="2"/>
  <c r="Q96" i="2" s="1"/>
  <c r="T96" i="2" s="1"/>
  <c r="U96" i="2" s="1"/>
  <c r="N154" i="2"/>
  <c r="M123" i="2"/>
  <c r="M134" i="2"/>
  <c r="P129" i="2"/>
  <c r="Q129" i="2" s="1"/>
  <c r="T129" i="2" s="1"/>
  <c r="U129" i="2" s="1"/>
  <c r="N81" i="2"/>
  <c r="O143" i="2"/>
  <c r="O149" i="2"/>
  <c r="P88" i="2"/>
  <c r="Q88" i="2" s="1"/>
  <c r="T88" i="2" s="1"/>
  <c r="U88" i="2" s="1"/>
  <c r="P134" i="2"/>
  <c r="Q134" i="2" s="1"/>
  <c r="T134" i="2" s="1"/>
  <c r="U134" i="2" s="1"/>
  <c r="N123" i="2"/>
  <c r="O134" i="2"/>
  <c r="O57" i="2"/>
  <c r="N144" i="2"/>
  <c r="N100" i="2"/>
  <c r="N132" i="2"/>
  <c r="P44" i="2"/>
  <c r="Q44" i="2" s="1"/>
  <c r="T44" i="2" s="1"/>
  <c r="U44" i="2" s="1"/>
  <c r="P57" i="2"/>
  <c r="Q57" i="2" s="1"/>
  <c r="T57" i="2" s="1"/>
  <c r="U57" i="2" s="1"/>
  <c r="O125" i="2"/>
  <c r="M90" i="2"/>
  <c r="M91" i="2"/>
  <c r="O77" i="2"/>
  <c r="N36" i="2"/>
  <c r="P149" i="2"/>
  <c r="Q149" i="2" s="1"/>
  <c r="T149" i="2" s="1"/>
  <c r="U149" i="2" s="1"/>
  <c r="M138" i="2"/>
  <c r="O118" i="2"/>
  <c r="M99" i="2"/>
  <c r="M155" i="2"/>
  <c r="N44" i="2"/>
  <c r="P81" i="2"/>
  <c r="Q81" i="2" s="1"/>
  <c r="T81" i="2" s="1"/>
  <c r="U81" i="2" s="1"/>
  <c r="P36" i="2"/>
  <c r="Q36" i="2" s="1"/>
  <c r="T36" i="2" s="1"/>
  <c r="U36" i="2" s="1"/>
  <c r="O81" i="2"/>
  <c r="N118" i="2"/>
  <c r="N116" i="2"/>
  <c r="O155" i="2"/>
  <c r="I111" i="2"/>
  <c r="I105" i="2"/>
  <c r="I140" i="2"/>
  <c r="N39" i="2"/>
  <c r="O39" i="2"/>
  <c r="M39" i="2"/>
  <c r="I39" i="2"/>
  <c r="I120" i="2"/>
  <c r="P152" i="2"/>
  <c r="Q152" i="2" s="1"/>
  <c r="T152" i="2" s="1"/>
  <c r="U152" i="2" s="1"/>
  <c r="I153" i="2"/>
  <c r="I128" i="2"/>
  <c r="I142" i="2"/>
  <c r="I46" i="2"/>
  <c r="I113" i="2"/>
  <c r="P102" i="2"/>
  <c r="Q102" i="2" s="1"/>
  <c r="T102" i="2" s="1"/>
  <c r="U102" i="2" s="1"/>
  <c r="I141" i="2"/>
  <c r="I127" i="2"/>
  <c r="I31" i="2"/>
  <c r="N80" i="2"/>
  <c r="I80" i="2"/>
  <c r="O80" i="2"/>
  <c r="M80" i="2"/>
  <c r="I75" i="2"/>
  <c r="N48" i="2"/>
  <c r="I82" i="2"/>
  <c r="N122" i="2"/>
  <c r="P63" i="2"/>
  <c r="Q63" i="2" s="1"/>
  <c r="T63" i="2" s="1"/>
  <c r="U63" i="2" s="1"/>
  <c r="P146" i="2"/>
  <c r="Q146" i="2" s="1"/>
  <c r="T146" i="2" s="1"/>
  <c r="U146" i="2" s="1"/>
  <c r="M146" i="2"/>
  <c r="I54" i="2"/>
  <c r="I50" i="2"/>
  <c r="N130" i="2"/>
  <c r="O130" i="2"/>
  <c r="I130" i="2"/>
  <c r="M130" i="2"/>
  <c r="N159" i="2"/>
  <c r="K75" i="2"/>
  <c r="L75" i="2" s="1"/>
  <c r="P75" i="2" s="1"/>
  <c r="Q75" i="2" s="1"/>
  <c r="T75" i="2" s="1"/>
  <c r="U75" i="2" s="1"/>
  <c r="K113" i="2"/>
  <c r="L113" i="2" s="1"/>
  <c r="P113" i="2" s="1"/>
  <c r="Q113" i="2" s="1"/>
  <c r="T113" i="2" s="1"/>
  <c r="U113" i="2" s="1"/>
  <c r="K54" i="2"/>
  <c r="L54" i="2" s="1"/>
  <c r="P54" i="2" s="1"/>
  <c r="Q54" i="2" s="1"/>
  <c r="T54" i="2" s="1"/>
  <c r="U54" i="2" s="1"/>
  <c r="M57" i="2"/>
  <c r="M92" i="2"/>
  <c r="M144" i="2"/>
  <c r="O116" i="2"/>
  <c r="N88" i="2"/>
  <c r="O44" i="2"/>
  <c r="M63" i="2"/>
  <c r="O115" i="2"/>
  <c r="M115" i="2"/>
  <c r="N115" i="2"/>
  <c r="I115" i="2"/>
  <c r="O152" i="2"/>
  <c r="O59" i="2"/>
  <c r="O78" i="2"/>
  <c r="M78" i="2"/>
  <c r="N78" i="2"/>
  <c r="I78" i="2"/>
  <c r="I110" i="2"/>
  <c r="I106" i="2"/>
  <c r="M48" i="2"/>
  <c r="N49" i="2"/>
  <c r="M102" i="2"/>
  <c r="N70" i="2"/>
  <c r="P59" i="2"/>
  <c r="Q59" i="2" s="1"/>
  <c r="T59" i="2" s="1"/>
  <c r="U59" i="2" s="1"/>
  <c r="I37" i="2"/>
  <c r="I158" i="2"/>
  <c r="N85" i="2"/>
  <c r="O129" i="2"/>
  <c r="N47" i="2"/>
  <c r="M47" i="2"/>
  <c r="O47" i="2"/>
  <c r="I47" i="2"/>
  <c r="K153" i="2"/>
  <c r="L153" i="2" s="1"/>
  <c r="P153" i="2" s="1"/>
  <c r="Q153" i="2" s="1"/>
  <c r="T153" i="2" s="1"/>
  <c r="U153" i="2" s="1"/>
  <c r="K140" i="2"/>
  <c r="L140" i="2" s="1"/>
  <c r="P140" i="2" s="1"/>
  <c r="Q140" i="2" s="1"/>
  <c r="T140" i="2" s="1"/>
  <c r="U140" i="2" s="1"/>
  <c r="K50" i="2"/>
  <c r="L50" i="2" s="1"/>
  <c r="P50" i="2" s="1"/>
  <c r="Q50" i="2" s="1"/>
  <c r="T50" i="2" s="1"/>
  <c r="U50" i="2" s="1"/>
  <c r="K110" i="2"/>
  <c r="L110" i="2" s="1"/>
  <c r="P110" i="2" s="1"/>
  <c r="Q110" i="2" s="1"/>
  <c r="T110" i="2" s="1"/>
  <c r="U110" i="2" s="1"/>
  <c r="M112" i="2"/>
  <c r="O138" i="2"/>
  <c r="O92" i="2"/>
  <c r="N125" i="2"/>
  <c r="O90" i="2"/>
  <c r="N91" i="2"/>
  <c r="M36" i="2"/>
  <c r="O107" i="2"/>
  <c r="M88" i="2"/>
  <c r="N64" i="2"/>
  <c r="N59" i="2"/>
  <c r="O132" i="2"/>
  <c r="M143" i="2"/>
  <c r="O100" i="2"/>
  <c r="I56" i="2"/>
  <c r="I104" i="2"/>
  <c r="K105" i="2"/>
  <c r="L105" i="2" s="1"/>
  <c r="P105" i="2" s="1"/>
  <c r="Q105" i="2" s="1"/>
  <c r="T105" i="2" s="1"/>
  <c r="U105" i="2" s="1"/>
  <c r="I33" i="2"/>
  <c r="N32" i="2"/>
  <c r="M32" i="2"/>
  <c r="I32" i="2"/>
  <c r="O32" i="2"/>
  <c r="I71" i="2"/>
  <c r="P135" i="2"/>
  <c r="Q135" i="2" s="1"/>
  <c r="T135" i="2" s="1"/>
  <c r="U135" i="2" s="1"/>
  <c r="O48" i="2"/>
  <c r="O102" i="2"/>
  <c r="M70" i="2"/>
  <c r="I45" i="2"/>
  <c r="O145" i="2"/>
  <c r="N145" i="2"/>
  <c r="M145" i="2"/>
  <c r="I145" i="2"/>
  <c r="O67" i="2"/>
  <c r="N67" i="2"/>
  <c r="M67" i="2"/>
  <c r="I67" i="2"/>
  <c r="P125" i="2"/>
  <c r="Q125" i="2" s="1"/>
  <c r="T125" i="2" s="1"/>
  <c r="U125" i="2" s="1"/>
  <c r="M101" i="2"/>
  <c r="N101" i="2"/>
  <c r="O101" i="2"/>
  <c r="I101" i="2"/>
  <c r="P70" i="2"/>
  <c r="Q70" i="2" s="1"/>
  <c r="T70" i="2" s="1"/>
  <c r="U70" i="2" s="1"/>
  <c r="K120" i="2"/>
  <c r="L120" i="2" s="1"/>
  <c r="P120" i="2" s="1"/>
  <c r="Q120" i="2" s="1"/>
  <c r="T120" i="2" s="1"/>
  <c r="U120" i="2" s="1"/>
  <c r="K31" i="2"/>
  <c r="L31" i="2" s="1"/>
  <c r="P31" i="2" s="1"/>
  <c r="Q31" i="2" s="1"/>
  <c r="T31" i="2" s="1"/>
  <c r="U31" i="2" s="1"/>
  <c r="K128" i="2"/>
  <c r="L128" i="2" s="1"/>
  <c r="P128" i="2" s="1"/>
  <c r="Q128" i="2" s="1"/>
  <c r="T128" i="2" s="1"/>
  <c r="U128" i="2" s="1"/>
  <c r="K56" i="2"/>
  <c r="L56" i="2" s="1"/>
  <c r="P56" i="2" s="1"/>
  <c r="Q56" i="2" s="1"/>
  <c r="T56" i="2" s="1"/>
  <c r="U56" i="2" s="1"/>
  <c r="K111" i="2"/>
  <c r="L111" i="2" s="1"/>
  <c r="P111" i="2" s="1"/>
  <c r="Q111" i="2" s="1"/>
  <c r="T111" i="2" s="1"/>
  <c r="U111" i="2" s="1"/>
  <c r="K82" i="2"/>
  <c r="L82" i="2" s="1"/>
  <c r="P82" i="2" s="1"/>
  <c r="Q82" i="2" s="1"/>
  <c r="T82" i="2" s="1"/>
  <c r="U82" i="2" s="1"/>
  <c r="K45" i="2"/>
  <c r="L45" i="2" s="1"/>
  <c r="P45" i="2" s="1"/>
  <c r="Q45" i="2" s="1"/>
  <c r="T45" i="2" s="1"/>
  <c r="U45" i="2" s="1"/>
  <c r="O112" i="2"/>
  <c r="O58" i="2"/>
  <c r="N77" i="2"/>
  <c r="M135" i="2"/>
  <c r="M109" i="2"/>
  <c r="O154" i="2"/>
  <c r="O53" i="2"/>
  <c r="N42" i="2"/>
  <c r="I42" i="2"/>
  <c r="M42" i="2"/>
  <c r="O42" i="2"/>
  <c r="N136" i="2"/>
  <c r="M136" i="2"/>
  <c r="O136" i="2"/>
  <c r="I136" i="2"/>
  <c r="O72" i="2"/>
  <c r="I72" i="2"/>
  <c r="M72" i="2"/>
  <c r="N72" i="2"/>
  <c r="O63" i="2"/>
  <c r="N114" i="2"/>
  <c r="I114" i="2"/>
  <c r="O114" i="2"/>
  <c r="M114" i="2"/>
  <c r="I69" i="2"/>
  <c r="I150" i="2"/>
  <c r="I86" i="2"/>
  <c r="O94" i="2"/>
  <c r="N94" i="2"/>
  <c r="M94" i="2"/>
  <c r="I94" i="2"/>
  <c r="I84" i="2"/>
  <c r="O122" i="2"/>
  <c r="P109" i="2"/>
  <c r="Q109" i="2" s="1"/>
  <c r="T109" i="2" s="1"/>
  <c r="U109" i="2" s="1"/>
  <c r="N117" i="2"/>
  <c r="M117" i="2"/>
  <c r="O117" i="2"/>
  <c r="I117" i="2"/>
  <c r="N74" i="2"/>
  <c r="M74" i="2"/>
  <c r="I74" i="2"/>
  <c r="O74" i="2"/>
  <c r="O34" i="2"/>
  <c r="M34" i="2"/>
  <c r="N34" i="2"/>
  <c r="I34" i="2"/>
  <c r="N87" i="2"/>
  <c r="O87" i="2"/>
  <c r="M87" i="2"/>
  <c r="I87" i="2"/>
  <c r="I137" i="2"/>
  <c r="P58" i="2"/>
  <c r="Q58" i="2" s="1"/>
  <c r="T58" i="2" s="1"/>
  <c r="U58" i="2" s="1"/>
  <c r="K150" i="2"/>
  <c r="L150" i="2" s="1"/>
  <c r="P150" i="2" s="1"/>
  <c r="Q150" i="2" s="1"/>
  <c r="T150" i="2" s="1"/>
  <c r="U150" i="2" s="1"/>
  <c r="K84" i="2"/>
  <c r="L84" i="2" s="1"/>
  <c r="P84" i="2" s="1"/>
  <c r="Q84" i="2" s="1"/>
  <c r="T84" i="2" s="1"/>
  <c r="U84" i="2" s="1"/>
  <c r="K141" i="2"/>
  <c r="L141" i="2" s="1"/>
  <c r="P141" i="2" s="1"/>
  <c r="Q141" i="2" s="1"/>
  <c r="T141" i="2" s="1"/>
  <c r="U141" i="2" s="1"/>
  <c r="K69" i="2"/>
  <c r="L69" i="2" s="1"/>
  <c r="P69" i="2" s="1"/>
  <c r="Q69" i="2" s="1"/>
  <c r="T69" i="2" s="1"/>
  <c r="U69" i="2" s="1"/>
  <c r="K158" i="2"/>
  <c r="L158" i="2" s="1"/>
  <c r="P158" i="2" s="1"/>
  <c r="Q158" i="2" s="1"/>
  <c r="T158" i="2" s="1"/>
  <c r="U158" i="2" s="1"/>
  <c r="K86" i="2"/>
  <c r="L86" i="2" s="1"/>
  <c r="P86" i="2" s="1"/>
  <c r="Q86" i="2" s="1"/>
  <c r="T86" i="2" s="1"/>
  <c r="U86" i="2" s="1"/>
  <c r="K137" i="2"/>
  <c r="L137" i="2" s="1"/>
  <c r="P137" i="2" s="1"/>
  <c r="Q137" i="2" s="1"/>
  <c r="T137" i="2" s="1"/>
  <c r="U137" i="2" s="1"/>
  <c r="K37" i="2"/>
  <c r="L37" i="2" s="1"/>
  <c r="P37" i="2" s="1"/>
  <c r="Q37" i="2" s="1"/>
  <c r="T37" i="2" s="1"/>
  <c r="U37" i="2" s="1"/>
  <c r="K127" i="2"/>
  <c r="L127" i="2" s="1"/>
  <c r="P127" i="2" s="1"/>
  <c r="Q127" i="2" s="1"/>
  <c r="T127" i="2" s="1"/>
  <c r="U127" i="2" s="1"/>
  <c r="N152" i="2"/>
  <c r="N58" i="2"/>
  <c r="N135" i="2"/>
  <c r="N109" i="2"/>
  <c r="O139" i="2"/>
  <c r="N139" i="2"/>
  <c r="M139" i="2"/>
  <c r="I139" i="2"/>
  <c r="N126" i="2"/>
  <c r="O126" i="2"/>
  <c r="M126" i="2"/>
  <c r="I126" i="2"/>
  <c r="O73" i="2"/>
  <c r="M73" i="2"/>
  <c r="N73" i="2"/>
  <c r="I73" i="2"/>
  <c r="O79" i="2"/>
  <c r="M79" i="2"/>
  <c r="N79" i="2"/>
  <c r="I79" i="2"/>
  <c r="M122" i="2"/>
  <c r="K46" i="2"/>
  <c r="L46" i="2" s="1"/>
  <c r="P46" i="2" s="1"/>
  <c r="Q46" i="2" s="1"/>
  <c r="T46" i="2" s="1"/>
  <c r="U46" i="2" s="1"/>
  <c r="K104" i="2"/>
  <c r="L104" i="2" s="1"/>
  <c r="P104" i="2" s="1"/>
  <c r="Q104" i="2" s="1"/>
  <c r="T104" i="2" s="1"/>
  <c r="U104" i="2" s="1"/>
  <c r="K142" i="2"/>
  <c r="L142" i="2" s="1"/>
  <c r="P142" i="2" s="1"/>
  <c r="Q142" i="2" s="1"/>
  <c r="T142" i="2" s="1"/>
  <c r="U142" i="2" s="1"/>
  <c r="K106" i="2"/>
  <c r="L106" i="2" s="1"/>
  <c r="P106" i="2" s="1"/>
  <c r="Q106" i="2" s="1"/>
  <c r="T106" i="2" s="1"/>
  <c r="U106" i="2" s="1"/>
  <c r="K71" i="2"/>
  <c r="L71" i="2" s="1"/>
  <c r="P71" i="2" s="1"/>
  <c r="Q71" i="2" s="1"/>
  <c r="T71" i="2" s="1"/>
  <c r="U71" i="2" s="1"/>
  <c r="K33" i="2"/>
  <c r="L33" i="2" s="1"/>
  <c r="P33" i="2" s="1"/>
  <c r="Q33" i="2" s="1"/>
  <c r="T33" i="2" s="1"/>
  <c r="U33" i="2" s="1"/>
  <c r="O108" i="2" l="1"/>
  <c r="N119" i="2"/>
  <c r="P83" i="2"/>
  <c r="Q83" i="2" s="1"/>
  <c r="T83" i="2" s="1"/>
  <c r="U83" i="2" s="1"/>
  <c r="N35" i="2"/>
  <c r="O35" i="2"/>
  <c r="M83" i="2"/>
  <c r="M61" i="2"/>
  <c r="O83" i="2"/>
  <c r="P119" i="2"/>
  <c r="Q119" i="2" s="1"/>
  <c r="T119" i="2" s="1"/>
  <c r="U119" i="2" s="1"/>
  <c r="O76" i="2"/>
  <c r="N108" i="2"/>
  <c r="O60" i="2"/>
  <c r="M107" i="2"/>
  <c r="N89" i="2"/>
  <c r="O89" i="2"/>
  <c r="M119" i="2"/>
  <c r="P89" i="2"/>
  <c r="Q89" i="2" s="1"/>
  <c r="T89" i="2" s="1"/>
  <c r="U89" i="2" s="1"/>
  <c r="M108" i="2"/>
  <c r="M156" i="2"/>
  <c r="M53" i="2"/>
  <c r="N131" i="2"/>
  <c r="P132" i="2"/>
  <c r="Q132" i="2" s="1"/>
  <c r="T132" i="2" s="1"/>
  <c r="U132" i="2" s="1"/>
  <c r="P61" i="2"/>
  <c r="Q61" i="2" s="1"/>
  <c r="T61" i="2" s="1"/>
  <c r="U61" i="2" s="1"/>
  <c r="P76" i="2"/>
  <c r="Q76" i="2" s="1"/>
  <c r="T76" i="2" s="1"/>
  <c r="U76" i="2" s="1"/>
  <c r="O95" i="2"/>
  <c r="P60" i="2"/>
  <c r="Q60" i="2" s="1"/>
  <c r="T60" i="2" s="1"/>
  <c r="U60" i="2" s="1"/>
  <c r="N60" i="2"/>
  <c r="N65" i="2"/>
  <c r="N76" i="2"/>
  <c r="M133" i="2"/>
  <c r="O61" i="2"/>
  <c r="P156" i="2"/>
  <c r="Q156" i="2" s="1"/>
  <c r="T156" i="2" s="1"/>
  <c r="U156" i="2" s="1"/>
  <c r="O65" i="2"/>
  <c r="M65" i="2"/>
  <c r="O41" i="2"/>
  <c r="M62" i="2"/>
  <c r="O99" i="2"/>
  <c r="P62" i="2"/>
  <c r="Q62" i="2" s="1"/>
  <c r="T62" i="2" s="1"/>
  <c r="U62" i="2" s="1"/>
  <c r="P41" i="2"/>
  <c r="Q41" i="2" s="1"/>
  <c r="T41" i="2" s="1"/>
  <c r="U41" i="2" s="1"/>
  <c r="P93" i="2"/>
  <c r="Q93" i="2" s="1"/>
  <c r="T93" i="2" s="1"/>
  <c r="U93" i="2" s="1"/>
  <c r="N41" i="2"/>
  <c r="O62" i="2"/>
  <c r="N93" i="2"/>
  <c r="N156" i="2"/>
  <c r="P99" i="2"/>
  <c r="Q99" i="2" s="1"/>
  <c r="T99" i="2" s="1"/>
  <c r="U99" i="2" s="1"/>
  <c r="M55" i="2"/>
  <c r="P121" i="2"/>
  <c r="Q121" i="2" s="1"/>
  <c r="T121" i="2" s="1"/>
  <c r="U121" i="2" s="1"/>
  <c r="N157" i="2"/>
  <c r="O157" i="2"/>
  <c r="O121" i="2"/>
  <c r="P157" i="2"/>
  <c r="Q157" i="2" s="1"/>
  <c r="T157" i="2" s="1"/>
  <c r="U157" i="2" s="1"/>
  <c r="M121" i="2"/>
  <c r="O55" i="2"/>
  <c r="O131" i="2"/>
  <c r="N55" i="2"/>
  <c r="P131" i="2"/>
  <c r="Q131" i="2" s="1"/>
  <c r="T131" i="2" s="1"/>
  <c r="U131" i="2" s="1"/>
  <c r="N86" i="2"/>
  <c r="O37" i="2"/>
  <c r="M137" i="2"/>
  <c r="M158" i="2"/>
  <c r="N56" i="2"/>
  <c r="N106" i="2"/>
  <c r="O137" i="2"/>
  <c r="O75" i="2"/>
  <c r="M86" i="2"/>
  <c r="N50" i="2"/>
  <c r="N75" i="2"/>
  <c r="M105" i="2"/>
  <c r="M142" i="2"/>
  <c r="N111" i="2"/>
  <c r="N71" i="2"/>
  <c r="M69" i="2"/>
  <c r="M71" i="2"/>
  <c r="M33" i="2"/>
  <c r="O104" i="2"/>
  <c r="N110" i="2"/>
  <c r="M54" i="2"/>
  <c r="O82" i="2"/>
  <c r="N127" i="2"/>
  <c r="O46" i="2"/>
  <c r="O142" i="2"/>
  <c r="M153" i="2"/>
  <c r="N120" i="2"/>
  <c r="M140" i="2"/>
  <c r="O105" i="2"/>
  <c r="M82" i="2"/>
  <c r="M84" i="2"/>
  <c r="O150" i="2"/>
  <c r="O69" i="2"/>
  <c r="O33" i="2"/>
  <c r="N104" i="2"/>
  <c r="O158" i="2"/>
  <c r="M106" i="2"/>
  <c r="N82" i="2"/>
  <c r="M31" i="2"/>
  <c r="O127" i="2"/>
  <c r="N113" i="2"/>
  <c r="M46" i="2"/>
  <c r="O153" i="2"/>
  <c r="O120" i="2"/>
  <c r="N105" i="2"/>
  <c r="N84" i="2"/>
  <c r="M150" i="2"/>
  <c r="N69" i="2"/>
  <c r="N45" i="2"/>
  <c r="N33" i="2"/>
  <c r="O106" i="2"/>
  <c r="O50" i="2"/>
  <c r="O54" i="2"/>
  <c r="N31" i="2"/>
  <c r="N46" i="2"/>
  <c r="M128" i="2"/>
  <c r="N153" i="2"/>
  <c r="O140" i="2"/>
  <c r="O110" i="2"/>
  <c r="N137" i="2"/>
  <c r="O86" i="2"/>
  <c r="M45" i="2"/>
  <c r="M56" i="2"/>
  <c r="M37" i="2"/>
  <c r="N54" i="2"/>
  <c r="O31" i="2"/>
  <c r="M141" i="2"/>
  <c r="M113" i="2"/>
  <c r="O128" i="2"/>
  <c r="N140" i="2"/>
  <c r="O111" i="2"/>
  <c r="M104" i="2"/>
  <c r="O84" i="2"/>
  <c r="N150" i="2"/>
  <c r="O45" i="2"/>
  <c r="O71" i="2"/>
  <c r="O56" i="2"/>
  <c r="N158" i="2"/>
  <c r="N37" i="2"/>
  <c r="M110" i="2"/>
  <c r="M50" i="2"/>
  <c r="M75" i="2"/>
  <c r="O141" i="2"/>
  <c r="O113" i="2"/>
  <c r="N142" i="2"/>
  <c r="N128" i="2"/>
  <c r="M120" i="2"/>
  <c r="M111" i="2"/>
  <c r="M127" i="2"/>
  <c r="N14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<sst xmlns="http://schemas.openxmlformats.org/spreadsheetml/2006/main" count="240" uniqueCount="182">
  <si>
    <t>Velis Electro</t>
  </si>
  <si>
    <t>b</t>
  </si>
  <si>
    <t>m</t>
  </si>
  <si>
    <t>S</t>
  </si>
  <si>
    <t>m2</t>
  </si>
  <si>
    <t>AR</t>
  </si>
  <si>
    <t>W_E</t>
  </si>
  <si>
    <t>-</t>
  </si>
  <si>
    <t>kg</t>
  </si>
  <si>
    <t>W_to_max</t>
  </si>
  <si>
    <t>Charge</t>
  </si>
  <si>
    <t>kWh</t>
  </si>
  <si>
    <t>Payload</t>
  </si>
  <si>
    <t>Motor effect</t>
  </si>
  <si>
    <t>KW</t>
  </si>
  <si>
    <t>CoG</t>
  </si>
  <si>
    <t>24-32,4</t>
  </si>
  <si>
    <t>%MAC</t>
  </si>
  <si>
    <t>endurance</t>
  </si>
  <si>
    <t>min</t>
  </si>
  <si>
    <t>sf</t>
  </si>
  <si>
    <t>best glide ratio</t>
  </si>
  <si>
    <t>KCAS</t>
  </si>
  <si>
    <t>cruising speed (@ 35 kW)</t>
  </si>
  <si>
    <t>stall speed with flaps, VS0</t>
  </si>
  <si>
    <t>stall speed without flaps</t>
  </si>
  <si>
    <t>Motor W</t>
  </si>
  <si>
    <t>WS</t>
  </si>
  <si>
    <t>Performance</t>
  </si>
  <si>
    <t>Current weight</t>
  </si>
  <si>
    <t>N</t>
  </si>
  <si>
    <t>Wing area</t>
  </si>
  <si>
    <t>S =</t>
  </si>
  <si>
    <t>W =</t>
  </si>
  <si>
    <t>Wing Aspect</t>
  </si>
  <si>
    <t>Wing span</t>
  </si>
  <si>
    <t>b =</t>
  </si>
  <si>
    <t>AR =</t>
  </si>
  <si>
    <t>Atmos</t>
  </si>
  <si>
    <t>σ =</t>
  </si>
  <si>
    <t>H =</t>
  </si>
  <si>
    <t>a =</t>
  </si>
  <si>
    <t xml:space="preserve">T = </t>
  </si>
  <si>
    <t xml:space="preserve"> Altitude</t>
  </si>
  <si>
    <t xml:space="preserve"> Density ratio</t>
  </si>
  <si>
    <t xml:space="preserve"> Density</t>
  </si>
  <si>
    <t xml:space="preserve"> Temp</t>
  </si>
  <si>
    <t xml:space="preserve"> Sound Speed</t>
  </si>
  <si>
    <t>K</t>
  </si>
  <si>
    <t>m/s</t>
  </si>
  <si>
    <t>Current mass</t>
  </si>
  <si>
    <t>m =</t>
  </si>
  <si>
    <r>
      <t>kg/m</t>
    </r>
    <r>
      <rPr>
        <vertAlign val="superscript"/>
        <sz val="14"/>
        <color theme="1"/>
        <rFont val="Calibri"/>
        <family val="2"/>
      </rPr>
      <t>3</t>
    </r>
  </si>
  <si>
    <t>ρ =</t>
  </si>
  <si>
    <r>
      <t>m</t>
    </r>
    <r>
      <rPr>
        <vertAlign val="superscript"/>
        <sz val="14"/>
        <color theme="1"/>
        <rFont val="Calibri"/>
        <family val="2"/>
      </rPr>
      <t>2</t>
    </r>
  </si>
  <si>
    <t>Lift curve slope</t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</si>
  <si>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zero alpha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</si>
  <si>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min drag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</si>
  <si>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</si>
  <si>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L,α</t>
    </r>
    <r>
      <rPr>
        <sz val="14"/>
        <color theme="1"/>
        <rFont val="Calibri"/>
        <family val="2"/>
      </rPr>
      <t xml:space="preserve"> = </t>
    </r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</si>
  <si>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=</t>
    </r>
  </si>
  <si>
    <t>Minimum drag coeff</t>
  </si>
  <si>
    <r>
      <t>C</t>
    </r>
    <r>
      <rPr>
        <vertAlign val="subscript"/>
        <sz val="14"/>
        <color theme="1"/>
        <rFont val="Calibri"/>
        <family val="2"/>
      </rPr>
      <t>Dmin</t>
    </r>
    <r>
      <rPr>
        <sz val="14"/>
        <color theme="1"/>
        <rFont val="Calibri"/>
        <family val="2"/>
      </rPr>
      <t xml:space="preserve"> =</t>
    </r>
  </si>
  <si>
    <t>e =</t>
  </si>
  <si>
    <t>KEAS</t>
  </si>
  <si>
    <t>KTAS</t>
  </si>
  <si>
    <t>TAS (m/s)</t>
  </si>
  <si>
    <t>TAS (km/h)</t>
  </si>
  <si>
    <t>M</t>
  </si>
  <si>
    <t>M =</t>
  </si>
  <si>
    <t xml:space="preserve"> </t>
  </si>
  <si>
    <t xml:space="preserve"> KCAS</t>
  </si>
  <si>
    <r>
      <t>V</t>
    </r>
    <r>
      <rPr>
        <vertAlign val="subscript"/>
        <sz val="11"/>
        <color theme="1"/>
        <rFont val="Calibri"/>
        <family val="2"/>
      </rPr>
      <t>KCAS</t>
    </r>
    <r>
      <rPr>
        <sz val="11"/>
        <color theme="1"/>
        <rFont val="Calibri"/>
        <family val="2"/>
      </rPr>
      <t>=</t>
    </r>
  </si>
  <si>
    <r>
      <t>p/p</t>
    </r>
    <r>
      <rPr>
        <vertAlign val="subscript"/>
        <sz val="14"/>
        <color theme="1"/>
        <rFont val="Calibri"/>
        <family val="2"/>
      </rPr>
      <t>0</t>
    </r>
    <r>
      <rPr>
        <sz val="14"/>
        <color theme="1"/>
        <rFont val="Calibri"/>
        <family val="2"/>
      </rPr>
      <t xml:space="preserve"> =</t>
    </r>
  </si>
  <si>
    <t>User input</t>
  </si>
  <si>
    <t>Function</t>
  </si>
  <si>
    <t xml:space="preserve"> Mach</t>
  </si>
  <si>
    <t xml:space="preserve"> Press Ratio</t>
  </si>
  <si>
    <r>
      <t>V</t>
    </r>
    <r>
      <rPr>
        <vertAlign val="subscript"/>
        <sz val="12"/>
        <color theme="1"/>
        <rFont val="Calibri"/>
        <family val="2"/>
      </rPr>
      <t>KCAS</t>
    </r>
  </si>
  <si>
    <r>
      <t>V</t>
    </r>
    <r>
      <rPr>
        <vertAlign val="subscript"/>
        <sz val="12"/>
        <color theme="1"/>
        <rFont val="Calibri"/>
        <family val="2"/>
      </rPr>
      <t>KEAS</t>
    </r>
  </si>
  <si>
    <r>
      <t>V</t>
    </r>
    <r>
      <rPr>
        <vertAlign val="subscript"/>
        <sz val="12"/>
        <color theme="1"/>
        <rFont val="Calibri"/>
        <family val="2"/>
      </rPr>
      <t>KTAS</t>
    </r>
  </si>
  <si>
    <r>
      <t>V</t>
    </r>
    <r>
      <rPr>
        <vertAlign val="subscript"/>
        <sz val="12"/>
        <color theme="1"/>
        <rFont val="Calibri"/>
        <family val="2"/>
      </rPr>
      <t>TAS</t>
    </r>
  </si>
  <si>
    <r>
      <t>V</t>
    </r>
    <r>
      <rPr>
        <vertAlign val="subscript"/>
        <sz val="12"/>
        <color theme="1"/>
        <rFont val="Calibri"/>
        <family val="2"/>
      </rPr>
      <t>Kph,TAS</t>
    </r>
  </si>
  <si>
    <t>q</t>
  </si>
  <si>
    <t>Pa</t>
  </si>
  <si>
    <r>
      <t>C</t>
    </r>
    <r>
      <rPr>
        <vertAlign val="subscript"/>
        <sz val="14"/>
        <color theme="1"/>
        <rFont val="Calibri"/>
        <family val="2"/>
      </rPr>
      <t>L</t>
    </r>
    <r>
      <rPr>
        <sz val="14"/>
        <color theme="1"/>
        <rFont val="Calibri"/>
        <family val="2"/>
      </rPr>
      <t xml:space="preserve"> </t>
    </r>
    <r>
      <rPr>
        <b/>
        <sz val="12"/>
        <color theme="1"/>
        <rFont val="Calibri"/>
        <family val="2"/>
      </rPr>
      <t>(req)</t>
    </r>
  </si>
  <si>
    <t>α</t>
  </si>
  <si>
    <t>deg (AOA)</t>
  </si>
  <si>
    <r>
      <t>C</t>
    </r>
    <r>
      <rPr>
        <vertAlign val="subscript"/>
        <sz val="14"/>
        <color theme="1"/>
        <rFont val="Calibri"/>
        <family val="2"/>
      </rPr>
      <t>Dmin</t>
    </r>
  </si>
  <si>
    <t>per rad</t>
  </si>
  <si>
    <r>
      <t>C</t>
    </r>
    <r>
      <rPr>
        <vertAlign val="subscript"/>
        <sz val="14"/>
        <color theme="1"/>
        <rFont val="Calibri"/>
        <family val="2"/>
      </rPr>
      <t>Di</t>
    </r>
  </si>
  <si>
    <t>Oswlad's efficiency</t>
  </si>
  <si>
    <r>
      <t>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</si>
  <si>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</si>
  <si>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1.5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</si>
  <si>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0.5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</si>
  <si>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t>D</t>
  </si>
  <si>
    <r>
      <t>P</t>
    </r>
    <r>
      <rPr>
        <b/>
        <vertAlign val="subscript"/>
        <sz val="12"/>
        <color theme="1"/>
        <rFont val="Calibri"/>
        <family val="2"/>
      </rPr>
      <t>req</t>
    </r>
  </si>
  <si>
    <t>kW</t>
  </si>
  <si>
    <r>
      <t>P</t>
    </r>
    <r>
      <rPr>
        <b/>
        <vertAlign val="subscript"/>
        <sz val="12"/>
        <color theme="1"/>
        <rFont val="Calibri"/>
        <family val="2"/>
      </rPr>
      <t>AV</t>
    </r>
  </si>
  <si>
    <t>ROD</t>
  </si>
  <si>
    <t>AOD</t>
  </si>
  <si>
    <t>Rate of decent</t>
  </si>
  <si>
    <t>Angle of decent</t>
  </si>
  <si>
    <t>deg</t>
  </si>
  <si>
    <t>Rate of climb</t>
  </si>
  <si>
    <t>ROC</t>
  </si>
  <si>
    <t>Engine and battery</t>
  </si>
  <si>
    <t>Max continuous power</t>
  </si>
  <si>
    <t>Prop mass</t>
  </si>
  <si>
    <t>RPM at max con</t>
  </si>
  <si>
    <t>RPM</t>
  </si>
  <si>
    <t>Max T/O power</t>
  </si>
  <si>
    <t>RPM at max T/O</t>
  </si>
  <si>
    <t>Diameter</t>
  </si>
  <si>
    <t>Max drive torque</t>
  </si>
  <si>
    <t>Nm</t>
  </si>
  <si>
    <t>Pipistrel P-812-164-F3A</t>
  </si>
  <si>
    <t>Cruise power</t>
  </si>
  <si>
    <t>Engine</t>
  </si>
  <si>
    <t>Battery</t>
  </si>
  <si>
    <t>Capacity</t>
  </si>
  <si>
    <t>Energy density</t>
  </si>
  <si>
    <t>kWh/kg</t>
  </si>
  <si>
    <t>Nominal voltage</t>
  </si>
  <si>
    <t>VDC</t>
  </si>
  <si>
    <t>Constraints</t>
  </si>
  <si>
    <t>Cruise alt</t>
  </si>
  <si>
    <t>Cruise alt SI</t>
  </si>
  <si>
    <t>ft</t>
  </si>
  <si>
    <t>Min cruise speed</t>
  </si>
  <si>
    <t>Max cruise speed</t>
  </si>
  <si>
    <r>
      <t>H</t>
    </r>
    <r>
      <rPr>
        <vertAlign val="subscript"/>
        <sz val="14"/>
        <color theme="1"/>
        <rFont val="Calibri"/>
        <family val="2"/>
      </rPr>
      <t xml:space="preserve">cruise </t>
    </r>
    <r>
      <rPr>
        <sz val="14"/>
        <color theme="1"/>
        <rFont val="Calibri"/>
        <family val="2"/>
      </rPr>
      <t>=</t>
    </r>
  </si>
  <si>
    <r>
      <t>H</t>
    </r>
    <r>
      <rPr>
        <vertAlign val="subscript"/>
        <sz val="14"/>
        <color theme="1"/>
        <rFont val="Calibri"/>
        <family val="2"/>
      </rPr>
      <t xml:space="preserve">cruise,SI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</si>
  <si>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</si>
  <si>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cruise,min </t>
    </r>
    <r>
      <rPr>
        <sz val="14"/>
        <color theme="1"/>
        <rFont val="Calibri"/>
        <family val="2"/>
      </rPr>
      <t>=</t>
    </r>
  </si>
  <si>
    <t>Payload mass</t>
  </si>
  <si>
    <t>Endurance</t>
  </si>
  <si>
    <t>E =</t>
  </si>
  <si>
    <t>Min cruise speed TAS</t>
  </si>
  <si>
    <t>Max cruise speed TAS</t>
  </si>
  <si>
    <r>
      <t>V</t>
    </r>
    <r>
      <rPr>
        <vertAlign val="subscript"/>
        <sz val="14"/>
        <color theme="1"/>
        <rFont val="Calibri"/>
        <family val="2"/>
      </rPr>
      <t xml:space="preserve">cruise,min,TAS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</si>
  <si>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cruise,max,TAS </t>
    </r>
    <r>
      <rPr>
        <sz val="14"/>
        <color theme="1"/>
        <rFont val="Calibri"/>
        <family val="2"/>
      </rPr>
      <t>=</t>
    </r>
  </si>
  <si>
    <t>m/s (TAS)</t>
  </si>
  <si>
    <t>T/W for a Desired Cruise Airspeed eq.(3-10)</t>
  </si>
  <si>
    <t>W/S</t>
  </si>
  <si>
    <r>
      <t>N/m</t>
    </r>
    <r>
      <rPr>
        <vertAlign val="superscript"/>
        <sz val="12"/>
        <color theme="1"/>
        <rFont val="Calibri"/>
        <family val="2"/>
      </rPr>
      <t>2</t>
    </r>
  </si>
  <si>
    <t>Assignment requirements</t>
  </si>
  <si>
    <t>Other targets/requirements</t>
  </si>
  <si>
    <t>Air density</t>
  </si>
  <si>
    <t>Min dyn. pressure</t>
  </si>
  <si>
    <t>Lift-induced drag factor</t>
  </si>
  <si>
    <r>
      <t>ρ</t>
    </r>
    <r>
      <rPr>
        <vertAlign val="subscript"/>
        <sz val="14"/>
        <color theme="1"/>
        <rFont val="Calibri"/>
        <family val="2"/>
      </rPr>
      <t>cruise</t>
    </r>
    <r>
      <rPr>
        <sz val="14"/>
        <color theme="1"/>
        <rFont val="Calibri"/>
        <family val="2"/>
      </rPr>
      <t xml:space="preserve"> =</t>
    </r>
  </si>
  <si>
    <r>
      <t>q</t>
    </r>
    <r>
      <rPr>
        <vertAlign val="subscript"/>
        <sz val="14"/>
        <color theme="1"/>
        <rFont val="Calibri"/>
        <family val="2"/>
      </rPr>
      <t>cruise,min</t>
    </r>
    <r>
      <rPr>
        <sz val="14"/>
        <color theme="1"/>
        <rFont val="Calibri"/>
        <family val="2"/>
      </rPr>
      <t xml:space="preserve"> =</t>
    </r>
  </si>
  <si>
    <t>Max dyn. pressure</t>
  </si>
  <si>
    <r>
      <t>q</t>
    </r>
    <r>
      <rPr>
        <vertAlign val="subscript"/>
        <sz val="14"/>
        <color theme="1"/>
        <rFont val="Calibri"/>
        <family val="2"/>
      </rPr>
      <t>cruise,max</t>
    </r>
    <r>
      <rPr>
        <sz val="14"/>
        <color theme="1"/>
        <rFont val="Calibri"/>
        <family val="2"/>
      </rPr>
      <t xml:space="preserve"> =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</si>
  <si>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cruise,min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</si>
  <si>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cruise,max</t>
    </r>
  </si>
  <si>
    <t>Target Ground run</t>
  </si>
  <si>
    <r>
      <t>C</t>
    </r>
    <r>
      <rPr>
        <vertAlign val="subscript"/>
        <sz val="14"/>
        <color theme="1"/>
        <rFont val="Calibri"/>
        <family val="2"/>
      </rPr>
      <t>L,max,TO</t>
    </r>
  </si>
  <si>
    <r>
      <t>C</t>
    </r>
    <r>
      <rPr>
        <vertAlign val="subscript"/>
        <sz val="14"/>
        <color theme="1"/>
        <rFont val="Calibri"/>
        <family val="2"/>
      </rPr>
      <t xml:space="preserve">L,max,TO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</si>
  <si>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</si>
  <si>
    <r>
      <t>C</t>
    </r>
    <r>
      <rPr>
        <vertAlign val="subscript"/>
        <sz val="14"/>
        <color theme="1"/>
        <rFont val="Calibri"/>
        <family val="2"/>
      </rPr>
      <t>D,TO</t>
    </r>
  </si>
  <si>
    <r>
      <t>C</t>
    </r>
    <r>
      <rPr>
        <vertAlign val="subscript"/>
        <sz val="14"/>
        <color theme="1"/>
        <rFont val="Calibri"/>
        <family val="2"/>
      </rPr>
      <t>D,max,TO</t>
    </r>
  </si>
  <si>
    <t>k =</t>
  </si>
  <si>
    <r>
      <t>C</t>
    </r>
    <r>
      <rPr>
        <vertAlign val="subscript"/>
        <sz val="14"/>
        <color theme="1"/>
        <rFont val="Calibri"/>
        <family val="2"/>
      </rPr>
      <t xml:space="preserve">D,max,TO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</si>
  <si>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</si>
  <si>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D,TO</t>
    </r>
    <r>
      <rPr>
        <sz val="14"/>
        <color theme="1"/>
        <rFont val="Calibri"/>
        <family val="2"/>
      </rPr>
      <t xml:space="preserve"> =</t>
    </r>
  </si>
  <si>
    <r>
      <rPr>
        <sz val="11"/>
        <color theme="1"/>
        <rFont val="Calibri"/>
        <family val="2"/>
      </rPr>
      <t xml:space="preserve">μ </t>
    </r>
    <r>
      <rPr>
        <sz val="11"/>
        <color theme="1"/>
        <rFont val="Trebuchet MS"/>
        <family val="2"/>
      </rPr>
      <t>=</t>
    </r>
  </si>
  <si>
    <r>
      <t>T/W</t>
    </r>
    <r>
      <rPr>
        <vertAlign val="subscript"/>
        <sz val="12"/>
        <color theme="1"/>
        <rFont val="Calibri"/>
        <family val="2"/>
      </rPr>
      <t>TO</t>
    </r>
  </si>
  <si>
    <t>Airfield alt</t>
  </si>
  <si>
    <r>
      <t>H</t>
    </r>
    <r>
      <rPr>
        <vertAlign val="subscript"/>
        <sz val="14"/>
        <color theme="1"/>
        <rFont val="Calibri"/>
        <family val="2"/>
      </rPr>
      <t xml:space="preserve">airfield </t>
    </r>
    <r>
      <rPr>
        <sz val="14"/>
        <color theme="1"/>
        <rFont val="Calibri"/>
        <family val="2"/>
      </rPr>
      <t>=</t>
    </r>
  </si>
  <si>
    <r>
      <t>S</t>
    </r>
    <r>
      <rPr>
        <vertAlign val="subscript"/>
        <sz val="14"/>
        <color theme="1"/>
        <rFont val="Calibri"/>
        <family val="2"/>
      </rPr>
      <t xml:space="preserve">G </t>
    </r>
    <r>
      <rPr>
        <sz val="14"/>
        <color theme="1"/>
        <rFont val="Calibri"/>
        <family val="2"/>
      </rPr>
      <t>=</t>
    </r>
  </si>
  <si>
    <t>Effeciency</t>
  </si>
  <si>
    <r>
      <t>η</t>
    </r>
    <r>
      <rPr>
        <vertAlign val="subscript"/>
        <sz val="11"/>
        <color theme="1"/>
        <rFont val="Calibri"/>
        <family val="2"/>
      </rPr>
      <t>batt</t>
    </r>
  </si>
  <si>
    <r>
      <t>η</t>
    </r>
    <r>
      <rPr>
        <vertAlign val="subscript"/>
        <sz val="11"/>
        <color theme="1"/>
        <rFont val="Calibri"/>
        <family val="2"/>
      </rPr>
      <t>motor</t>
    </r>
  </si>
  <si>
    <r>
      <t>η</t>
    </r>
    <r>
      <rPr>
        <vertAlign val="subscript"/>
        <sz val="11"/>
        <color theme="1"/>
        <rFont val="Calibri"/>
        <family val="2"/>
      </rPr>
      <t>prop</t>
    </r>
  </si>
  <si>
    <r>
      <t>η</t>
    </r>
    <r>
      <rPr>
        <vertAlign val="subscript"/>
        <sz val="11"/>
        <color theme="1"/>
        <rFont val="Calibri"/>
        <family val="2"/>
      </rPr>
      <t>gear</t>
    </r>
  </si>
  <si>
    <r>
      <t>η</t>
    </r>
    <r>
      <rPr>
        <vertAlign val="subscript"/>
        <sz val="11"/>
        <color theme="1"/>
        <rFont val="Calibri"/>
        <family val="2"/>
      </rPr>
      <t>tot</t>
    </r>
  </si>
  <si>
    <r>
      <t>V</t>
    </r>
    <r>
      <rPr>
        <vertAlign val="subscript"/>
        <sz val="11"/>
        <color theme="1"/>
        <rFont val="Calibri"/>
        <family val="2"/>
      </rPr>
      <t xml:space="preserve">LOF </t>
    </r>
    <r>
      <rPr>
        <sz val="11"/>
        <color theme="1"/>
        <rFont val="Calibri"/>
        <family val="2"/>
      </rPr>
      <t>=</t>
    </r>
  </si>
  <si>
    <r>
      <t>V</t>
    </r>
    <r>
      <rPr>
        <vertAlign val="subscript"/>
        <sz val="11"/>
        <color theme="1"/>
        <rFont val="Calibri"/>
        <family val="2"/>
      </rPr>
      <t>stall,max</t>
    </r>
    <r>
      <rPr>
        <sz val="11"/>
        <color theme="1"/>
        <rFont val="Calibri"/>
        <family val="2"/>
      </rPr>
      <t xml:space="preserve"> =</t>
    </r>
  </si>
  <si>
    <t>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</si>
</sst>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8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</font>
    <font>
      <vertAlign val="superscript"/>
      <sz val="14"/>
      <color theme="1"/>
      <name val="Calibri"/>
      <family val="2"/>
    </font>
    <font>
      <sz val="28"/>
      <color theme="1"/>
      <name val="Calibri"/>
      <family val="2"/>
    </font>
    <font>
      <vertAlign val="subscript"/>
      <sz val="14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b/>
      <vertAlign val="superscript"/>
      <sz val="12"/>
      <color theme="1"/>
      <name val="Calibri"/>
      <family val="2"/>
    </font>
    <font>
      <b/>
      <sz val="14"/>
      <color theme="1"/>
      <name val="Calibri"/>
      <family val="2"/>
    </font>
    <font>
      <vertAlign val="superscript"/>
      <sz val="12"/>
      <color theme="1"/>
      <name val="Calibri"/>
      <family val="2"/>
    </font>
    <font>
      <vertAlign val="subscript"/>
      <sz val="11"/>
      <color theme="1"/>
      <name val="Trebuchet MS"/>
      <family val="2"/>
      <scheme val="minor"/>
    </font>
    <font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vertical="center" wrapText="1"/>
    </xf>
    <xf numFmtId="0" fontId="3" fillId="3" borderId="0" xfId="0" applyFont="1" applyFill="1" applyAlignment="1">
      <alignment horizontal="right" vertical="center"/>
    </xf>
    <xf numFmtId="0" fontId="2" fillId="3" borderId="0" xfId="0" applyFon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49" fontId="5" fillId="2" borderId="0" xfId="1" applyNumberFormat="1" applyFont="1" applyAlignment="1">
      <alignment vertical="center"/>
    </xf>
    <xf numFmtId="49" fontId="5" fillId="2" borderId="0" xfId="1" applyNumberFormat="1" applyFont="1" applyAlignment="1">
      <alignment horizontal="right" vertical="center"/>
    </xf>
    <xf numFmtId="0" fontId="2" fillId="2" borderId="0" xfId="1" applyFont="1" applyAlignment="1">
      <alignment horizontal="center"/>
    </xf>
    <xf numFmtId="0" fontId="2" fillId="2" borderId="1" xfId="1" applyFont="1" applyBorder="1"/>
    <xf numFmtId="49" fontId="5" fillId="4" borderId="0" xfId="1" applyNumberFormat="1" applyFont="1" applyFill="1" applyAlignment="1">
      <alignment vertical="center"/>
    </xf>
    <xf numFmtId="0" fontId="2" fillId="4" borderId="0" xfId="1" applyFont="1" applyFill="1"/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1" xfId="0" applyFont="1" applyFill="1" applyBorder="1"/>
    <xf numFmtId="0" fontId="2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0" xfId="0" applyFont="1" applyFill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vertical="center"/>
    </xf>
    <xf numFmtId="164" fontId="3" fillId="5" borderId="0" xfId="0" applyNumberFormat="1" applyFont="1" applyFill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5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8" fillId="6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7" borderId="0" xfId="0" applyFont="1" applyFill="1"/>
    <xf numFmtId="0" fontId="9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166" fontId="3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8" borderId="0" xfId="1" applyFont="1" applyFill="1"/>
    <xf numFmtId="49" fontId="5" fillId="8" borderId="0" xfId="1" applyNumberFormat="1" applyFont="1" applyFill="1" applyAlignment="1">
      <alignment vertical="center"/>
    </xf>
    <xf numFmtId="0" fontId="2" fillId="4" borderId="1" xfId="1" applyFont="1" applyFill="1" applyBorder="1"/>
    <xf numFmtId="0" fontId="14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1" fontId="3" fillId="5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</cellXfs>
  <cellStyles count="2">
    <cellStyle name="60% - Accent3" xfId="1" builtinId="40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7798662779735747"/>
          <c:y val="0.17505449079007748"/>
          <c:w val="0.77181267116864316"/>
          <c:h val="0.6163905407105987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0-4F04-9A95-0A6712E1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1.5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C-4405-9CDC-4F441198F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1.5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0.5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Performance!$O$29:$O$159</c:f>
              <c:numCache>
                <c:formatCode>0.000</c:formatCode>
                <c:ptCount val="131"/>
                <c:pt idx="0">
                  <c:v>0.8363500083953519</c:v>
                </c:pt>
                <c:pt idx="1">
                  <c:v>0.97044709260349316</c:v>
                </c:pt>
                <c:pt idx="2">
                  <c:v>1.1183274992832386</c:v>
                </c:pt>
                <c:pt idx="3">
                  <c:v>1.2806512700817425</c:v>
                </c:pt>
                <c:pt idx="4">
                  <c:v>1.4580568392349549</c:v>
                </c:pt>
                <c:pt idx="5">
                  <c:v>1.6511553565254775</c:v>
                </c:pt>
                <c:pt idx="6">
                  <c:v>1.8605246536206594</c:v>
                </c:pt>
                <c:pt idx="7">
                  <c:v>2.0867001091486581</c:v>
                </c:pt>
                <c:pt idx="8">
                  <c:v>2.3301691889072194</c:v>
                </c:pt>
                <c:pt idx="9">
                  <c:v>2.591359304115747</c:v>
                </c:pt>
                <c:pt idx="10">
                  <c:v>2.8706319062534358</c:v>
                </c:pt>
                <c:pt idx="11">
                  <c:v>3.1682734935387198</c:v>
                </c:pt>
                <c:pt idx="12">
                  <c:v>3.4844808409388666</c:v>
                </c:pt>
                <c:pt idx="13">
                  <c:v>3.8193577397787024</c:v>
                </c:pt>
                <c:pt idx="14">
                  <c:v>4.1728988523426418</c:v>
                </c:pt>
                <c:pt idx="15">
                  <c:v>4.5449885228450784</c:v>
                </c:pt>
                <c:pt idx="16">
                  <c:v>4.9353823614532732</c:v>
                </c:pt>
                <c:pt idx="17">
                  <c:v>5.3437094613460046</c:v>
                </c:pt>
                <c:pt idx="18">
                  <c:v>5.7694549393034631</c:v>
                </c:pt>
                <c:pt idx="19">
                  <c:v>6.2119641299412089</c:v>
                </c:pt>
                <c:pt idx="20">
                  <c:v>6.6704301866414957</c:v>
                </c:pt>
                <c:pt idx="21">
                  <c:v>7.1439014099849407</c:v>
                </c:pt>
                <c:pt idx="22">
                  <c:v>7.6312774326587434</c:v>
                </c:pt>
                <c:pt idx="23">
                  <c:v>8.1313069087133574</c:v>
                </c:pt>
                <c:pt idx="24">
                  <c:v>8.6426029816515246</c:v>
                </c:pt>
                <c:pt idx="25">
                  <c:v>9.1636412462805303</c:v>
                </c:pt>
                <c:pt idx="26">
                  <c:v>9.6927846995351352</c:v>
                </c:pt>
                <c:pt idx="27">
                  <c:v>10.228279424041004</c:v>
                </c:pt>
                <c:pt idx="28">
                  <c:v>10.768279248838965</c:v>
                </c:pt>
                <c:pt idx="29">
                  <c:v>11.310873273940787</c:v>
                </c:pt>
                <c:pt idx="30">
                  <c:v>11.854087463921211</c:v>
                </c:pt>
                <c:pt idx="31">
                  <c:v>12.395920890327513</c:v>
                </c:pt>
                <c:pt idx="32">
                  <c:v>12.93435899698907</c:v>
                </c:pt>
                <c:pt idx="33">
                  <c:v>13.467402165683323</c:v>
                </c:pt>
                <c:pt idx="34">
                  <c:v>13.993085029619115</c:v>
                </c:pt>
                <c:pt idx="35">
                  <c:v>14.50950248927588</c:v>
                </c:pt>
                <c:pt idx="36">
                  <c:v>15.014834208399536</c:v>
                </c:pt>
                <c:pt idx="37">
                  <c:v>15.507346961812148</c:v>
                </c:pt>
                <c:pt idx="38">
                  <c:v>15.985431523870638</c:v>
                </c:pt>
                <c:pt idx="39">
                  <c:v>16.447616918089739</c:v>
                </c:pt>
                <c:pt idx="40">
                  <c:v>16.892559379708125</c:v>
                </c:pt>
                <c:pt idx="41">
                  <c:v>17.319089569894526</c:v>
                </c:pt>
                <c:pt idx="42">
                  <c:v>17.726186664465537</c:v>
                </c:pt>
                <c:pt idx="43">
                  <c:v>18.112992501751926</c:v>
                </c:pt>
                <c:pt idx="44">
                  <c:v>18.478827881772823</c:v>
                </c:pt>
                <c:pt idx="45">
                  <c:v>18.823166747021574</c:v>
                </c:pt>
                <c:pt idx="46">
                  <c:v>19.145641374481649</c:v>
                </c:pt>
                <c:pt idx="47">
                  <c:v>19.446046778109658</c:v>
                </c:pt>
                <c:pt idx="48">
                  <c:v>19.724316837750575</c:v>
                </c:pt>
                <c:pt idx="49">
                  <c:v>19.980523678854738</c:v>
                </c:pt>
                <c:pt idx="50">
                  <c:v>20.21486466311962</c:v>
                </c:pt>
                <c:pt idx="51">
                  <c:v>20.427652214707035</c:v>
                </c:pt>
                <c:pt idx="52">
                  <c:v>20.619296093114439</c:v>
                </c:pt>
                <c:pt idx="53">
                  <c:v>20.790298727403869</c:v>
                </c:pt>
                <c:pt idx="54">
                  <c:v>20.941241544165699</c:v>
                </c:pt>
                <c:pt idx="55">
                  <c:v>21.072766672895376</c:v>
                </c:pt>
                <c:pt idx="56">
                  <c:v>21.185572965410163</c:v>
                </c:pt>
                <c:pt idx="57">
                  <c:v>21.280400793020441</c:v>
                </c:pt>
                <c:pt idx="58">
                  <c:v>21.358022432583851</c:v>
                </c:pt>
                <c:pt idx="59">
                  <c:v>21.419233889963738</c:v>
                </c:pt>
                <c:pt idx="60">
                  <c:v>21.46484545362237</c:v>
                </c:pt>
                <c:pt idx="61">
                  <c:v>21.495673947243464</c:v>
                </c:pt>
                <c:pt idx="62">
                  <c:v>21.512535919813047</c:v>
                </c:pt>
                <c:pt idx="63">
                  <c:v>21.516241254201674</c:v>
                </c:pt>
                <c:pt idx="64">
                  <c:v>21.507588645233646</c:v>
                </c:pt>
                <c:pt idx="65">
                  <c:v>21.487360273099359</c:v>
                </c:pt>
                <c:pt idx="66">
                  <c:v>21.456319783852923</c:v>
                </c:pt>
                <c:pt idx="67">
                  <c:v>21.415206671925084</c:v>
                </c:pt>
                <c:pt idx="68">
                  <c:v>21.364736492112694</c:v>
                </c:pt>
                <c:pt idx="69">
                  <c:v>21.305597020098801</c:v>
                </c:pt>
                <c:pt idx="70">
                  <c:v>21.2384489323608</c:v>
                </c:pt>
                <c:pt idx="71">
                  <c:v>21.163921397365435</c:v>
                </c:pt>
                <c:pt idx="72">
                  <c:v>21.082616712142421</c:v>
                </c:pt>
                <c:pt idx="73">
                  <c:v>20.995104639689465</c:v>
                </c:pt>
                <c:pt idx="74">
                  <c:v>20.901926702489437</c:v>
                </c:pt>
                <c:pt idx="75">
                  <c:v>20.803594327540985</c:v>
                </c:pt>
                <c:pt idx="76">
                  <c:v>20.700589904530275</c:v>
                </c:pt>
                <c:pt idx="77">
                  <c:v>20.593367472577469</c:v>
                </c:pt>
                <c:pt idx="78">
                  <c:v>20.482354307714058</c:v>
                </c:pt>
                <c:pt idx="79">
                  <c:v>20.367948777060228</c:v>
                </c:pt>
                <c:pt idx="80">
                  <c:v>20.250526703567196</c:v>
                </c:pt>
                <c:pt idx="81">
                  <c:v>20.13043782539896</c:v>
                </c:pt>
                <c:pt idx="82">
                  <c:v>20.008008373483342</c:v>
                </c:pt>
                <c:pt idx="83">
                  <c:v>19.88354131744185</c:v>
                </c:pt>
                <c:pt idx="84">
                  <c:v>19.757319157405746</c:v>
                </c:pt>
                <c:pt idx="85">
                  <c:v>19.629605092870918</c:v>
                </c:pt>
                <c:pt idx="86">
                  <c:v>19.500643264549645</c:v>
                </c:pt>
                <c:pt idx="87">
                  <c:v>19.370657129479618</c:v>
                </c:pt>
                <c:pt idx="88">
                  <c:v>19.239855797956956</c:v>
                </c:pt>
                <c:pt idx="89">
                  <c:v>19.108432420305164</c:v>
                </c:pt>
                <c:pt idx="90">
                  <c:v>18.976562435782554</c:v>
                </c:pt>
                <c:pt idx="91">
                  <c:v>18.844410809501582</c:v>
                </c:pt>
                <c:pt idx="92">
                  <c:v>18.712125712057713</c:v>
                </c:pt>
                <c:pt idx="93">
                  <c:v>18.579847508175817</c:v>
                </c:pt>
                <c:pt idx="94">
                  <c:v>18.447700515356587</c:v>
                </c:pt>
                <c:pt idx="95">
                  <c:v>18.315801015597849</c:v>
                </c:pt>
                <c:pt idx="96">
                  <c:v>18.184252564012464</c:v>
                </c:pt>
                <c:pt idx="97">
                  <c:v>18.053154783890495</c:v>
                </c:pt>
                <c:pt idx="98">
                  <c:v>17.92259142389949</c:v>
                </c:pt>
                <c:pt idx="99">
                  <c:v>17.792643550626977</c:v>
                </c:pt>
                <c:pt idx="100">
                  <c:v>17.663384701268331</c:v>
                </c:pt>
                <c:pt idx="101">
                  <c:v>17.534876149997931</c:v>
                </c:pt>
                <c:pt idx="102">
                  <c:v>17.407179781071033</c:v>
                </c:pt>
                <c:pt idx="103">
                  <c:v>17.280344485513393</c:v>
                </c:pt>
                <c:pt idx="104">
                  <c:v>17.154418875878022</c:v>
                </c:pt>
                <c:pt idx="105">
                  <c:v>17.029446397749492</c:v>
                </c:pt>
                <c:pt idx="106">
                  <c:v>16.90546232745492</c:v>
                </c:pt>
                <c:pt idx="107">
                  <c:v>16.782499303162378</c:v>
                </c:pt>
                <c:pt idx="108">
                  <c:v>16.660587593342559</c:v>
                </c:pt>
                <c:pt idx="109">
                  <c:v>16.53974874186099</c:v>
                </c:pt>
                <c:pt idx="110">
                  <c:v>16.420007517658558</c:v>
                </c:pt>
                <c:pt idx="111">
                  <c:v>16.301382175900446</c:v>
                </c:pt>
                <c:pt idx="112">
                  <c:v>16.183886463531064</c:v>
                </c:pt>
                <c:pt idx="113">
                  <c:v>16.067533106648398</c:v>
                </c:pt>
                <c:pt idx="114">
                  <c:v>15.952333951067562</c:v>
                </c:pt>
                <c:pt idx="115">
                  <c:v>15.838295418344442</c:v>
                </c:pt>
                <c:pt idx="116">
                  <c:v>15.725425010564299</c:v>
                </c:pt>
                <c:pt idx="117">
                  <c:v>15.61372675412632</c:v>
                </c:pt>
                <c:pt idx="118">
                  <c:v>15.503201440677566</c:v>
                </c:pt>
                <c:pt idx="119">
                  <c:v>15.393851331884457</c:v>
                </c:pt>
                <c:pt idx="120">
                  <c:v>15.285675710770022</c:v>
                </c:pt>
                <c:pt idx="121">
                  <c:v>15.178671089862666</c:v>
                </c:pt>
                <c:pt idx="122">
                  <c:v>15.072835741156021</c:v>
                </c:pt>
                <c:pt idx="123">
                  <c:v>14.968165362707753</c:v>
                </c:pt>
                <c:pt idx="124">
                  <c:v>14.864654671937126</c:v>
                </c:pt>
                <c:pt idx="125">
                  <c:v>14.762297499500654</c:v>
                </c:pt>
                <c:pt idx="126">
                  <c:v>14.661085494923942</c:v>
                </c:pt>
                <c:pt idx="127">
                  <c:v>14.561012380953258</c:v>
                </c:pt>
                <c:pt idx="128">
                  <c:v>14.46207117230413</c:v>
                </c:pt>
                <c:pt idx="129">
                  <c:v>14.364251574910417</c:v>
                </c:pt>
                <c:pt idx="130">
                  <c:v>14.267544161056861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0A-44B5-AA47-22F74837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0.5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Performance!$U$29:$U$159</c:f>
              <c:numCache>
                <c:formatCode>0.000</c:formatCode>
                <c:ptCount val="131"/>
                <c:pt idx="0">
                  <c:v>-21.908974212418848</c:v>
                </c:pt>
                <c:pt idx="1">
                  <c:v>-19.73380022324805</c:v>
                </c:pt>
                <c:pt idx="2">
                  <c:v>-17.875700327098421</c:v>
                </c:pt>
                <c:pt idx="3">
                  <c:v>-16.273878830313862</c:v>
                </c:pt>
                <c:pt idx="4">
                  <c:v>-14.882234293406537</c:v>
                </c:pt>
                <c:pt idx="5">
                  <c:v>-13.665073606911843</c:v>
                </c:pt>
                <c:pt idx="6">
                  <c:v>-12.594283700757515</c:v>
                </c:pt>
                <c:pt idx="7">
                  <c:v>-11.647409687984229</c:v>
                </c:pt>
                <c:pt idx="8">
                  <c:v>-10.806283531347802</c:v>
                </c:pt>
                <c:pt idx="9">
                  <c:v>-10.056059067720106</c:v>
                </c:pt>
                <c:pt idx="10">
                  <c:v>-9.3844797752401945</c:v>
                </c:pt>
                <c:pt idx="11">
                  <c:v>-8.7813421984021485</c:v>
                </c:pt>
                <c:pt idx="12">
                  <c:v>-8.2380968901177596</c:v>
                </c:pt>
                <c:pt idx="13">
                  <c:v>-7.7475196926626984</c:v>
                </c:pt>
                <c:pt idx="14">
                  <c:v>-7.303477600501739</c:v>
                </c:pt>
                <c:pt idx="15">
                  <c:v>-6.9007241673789625</c:v>
                </c:pt>
                <c:pt idx="16">
                  <c:v>-6.5347580742132445</c:v>
                </c:pt>
                <c:pt idx="17">
                  <c:v>-6.2016888834219221</c:v>
                </c:pt>
                <c:pt idx="18">
                  <c:v>-5.8981475326890322</c:v>
                </c:pt>
                <c:pt idx="19">
                  <c:v>-5.6211970491189343</c:v>
                </c:pt>
                <c:pt idx="20">
                  <c:v>-5.3682724198456437</c:v>
                </c:pt>
                <c:pt idx="21">
                  <c:v>-5.1371201517156706</c:v>
                </c:pt>
                <c:pt idx="22">
                  <c:v>-4.9257560007906012</c:v>
                </c:pt>
                <c:pt idx="23">
                  <c:v>-4.732428907814012</c:v>
                </c:pt>
                <c:pt idx="24">
                  <c:v>-4.5555849227145355</c:v>
                </c:pt>
                <c:pt idx="25">
                  <c:v>-4.393844460774984</c:v>
                </c:pt>
                <c:pt idx="26">
                  <c:v>-4.2459750997112113</c:v>
                </c:pt>
                <c:pt idx="27">
                  <c:v>-4.1108778851081205</c:v>
                </c:pt>
                <c:pt idx="28">
                  <c:v>-3.987567867695506</c:v>
                </c:pt>
                <c:pt idx="29">
                  <c:v>-3.8751583085809522</c:v>
                </c:pt>
                <c:pt idx="30">
                  <c:v>-3.7728528355458066</c:v>
                </c:pt>
                <c:pt idx="31">
                  <c:v>-3.6799317930587176</c:v>
                </c:pt>
                <c:pt idx="32">
                  <c:v>-3.5957450996045153</c:v>
                </c:pt>
                <c:pt idx="33">
                  <c:v>-3.5197034263141371</c:v>
                </c:pt>
                <c:pt idx="34">
                  <c:v>-3.4512720020166983</c:v>
                </c:pt>
                <c:pt idx="35">
                  <c:v>-3.3899641833959597</c:v>
                </c:pt>
                <c:pt idx="36">
                  <c:v>-3.3353360524049367</c:v>
                </c:pt>
                <c:pt idx="37">
                  <c:v>-3.2869837337184951</c:v>
                </c:pt>
                <c:pt idx="38">
                  <c:v>-3.2445371937834877</c:v>
                </c:pt>
                <c:pt idx="39">
                  <c:v>-3.2076571375808447</c:v>
                </c:pt>
                <c:pt idx="40">
                  <c:v>-3.1760337367119904</c:v>
                </c:pt>
                <c:pt idx="41">
                  <c:v>-3.1493809435826776</c:v>
                </c:pt>
                <c:pt idx="42">
                  <c:v>-3.1274365385481619</c:v>
                </c:pt>
                <c:pt idx="43">
                  <c:v>-3.1099590002420139</c:v>
                </c:pt>
                <c:pt idx="44">
                  <c:v>-3.0967249877102359</c:v>
                </c:pt>
                <c:pt idx="45">
                  <c:v>-3.0875287583915472</c:v>
                </c:pt>
                <c:pt idx="46">
                  <c:v>-3.0821800003677353</c:v>
                </c:pt>
                <c:pt idx="47">
                  <c:v>-3.080502342986021</c:v>
                </c:pt>
                <c:pt idx="48">
                  <c:v>-3.0823324369563441</c:v>
                </c:pt>
                <c:pt idx="49">
                  <c:v>-3.0875186672682315</c:v>
                </c:pt>
                <c:pt idx="50">
                  <c:v>-3.0959201977519824</c:v>
                </c:pt>
                <c:pt idx="51">
                  <c:v>-3.1074061536694049</c:v>
                </c:pt>
                <c:pt idx="52">
                  <c:v>-3.121854468500485</c:v>
                </c:pt>
                <c:pt idx="53">
                  <c:v>-3.1391514881610592</c:v>
                </c:pt>
                <c:pt idx="54">
                  <c:v>-3.1591914991293035</c:v>
                </c:pt>
                <c:pt idx="55">
                  <c:v>-3.1818753148998367</c:v>
                </c:pt>
                <c:pt idx="56">
                  <c:v>-3.2071106348810021</c:v>
                </c:pt>
                <c:pt idx="57">
                  <c:v>-3.2348110127392302</c:v>
                </c:pt>
                <c:pt idx="58">
                  <c:v>-3.2648953133811709</c:v>
                </c:pt>
                <c:pt idx="59">
                  <c:v>-3.2972876765747969</c:v>
                </c:pt>
                <c:pt idx="60">
                  <c:v>-3.3319169724361863</c:v>
                </c:pt>
                <c:pt idx="61">
                  <c:v>-3.3687164534864089</c:v>
                </c:pt>
                <c:pt idx="62">
                  <c:v>-3.4076237092388668</c:v>
                </c:pt>
                <c:pt idx="63">
                  <c:v>-3.448579296795903</c:v>
                </c:pt>
                <c:pt idx="64">
                  <c:v>-3.4915280691899313</c:v>
                </c:pt>
                <c:pt idx="65">
                  <c:v>-3.5364185071440719</c:v>
                </c:pt>
                <c:pt idx="66">
                  <c:v>-3.5831999454487575</c:v>
                </c:pt>
                <c:pt idx="67">
                  <c:v>-3.6318273396683152</c:v>
                </c:pt>
                <c:pt idx="68">
                  <c:v>-3.6822563773315307</c:v>
                </c:pt>
                <c:pt idx="69">
                  <c:v>-3.7344461970740301</c:v>
                </c:pt>
                <c:pt idx="70">
                  <c:v>-3.7883571606254756</c:v>
                </c:pt>
                <c:pt idx="71">
                  <c:v>-3.8439536150883287</c:v>
                </c:pt>
                <c:pt idx="72">
                  <c:v>-3.901199672586356</c:v>
                </c:pt>
                <c:pt idx="73">
                  <c:v>-3.960063233234695</c:v>
                </c:pt>
                <c:pt idx="74">
                  <c:v>-4.0205127927496482</c:v>
                </c:pt>
                <c:pt idx="75">
                  <c:v>-4.0825188869330082</c:v>
                </c:pt>
                <c:pt idx="76">
                  <c:v>-4.1460536040525193</c:v>
                </c:pt>
                <c:pt idx="77">
                  <c:v>-4.2110904903120794</c:v>
                </c:pt>
                <c:pt idx="78">
                  <c:v>-4.2776040022111728</c:v>
                </c:pt>
                <c:pt idx="79">
                  <c:v>-4.3455712545459049</c:v>
                </c:pt>
                <c:pt idx="80">
                  <c:v>-4.4149687356953367</c:v>
                </c:pt>
                <c:pt idx="81">
                  <c:v>-4.4857749767109896</c:v>
                </c:pt>
                <c:pt idx="82">
                  <c:v>-4.557969585866001</c:v>
                </c:pt>
                <c:pt idx="83">
                  <c:v>-4.6315336952000479</c:v>
                </c:pt>
                <c:pt idx="84">
                  <c:v>-4.7064489152206486</c:v>
                </c:pt>
                <c:pt idx="85">
                  <c:v>-4.7826972349148669</c:v>
                </c:pt>
                <c:pt idx="86">
                  <c:v>-4.8602614622229057</c:v>
                </c:pt>
                <c:pt idx="87">
                  <c:v>-4.9391268107091992</c:v>
                </c:pt>
                <c:pt idx="88">
                  <c:v>-5.0192776718263534</c:v>
                </c:pt>
                <c:pt idx="89">
                  <c:v>-5.1006991265041686</c:v>
                </c:pt>
                <c:pt idx="90">
                  <c:v>-5.1833786183042916</c:v>
                </c:pt>
                <c:pt idx="91">
                  <c:v>-5.26730199598145</c:v>
                </c:pt>
                <c:pt idx="92">
                  <c:v>-5.3524580061278222</c:v>
                </c:pt>
                <c:pt idx="93">
                  <c:v>-5.4388330719576263</c:v>
                </c:pt>
                <c:pt idx="94">
                  <c:v>-5.5264170921294289</c:v>
                </c:pt>
                <c:pt idx="95">
                  <c:v>-5.6151987255185976</c:v>
                </c:pt>
                <c:pt idx="96">
                  <c:v>-5.7051689618735555</c:v>
                </c:pt>
                <c:pt idx="97">
                  <c:v>-5.7963155665613399</c:v>
                </c:pt>
                <c:pt idx="98">
                  <c:v>-5.8886317213322608</c:v>
                </c:pt>
                <c:pt idx="99">
                  <c:v>-5.9821073067757533</c:v>
                </c:pt>
                <c:pt idx="100">
                  <c:v>-6.0767325545086432</c:v>
                </c:pt>
                <c:pt idx="101">
                  <c:v>-6.1725019879565979</c:v>
                </c:pt>
                <c:pt idx="102">
                  <c:v>-6.2694052931959892</c:v>
                </c:pt>
                <c:pt idx="103">
                  <c:v>-6.3674377954504662</c:v>
                </c:pt>
                <c:pt idx="104">
                  <c:v>-6.466591190757387</c:v>
                </c:pt>
                <c:pt idx="105">
                  <c:v>-6.5668574435890381</c:v>
                </c:pt>
                <c:pt idx="106">
                  <c:v>-6.6682315668159875</c:v>
                </c:pt>
                <c:pt idx="107">
                  <c:v>-6.7707075254680236</c:v>
                </c:pt>
                <c:pt idx="108">
                  <c:v>-6.8742781480059101</c:v>
                </c:pt>
                <c:pt idx="109">
                  <c:v>-6.9789408068166479</c:v>
                </c:pt>
                <c:pt idx="110">
                  <c:v>-7.0846874343504105</c:v>
                </c:pt>
                <c:pt idx="111">
                  <c:v>-7.1915130436922281</c:v>
                </c:pt>
                <c:pt idx="112">
                  <c:v>-7.2994143815461578</c:v>
                </c:pt>
                <c:pt idx="113">
                  <c:v>-7.4083869901327111</c:v>
                </c:pt>
                <c:pt idx="114">
                  <c:v>-7.5184251242236071</c:v>
                </c:pt>
                <c:pt idx="115">
                  <c:v>-7.6295262612758998</c:v>
                </c:pt>
                <c:pt idx="116">
                  <c:v>-7.7416850592644622</c:v>
                </c:pt>
                <c:pt idx="117">
                  <c:v>-7.8548978824000981</c:v>
                </c:pt>
                <c:pt idx="118">
                  <c:v>-7.9691628670727681</c:v>
                </c:pt>
                <c:pt idx="119">
                  <c:v>-8.0844752213029718</c:v>
                </c:pt>
                <c:pt idx="120">
                  <c:v>-8.2008318832048062</c:v>
                </c:pt>
                <c:pt idx="121">
                  <c:v>-8.3182315873873875</c:v>
                </c:pt>
                <c:pt idx="122">
                  <c:v>-8.4366700353174711</c:v>
                </c:pt>
                <c:pt idx="123">
                  <c:v>-8.5561446851501604</c:v>
                </c:pt>
                <c:pt idx="124">
                  <c:v>-8.6766531579510104</c:v>
                </c:pt>
                <c:pt idx="125">
                  <c:v>-8.7981932329384094</c:v>
                </c:pt>
                <c:pt idx="126">
                  <c:v>-8.9207645321018045</c:v>
                </c:pt>
                <c:pt idx="127">
                  <c:v>-9.0443634770939294</c:v>
                </c:pt>
                <c:pt idx="128">
                  <c:v>-9.1689865780279867</c:v>
                </c:pt>
                <c:pt idx="129">
                  <c:v>-9.2946338933945452</c:v>
                </c:pt>
                <c:pt idx="130">
                  <c:v>-9.4213039306705539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D-4D57-860A-0BB1D3013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031071"/>
        <c:axId val="1778635119"/>
      </c:scatterChart>
      <c:valAx>
        <c:axId val="1597031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78635119"/>
        <c:crosses val="autoZero"/>
        <c:crossBetween val="midCat"/>
      </c:valAx>
      <c:valAx>
        <c:axId val="177863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597031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69855357508106"/>
          <c:y val="3.9426523297491037E-2"/>
          <c:w val="0.70787699163887141"/>
          <c:h val="0.805759038184743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Constraints!$A$20</c:f>
              <c:strCache>
                <c:ptCount val="1"/>
                <c:pt idx="0">
                  <c:v>W/S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Constraints!$B$22:$B$789</c:f>
              <c:numCache>
                <c:formatCode>0.000</c:formatCode>
                <c:ptCount val="768"/>
                <c:pt idx="0">
                  <c:v>0.60330039365258281</c:v>
                </c:pt>
                <c:pt idx="1">
                  <c:v>0.40375907362341357</c:v>
                </c:pt>
                <c:pt idx="2">
                  <c:v>0.30445605696533656</c:v>
                </c:pt>
                <c:pt idx="3">
                  <c:v>0.24524836165569636</c:v>
                </c:pt>
                <c:pt idx="4">
                  <c:v>0.20608832702027452</c:v>
                </c:pt>
                <c:pt idx="5">
                  <c:v>0.17838409848440615</c:v>
                </c:pt>
                <c:pt idx="6">
                  <c:v>0.1578397487607586</c:v>
                </c:pt>
                <c:pt idx="7">
                  <c:v>0.14206865157859161</c:v>
                </c:pt>
                <c:pt idx="8">
                  <c:v>0.12963883117546107</c:v>
                </c:pt>
                <c:pt idx="9">
                  <c:v>0.11963903024799334</c:v>
                </c:pt>
                <c:pt idx="10">
                  <c:v>0.11146174392727275</c:v>
                </c:pt>
                <c:pt idx="11">
                  <c:v>0.10468639191943457</c:v>
                </c:pt>
                <c:pt idx="12">
                  <c:v>9.9012559728861138E-2</c:v>
                </c:pt>
                <c:pt idx="13">
                  <c:v>9.4219943392099492E-2</c:v>
                </c:pt>
                <c:pt idx="14">
                  <c:v>9.0143314936559943E-2</c:v>
                </c:pt>
                <c:pt idx="15">
                  <c:v>8.665632355967387E-2</c:v>
                </c:pt>
                <c:pt idx="16">
                  <c:v>8.3660696414999042E-2</c:v>
                </c:pt>
                <c:pt idx="17">
                  <c:v>8.1078849676396836E-2</c:v>
                </c:pt>
                <c:pt idx="18">
                  <c:v>7.8848716282956352E-2</c:v>
                </c:pt>
                <c:pt idx="19">
                  <c:v>7.6920051471083051E-2</c:v>
                </c:pt>
                <c:pt idx="20">
                  <c:v>7.5251745888745059E-2</c:v>
                </c:pt>
                <c:pt idx="21">
                  <c:v>7.380983963643778E-2</c:v>
                </c:pt>
                <c:pt idx="22">
                  <c:v>7.2566032797907354E-2</c:v>
                </c:pt>
                <c:pt idx="23">
                  <c:v>7.149655344350056E-2</c:v>
                </c:pt>
                <c:pt idx="24">
                  <c:v>7.0581286863510839E-2</c:v>
                </c:pt>
                <c:pt idx="25">
                  <c:v>6.9803098305225172E-2</c:v>
                </c:pt>
                <c:pt idx="26">
                  <c:v>6.91473008377467E-2</c:v>
                </c:pt>
                <c:pt idx="27">
                  <c:v>6.8601233313750537E-2</c:v>
                </c:pt>
                <c:pt idx="28">
                  <c:v>6.8153922738888456E-2</c:v>
                </c:pt>
                <c:pt idx="29">
                  <c:v>6.7795811989050714E-2</c:v>
                </c:pt>
                <c:pt idx="30">
                  <c:v>6.7518538580641274E-2</c:v>
                </c:pt>
                <c:pt idx="31">
                  <c:v>6.731475366443937E-2</c:v>
                </c:pt>
                <c:pt idx="32">
                  <c:v>6.7177972961720817E-2</c:v>
                </c:pt>
                <c:pt idx="33">
                  <c:v>6.7102453254187039E-2</c:v>
                </c:pt>
                <c:pt idx="34">
                  <c:v>6.7083089458905981E-2</c:v>
                </c:pt>
                <c:pt idx="35">
                  <c:v>6.7115328393803089E-2</c:v>
                </c:pt>
                <c:pt idx="36">
                  <c:v>6.7195096159127443E-2</c:v>
                </c:pt>
                <c:pt idx="37">
                  <c:v>6.7318736691000053E-2</c:v>
                </c:pt>
                <c:pt idx="38">
                  <c:v>6.7482959531929787E-2</c:v>
                </c:pt>
                <c:pt idx="39">
                  <c:v>6.7684795244668555E-2</c:v>
                </c:pt>
                <c:pt idx="40">
                  <c:v>6.7921557195515722E-2</c:v>
                </c:pt>
                <c:pt idx="41">
                  <c:v>6.8190808670184649E-2</c:v>
                </c:pt>
                <c:pt idx="42">
                  <c:v>6.8490334473869305E-2</c:v>
                </c:pt>
                <c:pt idx="43">
                  <c:v>6.8818116317968664E-2</c:v>
                </c:pt>
                <c:pt idx="44">
                  <c:v>6.9172311417238244E-2</c:v>
                </c:pt>
                <c:pt idx="45">
                  <c:v>6.9551233819220418E-2</c:v>
                </c:pt>
                <c:pt idx="46">
                  <c:v>6.9953338067495624E-2</c:v>
                </c:pt>
                <c:pt idx="47">
                  <c:v>7.0377204865352039E-2</c:v>
                </c:pt>
                <c:pt idx="48">
                  <c:v>7.0821528459814806E-2</c:v>
                </c:pt>
                <c:pt idx="49">
                  <c:v>7.1285105509907076E-2</c:v>
                </c:pt>
                <c:pt idx="50">
                  <c:v>7.1766825239342524E-2</c:v>
                </c:pt>
                <c:pt idx="51">
                  <c:v>7.226566070400739E-2</c:v>
                </c:pt>
                <c:pt idx="52">
                  <c:v>7.2780661029722277E-2</c:v>
                </c:pt>
                <c:pt idx="53">
                  <c:v>7.3310944496793512E-2</c:v>
                </c:pt>
                <c:pt idx="54">
                  <c:v>7.3855692365505612E-2</c:v>
                </c:pt>
                <c:pt idx="55">
                  <c:v>7.4414143351561671E-2</c:v>
                </c:pt>
                <c:pt idx="56">
                  <c:v>7.4985588673030124E-2</c:v>
                </c:pt>
                <c:pt idx="57">
                  <c:v>7.5569367600991658E-2</c:v>
                </c:pt>
                <c:pt idx="58">
                  <c:v>7.6164863455121662E-2</c:v>
                </c:pt>
                <c:pt idx="59">
                  <c:v>7.6771499993149528E-2</c:v>
                </c:pt>
                <c:pt idx="60">
                  <c:v>7.7388738149725356E-2</c:v>
                </c:pt>
                <c:pt idx="61">
                  <c:v>7.8016073085870691E-2</c:v>
                </c:pt>
                <c:pt idx="62">
                  <c:v>7.8653031515043215E-2</c:v>
                </c:pt>
                <c:pt idx="63">
                  <c:v>7.9299169276026288E-2</c:v>
                </c:pt>
                <c:pt idx="64">
                  <c:v>7.9954069126464855E-2</c:v>
                </c:pt>
                <c:pt idx="65">
                  <c:v>8.061733873399525E-2</c:v>
                </c:pt>
                <c:pt idx="66">
                  <c:v>8.1288608844628157E-2</c:v>
                </c:pt>
                <c:pt idx="67">
                  <c:v>8.1967531610402572E-2</c:v>
                </c:pt>
                <c:pt idx="68">
                  <c:v>8.2653779060383847E-2</c:v>
                </c:pt>
                <c:pt idx="69">
                  <c:v>8.334704170087312E-2</c:v>
                </c:pt>
                <c:pt idx="70">
                  <c:v>8.4047027232265897E-2</c:v>
                </c:pt>
                <c:pt idx="71">
                  <c:v>8.4753459371374351E-2</c:v>
                </c:pt>
                <c:pt idx="72">
                  <c:v>8.5466076769237037E-2</c:v>
                </c:pt>
                <c:pt idx="73">
                  <c:v>8.6184632015503776E-2</c:v>
                </c:pt>
                <c:pt idx="74">
                  <c:v>8.69088907214218E-2</c:v>
                </c:pt>
                <c:pt idx="75">
                  <c:v>8.7638630674277407E-2</c:v>
                </c:pt>
                <c:pt idx="76">
                  <c:v>8.8373641056880683E-2</c:v>
                </c:pt>
                <c:pt idx="77">
                  <c:v>8.9113721726329823E-2</c:v>
                </c:pt>
                <c:pt idx="78">
                  <c:v>8.9858682546868129E-2</c:v>
                </c:pt>
                <c:pt idx="79">
                  <c:v>9.0608342772158942E-2</c:v>
                </c:pt>
                <c:pt idx="80">
                  <c:v>9.1362530472760106E-2</c:v>
                </c:pt>
                <c:pt idx="81">
                  <c:v>9.2121082004985685E-2</c:v>
                </c:pt>
                <c:pt idx="82">
                  <c:v>9.2883841517706262E-2</c:v>
                </c:pt>
                <c:pt idx="83">
                  <c:v>9.3650660493963173E-2</c:v>
                </c:pt>
                <c:pt idx="84">
                  <c:v>9.4421397324563311E-2</c:v>
                </c:pt>
                <c:pt idx="85">
                  <c:v>9.5195916911081022E-2</c:v>
                </c:pt>
                <c:pt idx="86">
                  <c:v>9.5974090295928211E-2</c:v>
                </c:pt>
                <c:pt idx="87">
                  <c:v>9.6755794317363447E-2</c:v>
                </c:pt>
                <c:pt idx="88">
                  <c:v>9.7540911287500476E-2</c:v>
                </c:pt>
                <c:pt idx="89">
                  <c:v>9.8329328691546897E-2</c:v>
                </c:pt>
                <c:pt idx="90">
                  <c:v>9.9120938906657838E-2</c:v>
                </c:pt>
                <c:pt idx="91">
                  <c:v>9.991563893892802E-2</c:v>
                </c:pt>
                <c:pt idx="92">
                  <c:v>0.1007133301771715</c:v>
                </c:pt>
                <c:pt idx="93">
                  <c:v>0.10151391816225229</c:v>
                </c:pt>
                <c:pt idx="94">
                  <c:v>0.10231731237083169</c:v>
                </c:pt>
                <c:pt idx="95">
                  <c:v>0.10312342601249225</c:v>
                </c:pt>
                <c:pt idx="96">
                  <c:v>0.10393217583928248</c:v>
                </c:pt>
                <c:pt idx="97">
                  <c:v>0.10474348196680454</c:v>
                </c:pt>
                <c:pt idx="98">
                  <c:v>0.10555726770603645</c:v>
                </c:pt>
                <c:pt idx="99">
                  <c:v>0.10637345940514525</c:v>
                </c:pt>
                <c:pt idx="100">
                  <c:v>0.10719198630060515</c:v>
                </c:pt>
                <c:pt idx="101">
                  <c:v>0.10801278037698847</c:v>
                </c:pt>
                <c:pt idx="102">
                  <c:v>0.10883577623484547</c:v>
                </c:pt>
                <c:pt idx="103">
                  <c:v>0.10966091096613403</c:v>
                </c:pt>
                <c:pt idx="104">
                  <c:v>0.11048812403670048</c:v>
                </c:pt>
                <c:pt idx="105">
                  <c:v>0.11131735717535007</c:v>
                </c:pt>
                <c:pt idx="106">
                  <c:v>0.11214855426908051</c:v>
                </c:pt>
                <c:pt idx="107">
                  <c:v>0.11298166126408221</c:v>
                </c:pt>
                <c:pt idx="108">
                  <c:v>0.1138166260721387</c:v>
                </c:pt>
                <c:pt idx="109">
                  <c:v>0.11465339848208635</c:v>
                </c:pt>
                <c:pt idx="110">
                  <c:v>0.11549193007601734</c:v>
                </c:pt>
                <c:pt idx="111">
                  <c:v>0.11633217414993212</c:v>
                </c:pt>
                <c:pt idx="112">
                  <c:v>0.11717408563856795</c:v>
                </c:pt>
                <c:pt idx="113">
                  <c:v>0.11801762104414951</c:v>
                </c:pt>
                <c:pt idx="114">
                  <c:v>0.11886273836882474</c:v>
                </c:pt>
                <c:pt idx="115">
                  <c:v>0.11970939705056563</c:v>
                </c:pt>
                <c:pt idx="116">
                  <c:v>0.1205575579023281</c:v>
                </c:pt>
                <c:pt idx="117">
                  <c:v>0.12140718305427969</c:v>
                </c:pt>
                <c:pt idx="118">
                  <c:v>0.12225823589891568</c:v>
                </c:pt>
                <c:pt idx="119">
                  <c:v>0.12311068103889677</c:v>
                </c:pt>
                <c:pt idx="120">
                  <c:v>0.12396448423745218</c:v>
                </c:pt>
                <c:pt idx="121">
                  <c:v>0.12481961237120208</c:v>
                </c:pt>
                <c:pt idx="122">
                  <c:v>0.1256760333852627</c:v>
                </c:pt>
                <c:pt idx="123">
                  <c:v>0.12653371625050658</c:v>
                </c:pt>
                <c:pt idx="124">
                  <c:v>0.12739263092285794</c:v>
                </c:pt>
                <c:pt idx="125">
                  <c:v>0.12825274830451111</c:v>
                </c:pt>
                <c:pt idx="126">
                  <c:v>0.12911404020696679</c:v>
                </c:pt>
                <c:pt idx="127">
                  <c:v>0.12997647931578774</c:v>
                </c:pt>
                <c:pt idx="128">
                  <c:v>0.13084003915698089</c:v>
                </c:pt>
                <c:pt idx="129">
                  <c:v>0.13170469406491941</c:v>
                </c:pt>
                <c:pt idx="130">
                  <c:v>0.13257041915172277</c:v>
                </c:pt>
                <c:pt idx="131">
                  <c:v>0.13343719027801801</c:v>
                </c:pt>
                <c:pt idx="132">
                  <c:v>0.13430498402501054</c:v>
                </c:pt>
                <c:pt idx="133">
                  <c:v>0.13517377766779604</c:v>
                </c:pt>
                <c:pt idx="134">
                  <c:v>0.13604354914984956</c:v>
                </c:pt>
                <c:pt idx="135">
                  <c:v>0.13691427705863249</c:v>
                </c:pt>
                <c:pt idx="136">
                  <c:v>0.13778594060225938</c:v>
                </c:pt>
                <c:pt idx="137">
                  <c:v>0.13865851958717237</c:v>
                </c:pt>
                <c:pt idx="138">
                  <c:v>0.13953199439677261</c:v>
                </c:pt>
                <c:pt idx="139">
                  <c:v>0.14040634597096022</c:v>
                </c:pt>
                <c:pt idx="140">
                  <c:v>0.14128155578653981</c:v>
                </c:pt>
                <c:pt idx="141">
                  <c:v>0.14215760583844717</c:v>
                </c:pt>
                <c:pt idx="142">
                  <c:v>0.14303447862175878</c:v>
                </c:pt>
                <c:pt idx="143">
                  <c:v>0.14391215711444563</c:v>
                </c:pt>
                <c:pt idx="144">
                  <c:v>0.1447906247608356</c:v>
                </c:pt>
                <c:pt idx="145">
                  <c:v>0.14566986545575106</c:v>
                </c:pt>
                <c:pt idx="146">
                  <c:v>0.1465498635292895</c:v>
                </c:pt>
                <c:pt idx="147">
                  <c:v>0.14743060373221689</c:v>
                </c:pt>
                <c:pt idx="148">
                  <c:v>0.14831207122194545</c:v>
                </c:pt>
                <c:pt idx="149">
                  <c:v>0.14919425154906854</c:v>
                </c:pt>
                <c:pt idx="150">
                  <c:v>0.15007713064442704</c:v>
                </c:pt>
                <c:pt idx="151">
                  <c:v>0.15096069480668303</c:v>
                </c:pt>
                <c:pt idx="152">
                  <c:v>0.15184493069037744</c:v>
                </c:pt>
                <c:pt idx="153">
                  <c:v>0.15272982529445014</c:v>
                </c:pt>
                <c:pt idx="154">
                  <c:v>0.15361536595120165</c:v>
                </c:pt>
                <c:pt idx="155">
                  <c:v>0.15450154031567623</c:v>
                </c:pt>
                <c:pt idx="156">
                  <c:v>0.1553883363554488</c:v>
                </c:pt>
                <c:pt idx="157">
                  <c:v>0.15627574234079675</c:v>
                </c:pt>
                <c:pt idx="158">
                  <c:v>0.15716374683524054</c:v>
                </c:pt>
                <c:pt idx="159">
                  <c:v>0.15805233868643676</c:v>
                </c:pt>
                <c:pt idx="160">
                  <c:v>0.15894150701740853</c:v>
                </c:pt>
                <c:pt idx="161">
                  <c:v>0.15983124121809861</c:v>
                </c:pt>
                <c:pt idx="162">
                  <c:v>0.16072153093723168</c:v>
                </c:pt>
                <c:pt idx="163">
                  <c:v>0.16161236607447241</c:v>
                </c:pt>
                <c:pt idx="164">
                  <c:v>0.16250373677286706</c:v>
                </c:pt>
                <c:pt idx="165">
                  <c:v>0.16339563341155655</c:v>
                </c:pt>
                <c:pt idx="166">
                  <c:v>0.1642880465987499</c:v>
                </c:pt>
                <c:pt idx="167">
                  <c:v>0.16518096716494712</c:v>
                </c:pt>
                <c:pt idx="168">
                  <c:v>0.16607438615640097</c:v>
                </c:pt>
                <c:pt idx="169">
                  <c:v>0.16696829482880873</c:v>
                </c:pt>
                <c:pt idx="170">
                  <c:v>0.16786268464122361</c:v>
                </c:pt>
                <c:pt idx="171">
                  <c:v>0.16875754725017719</c:v>
                </c:pt>
                <c:pt idx="172">
                  <c:v>0.16965287450400507</c:v>
                </c:pt>
                <c:pt idx="173">
                  <c:v>0.17054865843736647</c:v>
                </c:pt>
                <c:pt idx="174">
                  <c:v>0.17144489126595122</c:v>
                </c:pt>
                <c:pt idx="175">
                  <c:v>0.17234156538136572</c:v>
                </c:pt>
                <c:pt idx="176">
                  <c:v>0.17323867334619142</c:v>
                </c:pt>
                <c:pt idx="177">
                  <c:v>0.17413620788920922</c:v>
                </c:pt>
                <c:pt idx="178">
                  <c:v>0.17503416190078253</c:v>
                </c:pt>
                <c:pt idx="179">
                  <c:v>0.17593252842839385</c:v>
                </c:pt>
                <c:pt idx="180">
                  <c:v>0.1768313006723283</c:v>
                </c:pt>
                <c:pt idx="181">
                  <c:v>0.17773047198149861</c:v>
                </c:pt>
                <c:pt idx="182">
                  <c:v>0.17863003584940634</c:v>
                </c:pt>
                <c:pt idx="183">
                  <c:v>0.1795299859102342</c:v>
                </c:pt>
                <c:pt idx="184">
                  <c:v>0.18043031593506403</c:v>
                </c:pt>
                <c:pt idx="185">
                  <c:v>0.18133101982821673</c:v>
                </c:pt>
                <c:pt idx="186">
                  <c:v>0.18223209162370835</c:v>
                </c:pt>
                <c:pt idx="187">
                  <c:v>0.18313352548181927</c:v>
                </c:pt>
                <c:pt idx="188">
                  <c:v>0.18403531568577133</c:v>
                </c:pt>
                <c:pt idx="189">
                  <c:v>0.18493745663850936</c:v>
                </c:pt>
                <c:pt idx="190">
                  <c:v>0.18583994285958363</c:v>
                </c:pt>
                <c:pt idx="191">
                  <c:v>0.18674276898212874</c:v>
                </c:pt>
                <c:pt idx="192">
                  <c:v>0.18764592974993646</c:v>
                </c:pt>
                <c:pt idx="193">
                  <c:v>0.18854942001461811</c:v>
                </c:pt>
                <c:pt idx="194">
                  <c:v>0.18945323473285416</c:v>
                </c:pt>
                <c:pt idx="195">
                  <c:v>0.19035736896372757</c:v>
                </c:pt>
                <c:pt idx="196">
                  <c:v>0.19126181786613777</c:v>
                </c:pt>
                <c:pt idx="197">
                  <c:v>0.19216657669629272</c:v>
                </c:pt>
                <c:pt idx="198">
                  <c:v>0.19307164080527633</c:v>
                </c:pt>
                <c:pt idx="199">
                  <c:v>0.19397700563668804</c:v>
                </c:pt>
                <c:pt idx="200">
                  <c:v>0.19488266672435328</c:v>
                </c:pt>
                <c:pt idx="201">
                  <c:v>0.19578861969010081</c:v>
                </c:pt>
                <c:pt idx="202">
                  <c:v>0.19669486024160582</c:v>
                </c:pt>
                <c:pt idx="203">
                  <c:v>0.19760138417029632</c:v>
                </c:pt>
                <c:pt idx="204">
                  <c:v>0.19850818734932008</c:v>
                </c:pt>
                <c:pt idx="205">
                  <c:v>0.19941526573157076</c:v>
                </c:pt>
                <c:pt idx="206">
                  <c:v>0.20032261534777115</c:v>
                </c:pt>
                <c:pt idx="207">
                  <c:v>0.2012302323046109</c:v>
                </c:pt>
                <c:pt idx="208">
                  <c:v>0.202138112782938</c:v>
                </c:pt>
                <c:pt idx="209">
                  <c:v>0.20304625303600152</c:v>
                </c:pt>
                <c:pt idx="210">
                  <c:v>0.2039546493877438</c:v>
                </c:pt>
                <c:pt idx="211">
                  <c:v>0.20486329823114127</c:v>
                </c:pt>
                <c:pt idx="212">
                  <c:v>0.20577219602659119</c:v>
                </c:pt>
                <c:pt idx="213">
                  <c:v>0.20668133930034405</c:v>
                </c:pt>
                <c:pt idx="214">
                  <c:v>0.20759072464297901</c:v>
                </c:pt>
                <c:pt idx="215">
                  <c:v>0.20850034870792156</c:v>
                </c:pt>
                <c:pt idx="216">
                  <c:v>0.20941020821000242</c:v>
                </c:pt>
                <c:pt idx="217">
                  <c:v>0.21032029992405529</c:v>
                </c:pt>
                <c:pt idx="218">
                  <c:v>0.21123062068355325</c:v>
                </c:pt>
                <c:pt idx="219">
                  <c:v>0.21214116737928215</c:v>
                </c:pt>
                <c:pt idx="220">
                  <c:v>0.21305193695804966</c:v>
                </c:pt>
                <c:pt idx="221">
                  <c:v>0.21396292642142922</c:v>
                </c:pt>
                <c:pt idx="222">
                  <c:v>0.21487413282453774</c:v>
                </c:pt>
                <c:pt idx="223">
                  <c:v>0.21578555327484539</c:v>
                </c:pt>
                <c:pt idx="224">
                  <c:v>0.21669718493101772</c:v>
                </c:pt>
                <c:pt idx="225">
                  <c:v>0.21760902500178775</c:v>
                </c:pt>
                <c:pt idx="226">
                  <c:v>0.21852107074485819</c:v>
                </c:pt>
                <c:pt idx="227">
                  <c:v>0.21943331946583208</c:v>
                </c:pt>
                <c:pt idx="228">
                  <c:v>0.22034576851717155</c:v>
                </c:pt>
                <c:pt idx="229">
                  <c:v>0.22125841529718351</c:v>
                </c:pt>
                <c:pt idx="230">
                  <c:v>0.22217125724903175</c:v>
                </c:pt>
                <c:pt idx="231">
                  <c:v>0.2230842918597741</c:v>
                </c:pt>
                <c:pt idx="232">
                  <c:v>0.2239975166594248</c:v>
                </c:pt>
                <c:pt idx="233">
                  <c:v>0.22491092922004025</c:v>
                </c:pt>
                <c:pt idx="234">
                  <c:v>0.22582452715482859</c:v>
                </c:pt>
                <c:pt idx="235">
                  <c:v>0.22673830811728132</c:v>
                </c:pt>
                <c:pt idx="236">
                  <c:v>0.22765226980032696</c:v>
                </c:pt>
                <c:pt idx="237">
                  <c:v>0.22856640993550625</c:v>
                </c:pt>
                <c:pt idx="238">
                  <c:v>0.22948072629216754</c:v>
                </c:pt>
                <c:pt idx="239">
                  <c:v>0.23039521667668236</c:v>
                </c:pt>
                <c:pt idx="240">
                  <c:v>0.23130987893168067</c:v>
                </c:pt>
                <c:pt idx="241">
                  <c:v>0.23222471093530461</c:v>
                </c:pt>
                <c:pt idx="242">
                  <c:v>0.23313971060048094</c:v>
                </c:pt>
                <c:pt idx="243">
                  <c:v>0.23405487587421109</c:v>
                </c:pt>
                <c:pt idx="244">
                  <c:v>0.23497020473687849</c:v>
                </c:pt>
                <c:pt idx="245">
                  <c:v>0.23588569520157301</c:v>
                </c:pt>
                <c:pt idx="246">
                  <c:v>0.23680134531343139</c:v>
                </c:pt>
                <c:pt idx="247">
                  <c:v>0.23771715314899383</c:v>
                </c:pt>
                <c:pt idx="248">
                  <c:v>0.23863311681557592</c:v>
                </c:pt>
                <c:pt idx="249">
                  <c:v>0.23954923445065546</c:v>
                </c:pt>
                <c:pt idx="250">
                  <c:v>0.24046550422127416</c:v>
                </c:pt>
                <c:pt idx="251">
                  <c:v>0.24138192432345332</c:v>
                </c:pt>
                <c:pt idx="252">
                  <c:v>0.24229849298162331</c:v>
                </c:pt>
                <c:pt idx="253">
                  <c:v>0.24321520844806663</c:v>
                </c:pt>
                <c:pt idx="254">
                  <c:v>0.24413206900237375</c:v>
                </c:pt>
                <c:pt idx="255">
                  <c:v>0.24504907295091205</c:v>
                </c:pt>
                <c:pt idx="256">
                  <c:v>0.2459662186263068</c:v>
                </c:pt>
                <c:pt idx="257">
                  <c:v>0.24688350438693413</c:v>
                </c:pt>
                <c:pt idx="258">
                  <c:v>0.24780092861642597</c:v>
                </c:pt>
                <c:pt idx="259">
                  <c:v>0.24871848972318619</c:v>
                </c:pt>
                <c:pt idx="260">
                  <c:v>0.24963618613991781</c:v>
                </c:pt>
                <c:pt idx="261">
                  <c:v>0.2505540163231611</c:v>
                </c:pt>
                <c:pt idx="262">
                  <c:v>0.25147197875284205</c:v>
                </c:pt>
                <c:pt idx="263">
                  <c:v>0.25239007193183116</c:v>
                </c:pt>
                <c:pt idx="264">
                  <c:v>0.25330829438551228</c:v>
                </c:pt>
                <c:pt idx="265">
                  <c:v>0.25422664466136063</c:v>
                </c:pt>
                <c:pt idx="266">
                  <c:v>0.25514512132853112</c:v>
                </c:pt>
                <c:pt idx="267">
                  <c:v>0.25606372297745511</c:v>
                </c:pt>
                <c:pt idx="268">
                  <c:v>0.25698244821944644</c:v>
                </c:pt>
                <c:pt idx="269">
                  <c:v>0.25790129568631615</c:v>
                </c:pt>
                <c:pt idx="270">
                  <c:v>0.25882026402999581</c:v>
                </c:pt>
                <c:pt idx="271">
                  <c:v>0.25973935192216874</c:v>
                </c:pt>
                <c:pt idx="272">
                  <c:v>0.26065855805390981</c:v>
                </c:pt>
                <c:pt idx="273">
                  <c:v>0.26157788113533292</c:v>
                </c:pt>
                <c:pt idx="274">
                  <c:v>0.26249731989524583</c:v>
                </c:pt>
                <c:pt idx="275">
                  <c:v>0.26341687308081296</c:v>
                </c:pt>
                <c:pt idx="276">
                  <c:v>0.26433653945722491</c:v>
                </c:pt>
                <c:pt idx="277">
                  <c:v>0.26525631780737607</c:v>
                </c:pt>
                <c:pt idx="278">
                  <c:v>0.26617620693154764</c:v>
                </c:pt>
                <c:pt idx="279">
                  <c:v>0.26709620564709885</c:v>
                </c:pt>
                <c:pt idx="280">
                  <c:v>0.26801631278816401</c:v>
                </c:pt>
                <c:pt idx="281">
                  <c:v>0.26893652720535605</c:v>
                </c:pt>
                <c:pt idx="282">
                  <c:v>0.26985684776547636</c:v>
                </c:pt>
                <c:pt idx="283">
                  <c:v>0.27077727335123108</c:v>
                </c:pt>
                <c:pt idx="284">
                  <c:v>0.27169780286095263</c:v>
                </c:pt>
                <c:pt idx="285">
                  <c:v>0.27261843520832779</c:v>
                </c:pt>
                <c:pt idx="286">
                  <c:v>0.27353916932213101</c:v>
                </c:pt>
                <c:pt idx="287">
                  <c:v>0.27446000414596339</c:v>
                </c:pt>
                <c:pt idx="288">
                  <c:v>0.27538093863799706</c:v>
                </c:pt>
                <c:pt idx="289">
                  <c:v>0.27630197177072469</c:v>
                </c:pt>
                <c:pt idx="290">
                  <c:v>0.27722310253071458</c:v>
                </c:pt>
                <c:pt idx="291">
                  <c:v>0.27814432991837024</c:v>
                </c:pt>
                <c:pt idx="292">
                  <c:v>0.27906565294769492</c:v>
                </c:pt>
                <c:pt idx="293">
                  <c:v>0.2799870706460616</c:v>
                </c:pt>
                <c:pt idx="294">
                  <c:v>0.28090858205398672</c:v>
                </c:pt>
                <c:pt idx="295">
                  <c:v>0.28183018622490907</c:v>
                </c:pt>
                <c:pt idx="296">
                  <c:v>0.28275188222497299</c:v>
                </c:pt>
                <c:pt idx="297">
                  <c:v>0.28367366913281589</c:v>
                </c:pt>
                <c:pt idx="298">
                  <c:v>0.28459554603935983</c:v>
                </c:pt>
                <c:pt idx="299">
                  <c:v>0.285517512047608</c:v>
                </c:pt>
                <c:pt idx="300">
                  <c:v>0.28643956627244399</c:v>
                </c:pt>
                <c:pt idx="301">
                  <c:v>0.28736170784043624</c:v>
                </c:pt>
                <c:pt idx="302">
                  <c:v>0.28828393588964579</c:v>
                </c:pt>
                <c:pt idx="303">
                  <c:v>0.28920624956943769</c:v>
                </c:pt>
                <c:pt idx="304">
                  <c:v>0.29012864804029642</c:v>
                </c:pt>
                <c:pt idx="305">
                  <c:v>0.29105113047364467</c:v>
                </c:pt>
                <c:pt idx="306">
                  <c:v>0.29197369605166618</c:v>
                </c:pt>
                <c:pt idx="307">
                  <c:v>0.29289634396713099</c:v>
                </c:pt>
                <c:pt idx="308">
                  <c:v>0.29381907342322511</c:v>
                </c:pt>
                <c:pt idx="309">
                  <c:v>0.29474188363338305</c:v>
                </c:pt>
                <c:pt idx="310">
                  <c:v>0.29566477382112344</c:v>
                </c:pt>
                <c:pt idx="311">
                  <c:v>0.2965877432198879</c:v>
                </c:pt>
                <c:pt idx="312">
                  <c:v>0.29751079107288331</c:v>
                </c:pt>
                <c:pt idx="313">
                  <c:v>0.29843391663292645</c:v>
                </c:pt>
                <c:pt idx="314">
                  <c:v>0.29935711916229213</c:v>
                </c:pt>
                <c:pt idx="315">
                  <c:v>0.30028039793256422</c:v>
                </c:pt>
                <c:pt idx="316">
                  <c:v>0.30120375222448875</c:v>
                </c:pt>
                <c:pt idx="317">
                  <c:v>0.30212718132783078</c:v>
                </c:pt>
                <c:pt idx="318">
                  <c:v>0.30305068454123318</c:v>
                </c:pt>
                <c:pt idx="319">
                  <c:v>0.30397426117207876</c:v>
                </c:pt>
                <c:pt idx="320">
                  <c:v>0.3048979105363539</c:v>
                </c:pt>
                <c:pt idx="321">
                  <c:v>0.30582163195851597</c:v>
                </c:pt>
                <c:pt idx="322">
                  <c:v>0.30674542477136235</c:v>
                </c:pt>
                <c:pt idx="323">
                  <c:v>0.30766928831590207</c:v>
                </c:pt>
                <c:pt idx="324">
                  <c:v>0.30859322194122996</c:v>
                </c:pt>
                <c:pt idx="325">
                  <c:v>0.3095172250044031</c:v>
                </c:pt>
                <c:pt idx="326">
                  <c:v>0.31044129687031913</c:v>
                </c:pt>
                <c:pt idx="327">
                  <c:v>0.3113654369115974</c:v>
                </c:pt>
                <c:pt idx="328">
                  <c:v>0.31228964450846203</c:v>
                </c:pt>
                <c:pt idx="329">
                  <c:v>0.31321391904862667</c:v>
                </c:pt>
                <c:pt idx="330">
                  <c:v>0.31413825992718197</c:v>
                </c:pt>
                <c:pt idx="331">
                  <c:v>0.31506266654648474</c:v>
                </c:pt>
                <c:pt idx="332">
                  <c:v>0.3159871383160493</c:v>
                </c:pt>
                <c:pt idx="333">
                  <c:v>0.31691167465244041</c:v>
                </c:pt>
                <c:pt idx="334">
                  <c:v>0.31783627497916855</c:v>
                </c:pt>
                <c:pt idx="335">
                  <c:v>0.31876093872658684</c:v>
                </c:pt>
                <c:pt idx="336">
                  <c:v>0.31968566533178971</c:v>
                </c:pt>
                <c:pt idx="337">
                  <c:v>0.32061045423851359</c:v>
                </c:pt>
                <c:pt idx="338">
                  <c:v>0.32153530489703924</c:v>
                </c:pt>
                <c:pt idx="339">
                  <c:v>0.32246021676409559</c:v>
                </c:pt>
                <c:pt idx="340">
                  <c:v>0.32338518930276566</c:v>
                </c:pt>
                <c:pt idx="341">
                  <c:v>0.32431022198239412</c:v>
                </c:pt>
                <c:pt idx="342">
                  <c:v>0.32523531427849572</c:v>
                </c:pt>
                <c:pt idx="343">
                  <c:v>0.32616046567266638</c:v>
                </c:pt>
                <c:pt idx="344">
                  <c:v>0.32708567565249508</c:v>
                </c:pt>
                <c:pt idx="345">
                  <c:v>0.3280109437114776</c:v>
                </c:pt>
                <c:pt idx="346">
                  <c:v>0.32893626934893161</c:v>
                </c:pt>
                <c:pt idx="347">
                  <c:v>0.32986165206991314</c:v>
                </c:pt>
                <c:pt idx="348">
                  <c:v>0.3307870913851349</c:v>
                </c:pt>
                <c:pt idx="349">
                  <c:v>0.33171258681088539</c:v>
                </c:pt>
                <c:pt idx="350">
                  <c:v>0.3326381378689498</c:v>
                </c:pt>
                <c:pt idx="351">
                  <c:v>0.33356374408653244</c:v>
                </c:pt>
                <c:pt idx="352">
                  <c:v>0.33448940499617968</c:v>
                </c:pt>
                <c:pt idx="353">
                  <c:v>0.33541512013570496</c:v>
                </c:pt>
                <c:pt idx="354">
                  <c:v>0.3363408890481151</c:v>
                </c:pt>
                <c:pt idx="355">
                  <c:v>0.33726671128153701</c:v>
                </c:pt>
                <c:pt idx="356">
                  <c:v>0.33819258638914662</c:v>
                </c:pt>
                <c:pt idx="357">
                  <c:v>0.33911851392909825</c:v>
                </c:pt>
                <c:pt idx="358">
                  <c:v>0.34004449346445581</c:v>
                </c:pt>
                <c:pt idx="359">
                  <c:v>0.34097052456312454</c:v>
                </c:pt>
                <c:pt idx="360">
                  <c:v>0.34189660679778405</c:v>
                </c:pt>
                <c:pt idx="361">
                  <c:v>0.342822739745823</c:v>
                </c:pt>
                <c:pt idx="362">
                  <c:v>0.3437489229892739</c:v>
                </c:pt>
                <c:pt idx="363">
                  <c:v>0.34467515611474975</c:v>
                </c:pt>
                <c:pt idx="364">
                  <c:v>0.34560143871338161</c:v>
                </c:pt>
                <c:pt idx="365">
                  <c:v>0.34652777038075672</c:v>
                </c:pt>
                <c:pt idx="366">
                  <c:v>0.34745415071685803</c:v>
                </c:pt>
                <c:pt idx="367">
                  <c:v>0.34838057932600502</c:v>
                </c:pt>
                <c:pt idx="368">
                  <c:v>0.34930705581679455</c:v>
                </c:pt>
                <c:pt idx="369">
                  <c:v>0.35023357980204356</c:v>
                </c:pt>
                <c:pt idx="370">
                  <c:v>0.35116015089873204</c:v>
                </c:pt>
                <c:pt idx="371">
                  <c:v>0.35208676872794786</c:v>
                </c:pt>
                <c:pt idx="372">
                  <c:v>0.353013432914831</c:v>
                </c:pt>
                <c:pt idx="373">
                  <c:v>0.35394014308852018</c:v>
                </c:pt>
                <c:pt idx="374">
                  <c:v>0.35486689888209938</c:v>
                </c:pt>
                <c:pt idx="375">
                  <c:v>0.35579369993254567</c:v>
                </c:pt>
                <c:pt idx="376">
                  <c:v>0.35672054588067742</c:v>
                </c:pt>
                <c:pt idx="377">
                  <c:v>0.35764743637110413</c:v>
                </c:pt>
                <c:pt idx="378">
                  <c:v>0.35857437105217604</c:v>
                </c:pt>
                <c:pt idx="379">
                  <c:v>0.35950134957593527</c:v>
                </c:pt>
                <c:pt idx="380">
                  <c:v>0.36042837159806762</c:v>
                </c:pt>
                <c:pt idx="381">
                  <c:v>0.3613554367778547</c:v>
                </c:pt>
                <c:pt idx="382">
                  <c:v>0.36228254477812738</c:v>
                </c:pt>
                <c:pt idx="383">
                  <c:v>0.3632096952652194</c:v>
                </c:pt>
                <c:pt idx="384">
                  <c:v>0.36413688790892251</c:v>
                </c:pt>
                <c:pt idx="385">
                  <c:v>0.36506412238244113</c:v>
                </c:pt>
                <c:pt idx="386">
                  <c:v>0.3659913983623489</c:v>
                </c:pt>
                <c:pt idx="387">
                  <c:v>0.36691871552854521</c:v>
                </c:pt>
                <c:pt idx="388">
                  <c:v>0.36784607356421234</c:v>
                </c:pt>
                <c:pt idx="389">
                  <c:v>0.36877347215577377</c:v>
                </c:pt>
                <c:pt idx="390">
                  <c:v>0.36970091099285296</c:v>
                </c:pt>
                <c:pt idx="391">
                  <c:v>0.37062838976823198</c:v>
                </c:pt>
                <c:pt idx="392">
                  <c:v>0.3715559081778122</c:v>
                </c:pt>
                <c:pt idx="393">
                  <c:v>0.37248346592057441</c:v>
                </c:pt>
                <c:pt idx="394">
                  <c:v>0.37341106269853991</c:v>
                </c:pt>
                <c:pt idx="395">
                  <c:v>0.37433869821673232</c:v>
                </c:pt>
                <c:pt idx="396">
                  <c:v>0.37526637218313996</c:v>
                </c:pt>
                <c:pt idx="397">
                  <c:v>0.37619408430867846</c:v>
                </c:pt>
                <c:pt idx="398">
                  <c:v>0.37712183430715435</c:v>
                </c:pt>
                <c:pt idx="399">
                  <c:v>0.37804962189522889</c:v>
                </c:pt>
                <c:pt idx="400">
                  <c:v>0.37897744679238277</c:v>
                </c:pt>
                <c:pt idx="401">
                  <c:v>0.37990530872088091</c:v>
                </c:pt>
                <c:pt idx="402">
                  <c:v>0.38083320740573795</c:v>
                </c:pt>
                <c:pt idx="403">
                  <c:v>0.38176114257468474</c:v>
                </c:pt>
                <c:pt idx="404">
                  <c:v>0.38268911395813432</c:v>
                </c:pt>
                <c:pt idx="405">
                  <c:v>0.38361712128914932</c:v>
                </c:pt>
                <c:pt idx="406">
                  <c:v>0.3845451643034094</c:v>
                </c:pt>
                <c:pt idx="407">
                  <c:v>0.38547324273917932</c:v>
                </c:pt>
                <c:pt idx="408">
                  <c:v>0.38640135633727724</c:v>
                </c:pt>
                <c:pt idx="409">
                  <c:v>0.38732950484104384</c:v>
                </c:pt>
                <c:pt idx="410">
                  <c:v>0.38825768799631172</c:v>
                </c:pt>
                <c:pt idx="411">
                  <c:v>0.38918590555137494</c:v>
                </c:pt>
                <c:pt idx="412">
                  <c:v>0.39011415725695964</c:v>
                </c:pt>
                <c:pt idx="413">
                  <c:v>0.39104244286619461</c:v>
                </c:pt>
                <c:pt idx="414">
                  <c:v>0.39197076213458243</c:v>
                </c:pt>
                <c:pt idx="415">
                  <c:v>0.39289911481997075</c:v>
                </c:pt>
                <c:pt idx="416">
                  <c:v>0.39382750068252487</c:v>
                </c:pt>
                <c:pt idx="417">
                  <c:v>0.39475591948469929</c:v>
                </c:pt>
                <c:pt idx="418">
                  <c:v>0.39568437099121095</c:v>
                </c:pt>
                <c:pt idx="419">
                  <c:v>0.39661285496901255</c:v>
                </c:pt>
                <c:pt idx="420">
                  <c:v>0.39754137118726535</c:v>
                </c:pt>
                <c:pt idx="421">
                  <c:v>0.39846991941731363</c:v>
                </c:pt>
                <c:pt idx="422">
                  <c:v>0.39939849943265904</c:v>
                </c:pt>
                <c:pt idx="423">
                  <c:v>0.40032711100893464</c:v>
                </c:pt>
                <c:pt idx="424">
                  <c:v>0.40125575392388035</c:v>
                </c:pt>
                <c:pt idx="425">
                  <c:v>0.40218442795731818</c:v>
                </c:pt>
                <c:pt idx="426">
                  <c:v>0.40311313289112788</c:v>
                </c:pt>
                <c:pt idx="427">
                  <c:v>0.40404186850922297</c:v>
                </c:pt>
                <c:pt idx="428">
                  <c:v>0.40497063459752691</c:v>
                </c:pt>
                <c:pt idx="429">
                  <c:v>0.4058994309439502</c:v>
                </c:pt>
                <c:pt idx="430">
                  <c:v>0.40682825733836697</c:v>
                </c:pt>
                <c:pt idx="431">
                  <c:v>0.40775711357259248</c:v>
                </c:pt>
                <c:pt idx="432">
                  <c:v>0.40868599944036083</c:v>
                </c:pt>
                <c:pt idx="433">
                  <c:v>0.40961491473730272</c:v>
                </c:pt>
                <c:pt idx="434">
                  <c:v>0.41054385926092379</c:v>
                </c:pt>
                <c:pt idx="435">
                  <c:v>0.41147283281058339</c:v>
                </c:pt>
                <c:pt idx="436">
                  <c:v>0.41240183518747286</c:v>
                </c:pt>
                <c:pt idx="437">
                  <c:v>0.41333086619459525</c:v>
                </c:pt>
                <c:pt idx="438">
                  <c:v>0.41425992563674441</c:v>
                </c:pt>
                <c:pt idx="439">
                  <c:v>0.4151890133204848</c:v>
                </c:pt>
                <c:pt idx="440">
                  <c:v>0.41611812905413148</c:v>
                </c:pt>
                <c:pt idx="441">
                  <c:v>0.41704727264773006</c:v>
                </c:pt>
                <c:pt idx="442">
                  <c:v>0.41797644391303779</c:v>
                </c:pt>
                <c:pt idx="443">
                  <c:v>0.41890564266350372</c:v>
                </c:pt>
                <c:pt idx="444">
                  <c:v>0.41983486871425013</c:v>
                </c:pt>
                <c:pt idx="445">
                  <c:v>0.4207641218820537</c:v>
                </c:pt>
                <c:pt idx="446">
                  <c:v>0.42169340198532701</c:v>
                </c:pt>
                <c:pt idx="447">
                  <c:v>0.42262270884410019</c:v>
                </c:pt>
                <c:pt idx="448">
                  <c:v>0.42355204228000337</c:v>
                </c:pt>
                <c:pt idx="449">
                  <c:v>0.42448140211624852</c:v>
                </c:pt>
                <c:pt idx="450">
                  <c:v>0.42541078817761213</c:v>
                </c:pt>
                <c:pt idx="451">
                  <c:v>0.42634020029041786</c:v>
                </c:pt>
                <c:pt idx="452">
                  <c:v>0.42726963828251974</c:v>
                </c:pt>
                <c:pt idx="453">
                  <c:v>0.42819910198328492</c:v>
                </c:pt>
                <c:pt idx="454">
                  <c:v>0.42912859122357749</c:v>
                </c:pt>
                <c:pt idx="455">
                  <c:v>0.430058105835742</c:v>
                </c:pt>
                <c:pt idx="456">
                  <c:v>0.4309876456535871</c:v>
                </c:pt>
                <c:pt idx="457">
                  <c:v>0.43191721051236964</c:v>
                </c:pt>
                <c:pt idx="458">
                  <c:v>0.43284680024877936</c:v>
                </c:pt>
                <c:pt idx="459">
                  <c:v>0.43377641470092276</c:v>
                </c:pt>
                <c:pt idx="460">
                  <c:v>0.43470605370830795</c:v>
                </c:pt>
                <c:pt idx="461">
                  <c:v>0.4356357171118298</c:v>
                </c:pt>
                <c:pt idx="462">
                  <c:v>0.43656540475375466</c:v>
                </c:pt>
                <c:pt idx="463">
                  <c:v>0.43749511647770573</c:v>
                </c:pt>
                <c:pt idx="464">
                  <c:v>0.4384248521286484</c:v>
                </c:pt>
                <c:pt idx="465">
                  <c:v>0.43935461155287625</c:v>
                </c:pt>
                <c:pt idx="466">
                  <c:v>0.44028439459799634</c:v>
                </c:pt>
                <c:pt idx="467">
                  <c:v>0.44121420111291548</c:v>
                </c:pt>
                <c:pt idx="468">
                  <c:v>0.44214403094782662</c:v>
                </c:pt>
                <c:pt idx="469">
                  <c:v>0.44307388395419467</c:v>
                </c:pt>
                <c:pt idx="470">
                  <c:v>0.44400375998474334</c:v>
                </c:pt>
                <c:pt idx="471">
                  <c:v>0.44493365889344205</c:v>
                </c:pt>
                <c:pt idx="472">
                  <c:v>0.44586358053549235</c:v>
                </c:pt>
                <c:pt idx="473">
                  <c:v>0.44679352476731504</c:v>
                </c:pt>
                <c:pt idx="474">
                  <c:v>0.44772349144653772</c:v>
                </c:pt>
                <c:pt idx="475">
                  <c:v>0.44865348043198178</c:v>
                </c:pt>
                <c:pt idx="476">
                  <c:v>0.44958349158364996</c:v>
                </c:pt>
                <c:pt idx="477">
                  <c:v>0.45051352476271417</c:v>
                </c:pt>
                <c:pt idx="478">
                  <c:v>0.45144357983150318</c:v>
                </c:pt>
                <c:pt idx="479">
                  <c:v>0.45237365665349066</c:v>
                </c:pt>
                <c:pt idx="480">
                  <c:v>0.45330375509328319</c:v>
                </c:pt>
                <c:pt idx="481">
                  <c:v>0.45423387501660872</c:v>
                </c:pt>
                <c:pt idx="482">
                  <c:v>0.45516401629030495</c:v>
                </c:pt>
                <c:pt idx="483">
                  <c:v>0.45609417878230751</c:v>
                </c:pt>
                <c:pt idx="484">
                  <c:v>0.45702436236163946</c:v>
                </c:pt>
                <c:pt idx="485">
                  <c:v>0.45795456689839925</c:v>
                </c:pt>
                <c:pt idx="486">
                  <c:v>0.45888479226375017</c:v>
                </c:pt>
                <c:pt idx="487">
                  <c:v>0.45981503832990961</c:v>
                </c:pt>
                <c:pt idx="488">
                  <c:v>0.46074530497013788</c:v>
                </c:pt>
                <c:pt idx="489">
                  <c:v>0.46167559205872771</c:v>
                </c:pt>
                <c:pt idx="490">
                  <c:v>0.46260589947099412</c:v>
                </c:pt>
                <c:pt idx="491">
                  <c:v>0.46353622708326359</c:v>
                </c:pt>
                <c:pt idx="492">
                  <c:v>0.46446657477286402</c:v>
                </c:pt>
                <c:pt idx="493">
                  <c:v>0.46539694241811452</c:v>
                </c:pt>
                <c:pt idx="494">
                  <c:v>0.46632732989831577</c:v>
                </c:pt>
                <c:pt idx="495">
                  <c:v>0.46725773709373958</c:v>
                </c:pt>
                <c:pt idx="496">
                  <c:v>0.46818816388561951</c:v>
                </c:pt>
                <c:pt idx="497">
                  <c:v>0.46911861015614137</c:v>
                </c:pt>
                <c:pt idx="498">
                  <c:v>0.47004907578843319</c:v>
                </c:pt>
                <c:pt idx="499">
                  <c:v>0.47097956066655616</c:v>
                </c:pt>
                <c:pt idx="500">
                  <c:v>0.47191006467549551</c:v>
                </c:pt>
                <c:pt idx="501">
                  <c:v>0.47284058770115089</c:v>
                </c:pt>
                <c:pt idx="502">
                  <c:v>0.47377112963032741</c:v>
                </c:pt>
                <c:pt idx="503">
                  <c:v>0.47470169035072718</c:v>
                </c:pt>
                <c:pt idx="504">
                  <c:v>0.47563226975093964</c:v>
                </c:pt>
                <c:pt idx="505">
                  <c:v>0.47656286772043338</c:v>
                </c:pt>
                <c:pt idx="506">
                  <c:v>0.47749348414954718</c:v>
                </c:pt>
                <c:pt idx="507">
                  <c:v>0.47842411892948189</c:v>
                </c:pt>
                <c:pt idx="508">
                  <c:v>0.47935477195229143</c:v>
                </c:pt>
                <c:pt idx="509">
                  <c:v>0.48028544311087473</c:v>
                </c:pt>
                <c:pt idx="510">
                  <c:v>0.48121613229896759</c:v>
                </c:pt>
                <c:pt idx="511">
                  <c:v>0.48214683941113418</c:v>
                </c:pt>
                <c:pt idx="512">
                  <c:v>0.48307756434275928</c:v>
                </c:pt>
                <c:pt idx="513">
                  <c:v>0.48400830699004033</c:v>
                </c:pt>
                <c:pt idx="514">
                  <c:v>0.48493906724997926</c:v>
                </c:pt>
                <c:pt idx="515">
                  <c:v>0.48586984502037495</c:v>
                </c:pt>
                <c:pt idx="516">
                  <c:v>0.4868006401998155</c:v>
                </c:pt>
                <c:pt idx="517">
                  <c:v>0.4877314526876706</c:v>
                </c:pt>
                <c:pt idx="518">
                  <c:v>0.48866228238408405</c:v>
                </c:pt>
                <c:pt idx="519">
                  <c:v>0.48959312918996611</c:v>
                </c:pt>
                <c:pt idx="520">
                  <c:v>0.49052399300698668</c:v>
                </c:pt>
                <c:pt idx="521">
                  <c:v>0.49145487373756752</c:v>
                </c:pt>
                <c:pt idx="522">
                  <c:v>0.4923857712848751</c:v>
                </c:pt>
                <c:pt idx="523">
                  <c:v>0.49331668555281399</c:v>
                </c:pt>
                <c:pt idx="524">
                  <c:v>0.49424761644601933</c:v>
                </c:pt>
                <c:pt idx="525">
                  <c:v>0.4951785638698501</c:v>
                </c:pt>
                <c:pt idx="526">
                  <c:v>0.49610952773038236</c:v>
                </c:pt>
                <c:pt idx="527">
                  <c:v>0.4970405079344023</c:v>
                </c:pt>
                <c:pt idx="528">
                  <c:v>0.49797150438939952</c:v>
                </c:pt>
                <c:pt idx="529">
                  <c:v>0.4989025170035607</c:v>
                </c:pt>
                <c:pt idx="530">
                  <c:v>0.49983354568576266</c:v>
                </c:pt>
                <c:pt idx="531">
                  <c:v>0.5007645903455662</c:v>
                </c:pt>
                <c:pt idx="532">
                  <c:v>0.50169565089320944</c:v>
                </c:pt>
                <c:pt idx="533">
                  <c:v>0.50262672723960167</c:v>
                </c:pt>
                <c:pt idx="534">
                  <c:v>0.50355781929631716</c:v>
                </c:pt>
                <c:pt idx="535">
                  <c:v>0.50448892697558889</c:v>
                </c:pt>
                <c:pt idx="536">
                  <c:v>0.50542005019030178</c:v>
                </c:pt>
                <c:pt idx="537">
                  <c:v>0.50635118885398811</c:v>
                </c:pt>
                <c:pt idx="538">
                  <c:v>0.50728234288082008</c:v>
                </c:pt>
                <c:pt idx="539">
                  <c:v>0.50821351218560462</c:v>
                </c:pt>
                <c:pt idx="540">
                  <c:v>0.50914469668377749</c:v>
                </c:pt>
                <c:pt idx="541">
                  <c:v>0.51007589629139738</c:v>
                </c:pt>
                <c:pt idx="542">
                  <c:v>0.51100711092513984</c:v>
                </c:pt>
                <c:pt idx="543">
                  <c:v>0.51193834050229259</c:v>
                </c:pt>
                <c:pt idx="544">
                  <c:v>0.51286958494074897</c:v>
                </c:pt>
                <c:pt idx="545">
                  <c:v>0.51380084415900251</c:v>
                </c:pt>
                <c:pt idx="546">
                  <c:v>0.51473211807614205</c:v>
                </c:pt>
                <c:pt idx="547">
                  <c:v>0.51566340661184584</c:v>
                </c:pt>
                <c:pt idx="548">
                  <c:v>0.51659470968637622</c:v>
                </c:pt>
                <c:pt idx="549">
                  <c:v>0.51752602722057439</c:v>
                </c:pt>
                <c:pt idx="550">
                  <c:v>0.51845735913585522</c:v>
                </c:pt>
                <c:pt idx="551">
                  <c:v>0.51938870535420201</c:v>
                </c:pt>
                <c:pt idx="552">
                  <c:v>0.52032006579816137</c:v>
                </c:pt>
                <c:pt idx="553">
                  <c:v>0.52125144039083804</c:v>
                </c:pt>
                <c:pt idx="554">
                  <c:v>0.52218282905588997</c:v>
                </c:pt>
                <c:pt idx="555">
                  <c:v>0.52311423171752347</c:v>
                </c:pt>
                <c:pt idx="556">
                  <c:v>0.52404564830048805</c:v>
                </c:pt>
                <c:pt idx="557">
                  <c:v>0.52497707873007182</c:v>
                </c:pt>
                <c:pt idx="558">
                  <c:v>0.52590852293209644</c:v>
                </c:pt>
                <c:pt idx="559">
                  <c:v>0.5268399808329125</c:v>
                </c:pt>
                <c:pt idx="560">
                  <c:v>0.5277714523593946</c:v>
                </c:pt>
                <c:pt idx="561">
                  <c:v>0.52870293743893737</c:v>
                </c:pt>
                <c:pt idx="562">
                  <c:v>0.52963443599944982</c:v>
                </c:pt>
                <c:pt idx="563">
                  <c:v>0.53056594796935164</c:v>
                </c:pt>
                <c:pt idx="564">
                  <c:v>0.53149747327756847</c:v>
                </c:pt>
                <c:pt idx="565">
                  <c:v>0.53242901185352698</c:v>
                </c:pt>
                <c:pt idx="566">
                  <c:v>0.53336056362715112</c:v>
                </c:pt>
                <c:pt idx="567">
                  <c:v>0.53429212852885766</c:v>
                </c:pt>
                <c:pt idx="568">
                  <c:v>0.53522370648955109</c:v>
                </c:pt>
                <c:pt idx="569">
                  <c:v>0.5361552974406204</c:v>
                </c:pt>
                <c:pt idx="570">
                  <c:v>0.53708690131393444</c:v>
                </c:pt>
                <c:pt idx="571">
                  <c:v>0.5380185180418372</c:v>
                </c:pt>
                <c:pt idx="572">
                  <c:v>0.53895014755714454</c:v>
                </c:pt>
                <c:pt idx="573">
                  <c:v>0.53988178979313972</c:v>
                </c:pt>
                <c:pt idx="574">
                  <c:v>0.54081344468356884</c:v>
                </c:pt>
                <c:pt idx="575">
                  <c:v>0.54174511216263777</c:v>
                </c:pt>
                <c:pt idx="576">
                  <c:v>0.54267679216500764</c:v>
                </c:pt>
                <c:pt idx="577">
                  <c:v>0.5436084846257907</c:v>
                </c:pt>
                <c:pt idx="578">
                  <c:v>0.54454018948054705</c:v>
                </c:pt>
                <c:pt idx="579">
                  <c:v>0.54547190666528012</c:v>
                </c:pt>
                <c:pt idx="580">
                  <c:v>0.54640363611643339</c:v>
                </c:pt>
                <c:pt idx="581">
                  <c:v>0.54733537777088648</c:v>
                </c:pt>
                <c:pt idx="582">
                  <c:v>0.54826713156595097</c:v>
                </c:pt>
                <c:pt idx="583">
                  <c:v>0.54919889743936734</c:v>
                </c:pt>
                <c:pt idx="584">
                  <c:v>0.55013067532930138</c:v>
                </c:pt>
                <c:pt idx="585">
                  <c:v>0.55106246517433943</c:v>
                </c:pt>
                <c:pt idx="586">
                  <c:v>0.55199426691348619</c:v>
                </c:pt>
                <c:pt idx="587">
                  <c:v>0.55292608048616065</c:v>
                </c:pt>
                <c:pt idx="588">
                  <c:v>0.55385790583219219</c:v>
                </c:pt>
                <c:pt idx="589">
                  <c:v>0.55478974289181748</c:v>
                </c:pt>
                <c:pt idx="590">
                  <c:v>0.55572159160567736</c:v>
                </c:pt>
                <c:pt idx="591">
                  <c:v>0.55665345191481252</c:v>
                </c:pt>
                <c:pt idx="592">
                  <c:v>0.55758532376066106</c:v>
                </c:pt>
                <c:pt idx="593">
                  <c:v>0.55851720708505481</c:v>
                </c:pt>
                <c:pt idx="594">
                  <c:v>0.55944910183021557</c:v>
                </c:pt>
                <c:pt idx="595">
                  <c:v>0.56038100793875278</c:v>
                </c:pt>
                <c:pt idx="596">
                  <c:v>0.56131292535365962</c:v>
                </c:pt>
                <c:pt idx="597">
                  <c:v>0.56224485401830959</c:v>
                </c:pt>
                <c:pt idx="598">
                  <c:v>0.56317679387645414</c:v>
                </c:pt>
                <c:pt idx="599">
                  <c:v>0.56410874487221896</c:v>
                </c:pt>
                <c:pt idx="600">
                  <c:v>0.56504070695010078</c:v>
                </c:pt>
                <c:pt idx="601">
                  <c:v>0.56597268005496482</c:v>
                </c:pt>
                <c:pt idx="602">
                  <c:v>0.56690466413204144</c:v>
                </c:pt>
                <c:pt idx="603">
                  <c:v>0.5678366591269226</c:v>
                </c:pt>
                <c:pt idx="604">
                  <c:v>0.56876866498556011</c:v>
                </c:pt>
                <c:pt idx="605">
                  <c:v>0.56970068165426146</c:v>
                </c:pt>
                <c:pt idx="606">
                  <c:v>0.57063270907968744</c:v>
                </c:pt>
                <c:pt idx="607">
                  <c:v>0.57156474720884953</c:v>
                </c:pt>
                <c:pt idx="608">
                  <c:v>0.57249679598910608</c:v>
                </c:pt>
                <c:pt idx="609">
                  <c:v>0.57342885536816046</c:v>
                </c:pt>
                <c:pt idx="610">
                  <c:v>0.57436092529405802</c:v>
                </c:pt>
                <c:pt idx="611">
                  <c:v>0.5752930057151826</c:v>
                </c:pt>
                <c:pt idx="612">
                  <c:v>0.57622509658025467</c:v>
                </c:pt>
                <c:pt idx="613">
                  <c:v>0.57715719783832831</c:v>
                </c:pt>
                <c:pt idx="614">
                  <c:v>0.578089309438788</c:v>
                </c:pt>
                <c:pt idx="615">
                  <c:v>0.57902143133134676</c:v>
                </c:pt>
                <c:pt idx="616">
                  <c:v>0.57995356346604299</c:v>
                </c:pt>
                <c:pt idx="617">
                  <c:v>0.58088570579323773</c:v>
                </c:pt>
                <c:pt idx="618">
                  <c:v>0.58181785826361254</c:v>
                </c:pt>
                <c:pt idx="619">
                  <c:v>0.58275002082816674</c:v>
                </c:pt>
                <c:pt idx="620">
                  <c:v>0.58368219343821415</c:v>
                </c:pt>
                <c:pt idx="621">
                  <c:v>0.58461437604538191</c:v>
                </c:pt>
                <c:pt idx="622">
                  <c:v>0.58554656860160703</c:v>
                </c:pt>
                <c:pt idx="623">
                  <c:v>0.58647877105913371</c:v>
                </c:pt>
                <c:pt idx="624">
                  <c:v>0.58741098337051179</c:v>
                </c:pt>
                <c:pt idx="625">
                  <c:v>0.58834320548859376</c:v>
                </c:pt>
                <c:pt idx="626">
                  <c:v>0.5892754373665321</c:v>
                </c:pt>
                <c:pt idx="627">
                  <c:v>0.59020767895777748</c:v>
                </c:pt>
                <c:pt idx="628">
                  <c:v>0.59113993021607625</c:v>
                </c:pt>
                <c:pt idx="629">
                  <c:v>0.59207219109546749</c:v>
                </c:pt>
                <c:pt idx="630">
                  <c:v>0.59300446155028164</c:v>
                </c:pt>
                <c:pt idx="631">
                  <c:v>0.59393674153513754</c:v>
                </c:pt>
                <c:pt idx="632">
                  <c:v>0.59486903100494026</c:v>
                </c:pt>
                <c:pt idx="633">
                  <c:v>0.59580132991487911</c:v>
                </c:pt>
                <c:pt idx="634">
                  <c:v>0.59673363822042513</c:v>
                </c:pt>
                <c:pt idx="635">
                  <c:v>0.59766595587732885</c:v>
                </c:pt>
                <c:pt idx="636">
                  <c:v>0.59859828284161876</c:v>
                </c:pt>
                <c:pt idx="637">
                  <c:v>0.5995306190695977</c:v>
                </c:pt>
                <c:pt idx="638">
                  <c:v>0.60046296451784242</c:v>
                </c:pt>
                <c:pt idx="639">
                  <c:v>0.60139531914320044</c:v>
                </c:pt>
                <c:pt idx="640">
                  <c:v>0.60232768290278782</c:v>
                </c:pt>
                <c:pt idx="641">
                  <c:v>0.60326005575398778</c:v>
                </c:pt>
                <c:pt idx="642">
                  <c:v>0.60419243765444808</c:v>
                </c:pt>
                <c:pt idx="643">
                  <c:v>0.60512482856207894</c:v>
                </c:pt>
                <c:pt idx="644">
                  <c:v>0.60605722843505161</c:v>
                </c:pt>
                <c:pt idx="645">
                  <c:v>0.60698963723179578</c:v>
                </c:pt>
                <c:pt idx="646">
                  <c:v>0.60792205491099738</c:v>
                </c:pt>
                <c:pt idx="647">
                  <c:v>0.60885448143159759</c:v>
                </c:pt>
                <c:pt idx="648">
                  <c:v>0.60978691675278984</c:v>
                </c:pt>
                <c:pt idx="649">
                  <c:v>0.61071936083401834</c:v>
                </c:pt>
                <c:pt idx="650">
                  <c:v>0.61165181363497634</c:v>
                </c:pt>
                <c:pt idx="651">
                  <c:v>0.61258427511560376</c:v>
                </c:pt>
                <c:pt idx="652">
                  <c:v>0.61351674523608546</c:v>
                </c:pt>
                <c:pt idx="653">
                  <c:v>0.61444922395684975</c:v>
                </c:pt>
                <c:pt idx="654">
                  <c:v>0.61538171123856611</c:v>
                </c:pt>
                <c:pt idx="655">
                  <c:v>0.61631420704214324</c:v>
                </c:pt>
                <c:pt idx="656">
                  <c:v>0.61724671132872777</c:v>
                </c:pt>
                <c:pt idx="657">
                  <c:v>0.61817922405970216</c:v>
                </c:pt>
                <c:pt idx="658">
                  <c:v>0.61911174519668266</c:v>
                </c:pt>
                <c:pt idx="659">
                  <c:v>0.62004427470151813</c:v>
                </c:pt>
                <c:pt idx="660">
                  <c:v>0.62097681253628767</c:v>
                </c:pt>
                <c:pt idx="661">
                  <c:v>0.62190935866329911</c:v>
                </c:pt>
                <c:pt idx="662">
                  <c:v>0.62284191304508785</c:v>
                </c:pt>
                <c:pt idx="663">
                  <c:v>0.62377447564441402</c:v>
                </c:pt>
                <c:pt idx="664">
                  <c:v>0.62470704642426178</c:v>
                </c:pt>
                <c:pt idx="665">
                  <c:v>0.62563962534783724</c:v>
                </c:pt>
                <c:pt idx="666">
                  <c:v>0.62657221237856664</c:v>
                </c:pt>
                <c:pt idx="667">
                  <c:v>0.62750480748009507</c:v>
                </c:pt>
                <c:pt idx="668">
                  <c:v>0.62843741061628489</c:v>
                </c:pt>
                <c:pt idx="669">
                  <c:v>0.62937002175121315</c:v>
                </c:pt>
                <c:pt idx="670">
                  <c:v>0.63030264084917142</c:v>
                </c:pt>
                <c:pt idx="671">
                  <c:v>0.63123526787466344</c:v>
                </c:pt>
                <c:pt idx="672">
                  <c:v>0.6321679027924032</c:v>
                </c:pt>
                <c:pt idx="673">
                  <c:v>0.6331005455673141</c:v>
                </c:pt>
                <c:pt idx="674">
                  <c:v>0.63403319616452725</c:v>
                </c:pt>
                <c:pt idx="675">
                  <c:v>0.63496585454937926</c:v>
                </c:pt>
                <c:pt idx="676">
                  <c:v>0.63589852068741171</c:v>
                </c:pt>
                <c:pt idx="677">
                  <c:v>0.63683119454436909</c:v>
                </c:pt>
                <c:pt idx="678">
                  <c:v>0.63776387608619711</c:v>
                </c:pt>
                <c:pt idx="679">
                  <c:v>0.63869656527904184</c:v>
                </c:pt>
                <c:pt idx="680">
                  <c:v>0.63962926208924786</c:v>
                </c:pt>
                <c:pt idx="681">
                  <c:v>0.64056196648335662</c:v>
                </c:pt>
                <c:pt idx="682">
                  <c:v>0.64149467842810548</c:v>
                </c:pt>
                <c:pt idx="683">
                  <c:v>0.64242739789042602</c:v>
                </c:pt>
                <c:pt idx="684">
                  <c:v>0.64336012483744232</c:v>
                </c:pt>
                <c:pt idx="685">
                  <c:v>0.64429285923647028</c:v>
                </c:pt>
                <c:pt idx="686">
                  <c:v>0.6452256010550157</c:v>
                </c:pt>
                <c:pt idx="687">
                  <c:v>0.64615835026077284</c:v>
                </c:pt>
                <c:pt idx="688">
                  <c:v>0.64709110682162363</c:v>
                </c:pt>
                <c:pt idx="689">
                  <c:v>0.64802387070563539</c:v>
                </c:pt>
                <c:pt idx="690">
                  <c:v>0.6489566418810605</c:v>
                </c:pt>
                <c:pt idx="691">
                  <c:v>0.64988942031633445</c:v>
                </c:pt>
                <c:pt idx="692">
                  <c:v>0.65082220598007434</c:v>
                </c:pt>
                <c:pt idx="693">
                  <c:v>0.65175499884107846</c:v>
                </c:pt>
                <c:pt idx="694">
                  <c:v>0.65268779886832395</c:v>
                </c:pt>
                <c:pt idx="695">
                  <c:v>0.65362060603096617</c:v>
                </c:pt>
                <c:pt idx="696">
                  <c:v>0.6545534202983373</c:v>
                </c:pt>
                <c:pt idx="697">
                  <c:v>0.65548624163994496</c:v>
                </c:pt>
                <c:pt idx="698">
                  <c:v>0.65641907002547073</c:v>
                </c:pt>
                <c:pt idx="699">
                  <c:v>0.65735190542476973</c:v>
                </c:pt>
                <c:pt idx="700">
                  <c:v>0.65828474780786861</c:v>
                </c:pt>
                <c:pt idx="701">
                  <c:v>0.65921759714496431</c:v>
                </c:pt>
                <c:pt idx="702">
                  <c:v>0.66015045340642331</c:v>
                </c:pt>
                <c:pt idx="703">
                  <c:v>0.66108331656278052</c:v>
                </c:pt>
                <c:pt idx="704">
                  <c:v>0.66201618658473727</c:v>
                </c:pt>
                <c:pt idx="705">
                  <c:v>0.66294906344316096</c:v>
                </c:pt>
                <c:pt idx="706">
                  <c:v>0.66388194710908344</c:v>
                </c:pt>
                <c:pt idx="707">
                  <c:v>0.66481483755370019</c:v>
                </c:pt>
                <c:pt idx="708">
                  <c:v>0.66574773474836868</c:v>
                </c:pt>
                <c:pt idx="709">
                  <c:v>0.66668063866460792</c:v>
                </c:pt>
                <c:pt idx="710">
                  <c:v>0.66761354927409633</c:v>
                </c:pt>
                <c:pt idx="711">
                  <c:v>0.66854646654867178</c:v>
                </c:pt>
                <c:pt idx="712">
                  <c:v>0.66947939046032989</c:v>
                </c:pt>
                <c:pt idx="713">
                  <c:v>0.67041232098122239</c:v>
                </c:pt>
                <c:pt idx="714">
                  <c:v>0.6713452580836573</c:v>
                </c:pt>
                <c:pt idx="715">
                  <c:v>0.67227820174009645</c:v>
                </c:pt>
                <c:pt idx="716">
                  <c:v>0.67321115192315562</c:v>
                </c:pt>
                <c:pt idx="717">
                  <c:v>0.67414410860560281</c:v>
                </c:pt>
                <c:pt idx="718">
                  <c:v>0.67507707176035703</c:v>
                </c:pt>
                <c:pt idx="719">
                  <c:v>0.67601004136048781</c:v>
                </c:pt>
                <c:pt idx="720">
                  <c:v>0.67694301737921403</c:v>
                </c:pt>
                <c:pt idx="721">
                  <c:v>0.6778759997899021</c:v>
                </c:pt>
                <c:pt idx="722">
                  <c:v>0.67880898856606631</c:v>
                </c:pt>
                <c:pt idx="723">
                  <c:v>0.67974198368136673</c:v>
                </c:pt>
                <c:pt idx="724">
                  <c:v>0.68067498510960833</c:v>
                </c:pt>
                <c:pt idx="725">
                  <c:v>0.68160799282474072</c:v>
                </c:pt>
                <c:pt idx="726">
                  <c:v>0.68254100680085639</c:v>
                </c:pt>
                <c:pt idx="727">
                  <c:v>0.68347402701218984</c:v>
                </c:pt>
                <c:pt idx="728">
                  <c:v>0.68440705343311681</c:v>
                </c:pt>
                <c:pt idx="729">
                  <c:v>0.68534008603815366</c:v>
                </c:pt>
                <c:pt idx="730">
                  <c:v>0.68627312480195535</c:v>
                </c:pt>
                <c:pt idx="731">
                  <c:v>0.68720616969931569</c:v>
                </c:pt>
                <c:pt idx="732">
                  <c:v>0.68813922070516553</c:v>
                </c:pt>
                <c:pt idx="733">
                  <c:v>0.68907227779457225</c:v>
                </c:pt>
                <c:pt idx="734">
                  <c:v>0.6900053409427388</c:v>
                </c:pt>
                <c:pt idx="735">
                  <c:v>0.69093841012500268</c:v>
                </c:pt>
                <c:pt idx="736">
                  <c:v>0.69187148531683484</c:v>
                </c:pt>
                <c:pt idx="737">
                  <c:v>0.69280456649383937</c:v>
                </c:pt>
                <c:pt idx="738">
                  <c:v>0.69373765363175222</c:v>
                </c:pt>
                <c:pt idx="739">
                  <c:v>0.6946707467064398</c:v>
                </c:pt>
                <c:pt idx="740">
                  <c:v>0.69560384569389933</c:v>
                </c:pt>
                <c:pt idx="741">
                  <c:v>0.69653695057025655</c:v>
                </c:pt>
                <c:pt idx="742">
                  <c:v>0.69747006131176614</c:v>
                </c:pt>
                <c:pt idx="743">
                  <c:v>0.69840317789480999</c:v>
                </c:pt>
                <c:pt idx="744">
                  <c:v>0.69933630029589655</c:v>
                </c:pt>
                <c:pt idx="745">
                  <c:v>0.70026942849166041</c:v>
                </c:pt>
                <c:pt idx="746">
                  <c:v>0.70120256245886081</c:v>
                </c:pt>
                <c:pt idx="747">
                  <c:v>0.70213570217438104</c:v>
                </c:pt>
                <c:pt idx="748">
                  <c:v>0.70306884761522792</c:v>
                </c:pt>
                <c:pt idx="749">
                  <c:v>0.70400199875853076</c:v>
                </c:pt>
                <c:pt idx="750">
                  <c:v>0.70493515558154007</c:v>
                </c:pt>
                <c:pt idx="751">
                  <c:v>0.70586831806162786</c:v>
                </c:pt>
                <c:pt idx="752">
                  <c:v>0.7068014861762858</c:v>
                </c:pt>
                <c:pt idx="753">
                  <c:v>0.70773465990312479</c:v>
                </c:pt>
                <c:pt idx="754">
                  <c:v>0.7086678392198742</c:v>
                </c:pt>
                <c:pt idx="755">
                  <c:v>0.70960102410438142</c:v>
                </c:pt>
                <c:pt idx="756">
                  <c:v>0.71053421453461019</c:v>
                </c:pt>
                <c:pt idx="757">
                  <c:v>0.71146741048864082</c:v>
                </c:pt>
                <c:pt idx="758">
                  <c:v>0.71240061194466875</c:v>
                </c:pt>
                <c:pt idx="759">
                  <c:v>0.71333381888100411</c:v>
                </c:pt>
                <c:pt idx="760">
                  <c:v>0.71426703127607094</c:v>
                </c:pt>
                <c:pt idx="761">
                  <c:v>0.71520024910840641</c:v>
                </c:pt>
                <c:pt idx="762">
                  <c:v>0.71613347235665969</c:v>
                </c:pt>
                <c:pt idx="763">
                  <c:v>0.71706670099959213</c:v>
                </c:pt>
                <c:pt idx="764">
                  <c:v>0.71799993501607584</c:v>
                </c:pt>
                <c:pt idx="765">
                  <c:v>0.71893317438509274</c:v>
                </c:pt>
                <c:pt idx="766">
                  <c:v>0.71986641908573479</c:v>
                </c:pt>
                <c:pt idx="767">
                  <c:v>0.72079966909720206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8-42AE-BB9E-68E22299EA82}"/>
            </c:ext>
          </c:extLst>
        </c:ser>
        <c:ser>
          <c:idx val="1"/>
          <c:order val="1"/>
          <c:tx>
            <c:strRef>
              <c:f>Constraints!$B$20</c:f>
              <c:strCache>
                <c:ptCount val="1"/>
                <c:pt idx="0">
                  <c:v>T/Wcruise,min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Constraints!$C$22:$C$789</c:f>
              <c:numCache>
                <c:formatCode>0.000</c:formatCode>
                <c:ptCount val="768"/>
                <c:pt idx="0">
                  <c:v>0.75294724670493562</c:v>
                </c:pt>
                <c:pt idx="1">
                  <c:v>0.50321243961009399</c:v>
                </c:pt>
                <c:pt idx="2">
                  <c:v>0.37871931860471442</c:v>
                </c:pt>
                <c:pt idx="3">
                  <c:v>0.30432287203511948</c:v>
                </c:pt>
                <c:pt idx="4">
                  <c:v>0.2549747626834169</c:v>
                </c:pt>
                <c:pt idx="5">
                  <c:v>0.21993998888479574</c:v>
                </c:pt>
                <c:pt idx="6">
                  <c:v>0.19385104980685039</c:v>
                </c:pt>
                <c:pt idx="7">
                  <c:v>0.17372600054268897</c:v>
                </c:pt>
                <c:pt idx="8">
                  <c:v>0.15777567414817625</c:v>
                </c:pt>
                <c:pt idx="9">
                  <c:v>0.14486150984068077</c:v>
                </c:pt>
                <c:pt idx="10">
                  <c:v>0.13422446709844824</c:v>
                </c:pt>
                <c:pt idx="11">
                  <c:v>0.12533905632949494</c:v>
                </c:pt>
                <c:pt idx="12">
                  <c:v>0.11782992782526097</c:v>
                </c:pt>
                <c:pt idx="13">
                  <c:v>0.11142182513280249</c:v>
                </c:pt>
                <c:pt idx="14">
                  <c:v>0.1059083059124116</c:v>
                </c:pt>
                <c:pt idx="15">
                  <c:v>0.10113150249254696</c:v>
                </c:pt>
                <c:pt idx="16">
                  <c:v>9.6968628906454177E-2</c:v>
                </c:pt>
                <c:pt idx="17">
                  <c:v>9.3322748864590341E-2</c:v>
                </c:pt>
                <c:pt idx="18">
                  <c:v>9.0116313335321122E-2</c:v>
                </c:pt>
                <c:pt idx="19">
                  <c:v>8.7286544531132979E-2</c:v>
                </c:pt>
                <c:pt idx="20">
                  <c:v>8.4782078807696698E-2</c:v>
                </c:pt>
                <c:pt idx="21">
                  <c:v>8.2560485328392441E-2</c:v>
                </c:pt>
                <c:pt idx="22">
                  <c:v>8.0586405062703731E-2</c:v>
                </c:pt>
                <c:pt idx="23">
                  <c:v>7.88301364249967E-2</c:v>
                </c:pt>
                <c:pt idx="24">
                  <c:v>7.7266547304350369E-2</c:v>
                </c:pt>
                <c:pt idx="25">
                  <c:v>7.5874228865535784E-2</c:v>
                </c:pt>
                <c:pt idx="26">
                  <c:v>7.4634830678356689E-2</c:v>
                </c:pt>
                <c:pt idx="27">
                  <c:v>7.3532533406436978E-2</c:v>
                </c:pt>
                <c:pt idx="28">
                  <c:v>7.2553626958250739E-2</c:v>
                </c:pt>
                <c:pt idx="29">
                  <c:v>7.168617028633989E-2</c:v>
                </c:pt>
                <c:pt idx="30">
                  <c:v>7.0919714974178608E-2</c:v>
                </c:pt>
                <c:pt idx="31">
                  <c:v>7.0245079079971462E-2</c:v>
                </c:pt>
                <c:pt idx="32">
                  <c:v>6.9654160890369576E-2</c:v>
                </c:pt>
                <c:pt idx="33">
                  <c:v>6.9139784602121071E-2</c:v>
                </c:pt>
                <c:pt idx="34">
                  <c:v>6.8695571723446494E-2</c:v>
                </c:pt>
                <c:pt idx="35">
                  <c:v>6.8315833329245262E-2</c:v>
                </c:pt>
                <c:pt idx="36">
                  <c:v>6.7995479328637878E-2</c:v>
                </c:pt>
                <c:pt idx="37">
                  <c:v>6.7729941691347911E-2</c:v>
                </c:pt>
                <c:pt idx="38">
                  <c:v>6.7515109190126571E-2</c:v>
                </c:pt>
                <c:pt idx="39">
                  <c:v>6.7347271693066368E-2</c:v>
                </c:pt>
                <c:pt idx="40">
                  <c:v>6.7223072414155788E-2</c:v>
                </c:pt>
                <c:pt idx="41">
                  <c:v>6.7139466826547228E-2</c:v>
                </c:pt>
                <c:pt idx="42">
                  <c:v>6.7093687178560957E-2</c:v>
                </c:pt>
                <c:pt idx="43">
                  <c:v>6.7083211740888826E-2</c:v>
                </c:pt>
                <c:pt idx="44">
                  <c:v>6.7105738065032117E-2</c:v>
                </c:pt>
                <c:pt idx="45">
                  <c:v>6.71591596555558E-2</c:v>
                </c:pt>
                <c:pt idx="46">
                  <c:v>6.7241545558311078E-2</c:v>
                </c:pt>
                <c:pt idx="47">
                  <c:v>6.7351122448059283E-2</c:v>
                </c:pt>
                <c:pt idx="48">
                  <c:v>6.748625886558085E-2</c:v>
                </c:pt>
                <c:pt idx="49">
                  <c:v>6.7645451309242058E-2</c:v>
                </c:pt>
                <c:pt idx="50">
                  <c:v>6.7827311931380987E-2</c:v>
                </c:pt>
                <c:pt idx="51">
                  <c:v>6.8030557627555513E-2</c:v>
                </c:pt>
                <c:pt idx="52">
                  <c:v>6.8254000338097004E-2</c:v>
                </c:pt>
                <c:pt idx="53">
                  <c:v>6.8496538407676333E-2</c:v>
                </c:pt>
                <c:pt idx="54">
                  <c:v>6.8757148870630752E-2</c:v>
                </c:pt>
                <c:pt idx="55">
                  <c:v>6.9034880548361585E-2</c:v>
                </c:pt>
                <c:pt idx="56">
                  <c:v>6.9328847860794199E-2</c:v>
                </c:pt>
                <c:pt idx="57">
                  <c:v>6.9638225267181025E-2</c:v>
                </c:pt>
                <c:pt idx="58">
                  <c:v>6.9962242262824381E-2</c:v>
                </c:pt>
                <c:pt idx="59">
                  <c:v>7.0300178867924751E-2</c:v>
                </c:pt>
                <c:pt idx="60">
                  <c:v>7.0651361552992259E-2</c:v>
                </c:pt>
                <c:pt idx="61">
                  <c:v>7.1015159552314203E-2</c:v>
                </c:pt>
                <c:pt idx="62">
                  <c:v>7.1390981523034913E-2</c:v>
                </c:pt>
                <c:pt idx="63">
                  <c:v>7.1778272512628277E-2</c:v>
                </c:pt>
                <c:pt idx="64">
                  <c:v>7.2176511202054636E-2</c:v>
                </c:pt>
                <c:pt idx="65">
                  <c:v>7.2585207395799087E-2</c:v>
                </c:pt>
                <c:pt idx="66">
                  <c:v>7.3003899733377009E-2</c:v>
                </c:pt>
                <c:pt idx="67">
                  <c:v>7.3432153599839095E-2</c:v>
                </c:pt>
                <c:pt idx="68">
                  <c:v>7.3869559215376052E-2</c:v>
                </c:pt>
                <c:pt idx="69">
                  <c:v>7.4315729886364978E-2</c:v>
                </c:pt>
                <c:pt idx="70">
                  <c:v>7.4770300402162052E-2</c:v>
                </c:pt>
                <c:pt idx="71">
                  <c:v>7.5232925563665565E-2</c:v>
                </c:pt>
                <c:pt idx="72">
                  <c:v>7.5703278831184731E-2</c:v>
                </c:pt>
                <c:pt idx="73">
                  <c:v>7.6181051080478915E-2</c:v>
                </c:pt>
                <c:pt idx="74">
                  <c:v>7.6665949457004348E-2</c:v>
                </c:pt>
                <c:pt idx="75">
                  <c:v>7.7157696319440361E-2</c:v>
                </c:pt>
                <c:pt idx="76">
                  <c:v>7.7656028264482674E-2</c:v>
                </c:pt>
                <c:pt idx="77">
                  <c:v>7.8160695225703208E-2</c:v>
                </c:pt>
                <c:pt idx="78">
                  <c:v>7.8671459639995292E-2</c:v>
                </c:pt>
                <c:pt idx="79">
                  <c:v>7.9188095675763667E-2</c:v>
                </c:pt>
                <c:pt idx="80">
                  <c:v>7.9710388517588493E-2</c:v>
                </c:pt>
                <c:pt idx="81">
                  <c:v>8.0238133702600231E-2</c:v>
                </c:pt>
                <c:pt idx="82">
                  <c:v>8.0771136504256505E-2</c:v>
                </c:pt>
                <c:pt idx="83">
                  <c:v>8.1309211359616912E-2</c:v>
                </c:pt>
                <c:pt idx="84">
                  <c:v>8.1852181336575514E-2</c:v>
                </c:pt>
                <c:pt idx="85">
                  <c:v>8.2399877637835822E-2</c:v>
                </c:pt>
                <c:pt idx="86">
                  <c:v>8.295213913870568E-2</c:v>
                </c:pt>
                <c:pt idx="87">
                  <c:v>8.3508811956052253E-2</c:v>
                </c:pt>
                <c:pt idx="88">
                  <c:v>8.4069749045992931E-2</c:v>
                </c:pt>
                <c:pt idx="89">
                  <c:v>8.4634809828112556E-2</c:v>
                </c:pt>
                <c:pt idx="90">
                  <c:v>8.5203859834187864E-2</c:v>
                </c:pt>
                <c:pt idx="91">
                  <c:v>8.5776770379575179E-2</c:v>
                </c:pt>
                <c:pt idx="92">
                  <c:v>8.6353418255573022E-2</c:v>
                </c:pt>
                <c:pt idx="93">
                  <c:v>8.6933685441214714E-2</c:v>
                </c:pt>
                <c:pt idx="94">
                  <c:v>8.7517458833073949E-2</c:v>
                </c:pt>
                <c:pt idx="95">
                  <c:v>8.8104629991783132E-2</c:v>
                </c:pt>
                <c:pt idx="96">
                  <c:v>8.8695094904071348E-2</c:v>
                </c:pt>
                <c:pt idx="97">
                  <c:v>8.9288753759224099E-2</c:v>
                </c:pt>
                <c:pt idx="98">
                  <c:v>8.988551073895544E-2</c:v>
                </c:pt>
                <c:pt idx="99">
                  <c:v>9.048527381976304E-2</c:v>
                </c:pt>
                <c:pt idx="100">
                  <c:v>9.1087954586909339E-2</c:v>
                </c:pt>
                <c:pt idx="101">
                  <c:v>9.1693468059238878E-2</c:v>
                </c:pt>
                <c:pt idx="102">
                  <c:v>9.2301732524102106E-2</c:v>
                </c:pt>
                <c:pt idx="103">
                  <c:v>9.2912669381712373E-2</c:v>
                </c:pt>
                <c:pt idx="104">
                  <c:v>9.3526202998312671E-2</c:v>
                </c:pt>
                <c:pt idx="105">
                  <c:v>9.4142260567576186E-2</c:v>
                </c:pt>
                <c:pt idx="106">
                  <c:v>9.4760771979706712E-2</c:v>
                </c:pt>
                <c:pt idx="107">
                  <c:v>9.5381669697744614E-2</c:v>
                </c:pt>
                <c:pt idx="108">
                  <c:v>9.6004888640619679E-2</c:v>
                </c:pt>
                <c:pt idx="109">
                  <c:v>9.6630366072525495E-2</c:v>
                </c:pt>
                <c:pt idx="110">
                  <c:v>9.7258041498220191E-2</c:v>
                </c:pt>
                <c:pt idx="111">
                  <c:v>9.7887856563886336E-2</c:v>
                </c:pt>
                <c:pt idx="112">
                  <c:v>9.8519754963208903E-2</c:v>
                </c:pt>
                <c:pt idx="113">
                  <c:v>9.9153682348353395E-2</c:v>
                </c:pt>
                <c:pt idx="114">
                  <c:v>9.9789586245548512E-2</c:v>
                </c:pt>
                <c:pt idx="115">
                  <c:v>0.10042741597499813</c:v>
                </c:pt>
                <c:pt idx="116">
                  <c:v>0.10106712257486522</c:v>
                </c:pt>
                <c:pt idx="117">
                  <c:v>0.10170865872908889</c:v>
                </c:pt>
                <c:pt idx="118">
                  <c:v>0.1023519786988102</c:v>
                </c:pt>
                <c:pt idx="119">
                  <c:v>0.10299703825719864</c:v>
                </c:pt>
                <c:pt idx="120">
                  <c:v>0.10364379462748369</c:v>
                </c:pt>
                <c:pt idx="121">
                  <c:v>0.10429220642400934</c:v>
                </c:pt>
                <c:pt idx="122">
                  <c:v>0.10494223359614074</c:v>
                </c:pt>
                <c:pt idx="123">
                  <c:v>0.10559383737486336</c:v>
                </c:pt>
                <c:pt idx="124">
                  <c:v>0.10624698022192502</c:v>
                </c:pt>
                <c:pt idx="125">
                  <c:v>0.1069016257813807</c:v>
                </c:pt>
                <c:pt idx="126">
                  <c:v>0.10755773883340868</c:v>
                </c:pt>
                <c:pt idx="127">
                  <c:v>0.1082152852502747</c:v>
                </c:pt>
                <c:pt idx="128">
                  <c:v>0.10887423195432866</c:v>
                </c:pt>
                <c:pt idx="129">
                  <c:v>0.10953454687792503</c:v>
                </c:pt>
                <c:pt idx="130">
                  <c:v>0.11019619892516513</c:v>
                </c:pt>
                <c:pt idx="131">
                  <c:v>0.11085915793536527</c:v>
                </c:pt>
                <c:pt idx="132">
                  <c:v>0.11152339464816065</c:v>
                </c:pt>
                <c:pt idx="133">
                  <c:v>0.11218888067016029</c:v>
                </c:pt>
                <c:pt idx="134">
                  <c:v>0.11285558844307292</c:v>
                </c:pt>
                <c:pt idx="135">
                  <c:v>0.11352349121322888</c:v>
                </c:pt>
                <c:pt idx="136">
                  <c:v>0.11419256300242726</c:v>
                </c:pt>
                <c:pt idx="137">
                  <c:v>0.11486277858004124</c:v>
                </c:pt>
                <c:pt idx="138">
                  <c:v>0.11553411343631904</c:v>
                </c:pt>
                <c:pt idx="139">
                  <c:v>0.11620654375682102</c:v>
                </c:pt>
                <c:pt idx="140">
                  <c:v>0.11688004639793681</c:v>
                </c:pt>
                <c:pt idx="141">
                  <c:v>0.11755459886342975</c:v>
                </c:pt>
                <c:pt idx="142">
                  <c:v>0.11823017928195864</c:v>
                </c:pt>
                <c:pt idx="143">
                  <c:v>0.11890676638552966</c:v>
                </c:pt>
                <c:pt idx="144">
                  <c:v>0.11958433948883371</c:v>
                </c:pt>
                <c:pt idx="145">
                  <c:v>0.12026287846942725</c:v>
                </c:pt>
                <c:pt idx="146">
                  <c:v>0.12094236374871659</c:v>
                </c:pt>
                <c:pt idx="147">
                  <c:v>0.12162277627370784</c:v>
                </c:pt>
                <c:pt idx="148">
                  <c:v>0.12230409749948698</c:v>
                </c:pt>
                <c:pt idx="149">
                  <c:v>0.12298630937239595</c:v>
                </c:pt>
                <c:pt idx="150">
                  <c:v>0.123669394313873</c:v>
                </c:pt>
                <c:pt idx="151">
                  <c:v>0.12435333520492657</c:v>
                </c:pt>
                <c:pt idx="152">
                  <c:v>0.12503811537121429</c:v>
                </c:pt>
                <c:pt idx="153">
                  <c:v>0.12572371856869935</c:v>
                </c:pt>
                <c:pt idx="154">
                  <c:v>0.12641012896985876</c:v>
                </c:pt>
                <c:pt idx="155">
                  <c:v>0.12709733115041844</c:v>
                </c:pt>
                <c:pt idx="156">
                  <c:v>0.12778531007659233</c:v>
                </c:pt>
                <c:pt idx="157">
                  <c:v>0.1284740510928028</c:v>
                </c:pt>
                <c:pt idx="158">
                  <c:v>0.12916353990986165</c:v>
                </c:pt>
                <c:pt idx="159">
                  <c:v>0.12985376259359163</c:v>
                </c:pt>
                <c:pt idx="160">
                  <c:v>0.13054470555386916</c:v>
                </c:pt>
                <c:pt idx="161">
                  <c:v>0.13123635553407068</c:v>
                </c:pt>
                <c:pt idx="162">
                  <c:v>0.13192869960090486</c:v>
                </c:pt>
                <c:pt idx="163">
                  <c:v>0.13262172513461479</c:v>
                </c:pt>
                <c:pt idx="164">
                  <c:v>0.13331541981953404</c:v>
                </c:pt>
                <c:pt idx="165">
                  <c:v>0.13400977163498218</c:v>
                </c:pt>
                <c:pt idx="166">
                  <c:v>0.13470476884648547</c:v>
                </c:pt>
                <c:pt idx="167">
                  <c:v>0.13540039999730924</c:v>
                </c:pt>
                <c:pt idx="168">
                  <c:v>0.13609665390028897</c:v>
                </c:pt>
                <c:pt idx="169">
                  <c:v>0.13679351962994829</c:v>
                </c:pt>
                <c:pt idx="170">
                  <c:v>0.13749098651489158</c:v>
                </c:pt>
                <c:pt idx="171">
                  <c:v>0.13818904413046074</c:v>
                </c:pt>
                <c:pt idx="172">
                  <c:v>0.13888768229164503</c:v>
                </c:pt>
                <c:pt idx="173">
                  <c:v>0.13958689104623384</c:v>
                </c:pt>
                <c:pt idx="174">
                  <c:v>0.14028666066820325</c:v>
                </c:pt>
                <c:pt idx="175">
                  <c:v>0.1409869816513265</c:v>
                </c:pt>
                <c:pt idx="176">
                  <c:v>0.14168784470299986</c:v>
                </c:pt>
                <c:pt idx="177">
                  <c:v>0.14238924073827552</c:v>
                </c:pt>
                <c:pt idx="178">
                  <c:v>0.14309116087409349</c:v>
                </c:pt>
                <c:pt idx="179">
                  <c:v>0.14379359642370443</c:v>
                </c:pt>
                <c:pt idx="180">
                  <c:v>0.14449653889127659</c:v>
                </c:pt>
                <c:pt idx="181">
                  <c:v>0.14519997996667947</c:v>
                </c:pt>
                <c:pt idx="182">
                  <c:v>0.14590391152043755</c:v>
                </c:pt>
                <c:pt idx="183">
                  <c:v>0.14660832559884782</c:v>
                </c:pt>
                <c:pt idx="184">
                  <c:v>0.14731321441925452</c:v>
                </c:pt>
                <c:pt idx="185">
                  <c:v>0.14801857036547592</c:v>
                </c:pt>
                <c:pt idx="186">
                  <c:v>0.14872438598337673</c:v>
                </c:pt>
                <c:pt idx="187">
                  <c:v>0.14943065397658103</c:v>
                </c:pt>
                <c:pt idx="188">
                  <c:v>0.15013736720232088</c:v>
                </c:pt>
                <c:pt idx="189">
                  <c:v>0.15084451866741511</c:v>
                </c:pt>
                <c:pt idx="190">
                  <c:v>0.15155210152437382</c:v>
                </c:pt>
                <c:pt idx="191">
                  <c:v>0.15226010906762391</c:v>
                </c:pt>
                <c:pt idx="192">
                  <c:v>0.15296853472985167</c:v>
                </c:pt>
                <c:pt idx="193">
                  <c:v>0.15367737207845747</c:v>
                </c:pt>
                <c:pt idx="194">
                  <c:v>0.1543866148121191</c:v>
                </c:pt>
                <c:pt idx="195">
                  <c:v>0.15509625675746014</c:v>
                </c:pt>
                <c:pt idx="196">
                  <c:v>0.15580629186581876</c:v>
                </c:pt>
                <c:pt idx="197">
                  <c:v>0.15651671421011434</c:v>
                </c:pt>
                <c:pt idx="198">
                  <c:v>0.15722751798180773</c:v>
                </c:pt>
                <c:pt idx="199">
                  <c:v>0.15793869748795278</c:v>
                </c:pt>
                <c:pt idx="200">
                  <c:v>0.15865024714833484</c:v>
                </c:pt>
                <c:pt idx="201">
                  <c:v>0.15936216149269422</c:v>
                </c:pt>
                <c:pt idx="202">
                  <c:v>0.1600744351580313</c:v>
                </c:pt>
                <c:pt idx="203">
                  <c:v>0.16078706288599026</c:v>
                </c:pt>
                <c:pt idx="204">
                  <c:v>0.16150003952031936</c:v>
                </c:pt>
                <c:pt idx="205">
                  <c:v>0.16221336000440453</c:v>
                </c:pt>
                <c:pt idx="206">
                  <c:v>0.16292701937887427</c:v>
                </c:pt>
                <c:pt idx="207">
                  <c:v>0.16364101277927334</c:v>
                </c:pt>
                <c:pt idx="208">
                  <c:v>0.16435533543380271</c:v>
                </c:pt>
                <c:pt idx="209">
                  <c:v>0.16506998266112405</c:v>
                </c:pt>
                <c:pt idx="210">
                  <c:v>0.16578494986822614</c:v>
                </c:pt>
                <c:pt idx="211">
                  <c:v>0.16650023254835156</c:v>
                </c:pt>
                <c:pt idx="212">
                  <c:v>0.16721582627898121</c:v>
                </c:pt>
                <c:pt idx="213">
                  <c:v>0.16793172671987555</c:v>
                </c:pt>
                <c:pt idx="214">
                  <c:v>0.16864792961116978</c:v>
                </c:pt>
                <c:pt idx="215">
                  <c:v>0.16936443077152197</c:v>
                </c:pt>
                <c:pt idx="216">
                  <c:v>0.17008122609631202</c:v>
                </c:pt>
                <c:pt idx="217">
                  <c:v>0.17079831155589015</c:v>
                </c:pt>
                <c:pt idx="218">
                  <c:v>0.17151568319387286</c:v>
                </c:pt>
                <c:pt idx="219">
                  <c:v>0.17223333712548544</c:v>
                </c:pt>
                <c:pt idx="220">
                  <c:v>0.17295126953594908</c:v>
                </c:pt>
                <c:pt idx="221">
                  <c:v>0.17366947667891156</c:v>
                </c:pt>
                <c:pt idx="222">
                  <c:v>0.17438795487491973</c:v>
                </c:pt>
                <c:pt idx="223">
                  <c:v>0.17510670050993299</c:v>
                </c:pt>
                <c:pt idx="224">
                  <c:v>0.17582571003387609</c:v>
                </c:pt>
                <c:pt idx="225">
                  <c:v>0.1765449799592301</c:v>
                </c:pt>
                <c:pt idx="226">
                  <c:v>0.17726450685966069</c:v>
                </c:pt>
                <c:pt idx="227">
                  <c:v>0.1779842873686821</c:v>
                </c:pt>
                <c:pt idx="228">
                  <c:v>0.17870431817835622</c:v>
                </c:pt>
                <c:pt idx="229">
                  <c:v>0.17942459603802521</c:v>
                </c:pt>
                <c:pt idx="230">
                  <c:v>0.18014511775307707</c:v>
                </c:pt>
                <c:pt idx="231">
                  <c:v>0.18086588018374294</c:v>
                </c:pt>
                <c:pt idx="232">
                  <c:v>0.18158688024392519</c:v>
                </c:pt>
                <c:pt idx="233">
                  <c:v>0.18230811490005552</c:v>
                </c:pt>
                <c:pt idx="234">
                  <c:v>0.18302958116998203</c:v>
                </c:pt>
                <c:pt idx="235">
                  <c:v>0.18375127612188458</c:v>
                </c:pt>
                <c:pt idx="236">
                  <c:v>0.18447319687321717</c:v>
                </c:pt>
                <c:pt idx="237">
                  <c:v>0.1851953405896774</c:v>
                </c:pt>
                <c:pt idx="238">
                  <c:v>0.18591770448420111</c:v>
                </c:pt>
                <c:pt idx="239">
                  <c:v>0.18664028581598263</c:v>
                </c:pt>
                <c:pt idx="240">
                  <c:v>0.18736308188951864</c:v>
                </c:pt>
                <c:pt idx="241">
                  <c:v>0.18808609005367646</c:v>
                </c:pt>
                <c:pt idx="242">
                  <c:v>0.1888093077007845</c:v>
                </c:pt>
                <c:pt idx="243">
                  <c:v>0.18953273226574535</c:v>
                </c:pt>
                <c:pt idx="244">
                  <c:v>0.19025636122517059</c:v>
                </c:pt>
                <c:pt idx="245">
                  <c:v>0.19098019209653638</c:v>
                </c:pt>
                <c:pt idx="246">
                  <c:v>0.1917042224373596</c:v>
                </c:pt>
                <c:pt idx="247">
                  <c:v>0.19242844984439372</c:v>
                </c:pt>
                <c:pt idx="248">
                  <c:v>0.1931528719528442</c:v>
                </c:pt>
                <c:pt idx="249">
                  <c:v>0.19387748643560254</c:v>
                </c:pt>
                <c:pt idx="250">
                  <c:v>0.19460229100249835</c:v>
                </c:pt>
                <c:pt idx="251">
                  <c:v>0.19532728339956953</c:v>
                </c:pt>
                <c:pt idx="252">
                  <c:v>0.19605246140834948</c:v>
                </c:pt>
                <c:pt idx="253">
                  <c:v>0.19677782284517101</c:v>
                </c:pt>
                <c:pt idx="254">
                  <c:v>0.19750336556048675</c:v>
                </c:pt>
                <c:pt idx="255">
                  <c:v>0.19822908743820536</c:v>
                </c:pt>
                <c:pt idx="256">
                  <c:v>0.19895498639504308</c:v>
                </c:pt>
                <c:pt idx="257">
                  <c:v>0.19968106037989039</c:v>
                </c:pt>
                <c:pt idx="258">
                  <c:v>0.20040730737319334</c:v>
                </c:pt>
                <c:pt idx="259">
                  <c:v>0.20113372538634902</c:v>
                </c:pt>
                <c:pt idx="260">
                  <c:v>0.20186031246111485</c:v>
                </c:pt>
                <c:pt idx="261">
                  <c:v>0.20258706666903134</c:v>
                </c:pt>
                <c:pt idx="262">
                  <c:v>0.20331398611085819</c:v>
                </c:pt>
                <c:pt idx="263">
                  <c:v>0.20404106891602283</c:v>
                </c:pt>
                <c:pt idx="264">
                  <c:v>0.20476831324208156</c:v>
                </c:pt>
                <c:pt idx="265">
                  <c:v>0.20549571727419291</c:v>
                </c:pt>
                <c:pt idx="266">
                  <c:v>0.20622327922460254</c:v>
                </c:pt>
                <c:pt idx="267">
                  <c:v>0.2069509973321399</c:v>
                </c:pt>
                <c:pt idx="268">
                  <c:v>0.20767886986172568</c:v>
                </c:pt>
                <c:pt idx="269">
                  <c:v>0.20840689510389079</c:v>
                </c:pt>
                <c:pt idx="270">
                  <c:v>0.20913507137430531</c:v>
                </c:pt>
                <c:pt idx="271">
                  <c:v>0.2098633970133181</c:v>
                </c:pt>
                <c:pt idx="272">
                  <c:v>0.21059187038550656</c:v>
                </c:pt>
                <c:pt idx="273">
                  <c:v>0.2113204898792361</c:v>
                </c:pt>
                <c:pt idx="274">
                  <c:v>0.21204925390622908</c:v>
                </c:pt>
                <c:pt idx="275">
                  <c:v>0.21277816090114324</c:v>
                </c:pt>
                <c:pt idx="276">
                  <c:v>0.21350720932115935</c:v>
                </c:pt>
                <c:pt idx="277">
                  <c:v>0.21423639764557736</c:v>
                </c:pt>
                <c:pt idx="278">
                  <c:v>0.21496572437542155</c:v>
                </c:pt>
                <c:pt idx="279">
                  <c:v>0.2156951880330539</c:v>
                </c:pt>
                <c:pt idx="280">
                  <c:v>0.21642478716179583</c:v>
                </c:pt>
                <c:pt idx="281">
                  <c:v>0.21715452032555785</c:v>
                </c:pt>
                <c:pt idx="282">
                  <c:v>0.21788438610847705</c:v>
                </c:pt>
                <c:pt idx="283">
                  <c:v>0.21861438311456227</c:v>
                </c:pt>
                <c:pt idx="284">
                  <c:v>0.21934450996734681</c:v>
                </c:pt>
                <c:pt idx="285">
                  <c:v>0.22007476530954803</c:v>
                </c:pt>
                <c:pt idx="286">
                  <c:v>0.22080514780273455</c:v>
                </c:pt>
                <c:pt idx="287">
                  <c:v>0.22153565612699994</c:v>
                </c:pt>
                <c:pt idx="288">
                  <c:v>0.22226628898064338</c:v>
                </c:pt>
                <c:pt idx="289">
                  <c:v>0.22299704507985682</c:v>
                </c:pt>
                <c:pt idx="290">
                  <c:v>0.22372792315841869</c:v>
                </c:pt>
                <c:pt idx="291">
                  <c:v>0.22445892196739367</c:v>
                </c:pt>
                <c:pt idx="292">
                  <c:v>0.22519004027483877</c:v>
                </c:pt>
                <c:pt idx="293">
                  <c:v>0.22592127686551527</c:v>
                </c:pt>
                <c:pt idx="294">
                  <c:v>0.22665263054060672</c:v>
                </c:pt>
                <c:pt idx="295">
                  <c:v>0.22738410011744223</c:v>
                </c:pt>
                <c:pt idx="296">
                  <c:v>0.22811568442922567</c:v>
                </c:pt>
                <c:pt idx="297">
                  <c:v>0.22884738232477028</c:v>
                </c:pt>
                <c:pt idx="298">
                  <c:v>0.22957919266823854</c:v>
                </c:pt>
                <c:pt idx="299">
                  <c:v>0.2303111143388869</c:v>
                </c:pt>
                <c:pt idx="300">
                  <c:v>0.23104314623081632</c:v>
                </c:pt>
                <c:pt idx="301">
                  <c:v>0.23177528725272692</c:v>
                </c:pt>
                <c:pt idx="302">
                  <c:v>0.23250753632767815</c:v>
                </c:pt>
                <c:pt idx="303">
                  <c:v>0.23323989239285314</c:v>
                </c:pt>
                <c:pt idx="304">
                  <c:v>0.23397235439932823</c:v>
                </c:pt>
                <c:pt idx="305">
                  <c:v>0.23470492131184634</c:v>
                </c:pt>
                <c:pt idx="306">
                  <c:v>0.23543759210859538</c:v>
                </c:pt>
                <c:pt idx="307">
                  <c:v>0.2361703657809906</c:v>
                </c:pt>
                <c:pt idx="308">
                  <c:v>0.23690324133346122</c:v>
                </c:pt>
                <c:pt idx="309">
                  <c:v>0.23763621778324123</c:v>
                </c:pt>
                <c:pt idx="310">
                  <c:v>0.23836929416016422</c:v>
                </c:pt>
                <c:pt idx="311">
                  <c:v>0.239102469506462</c:v>
                </c:pt>
                <c:pt idx="312">
                  <c:v>0.23983574287656736</c:v>
                </c:pt>
                <c:pt idx="313">
                  <c:v>0.24056911333692016</c:v>
                </c:pt>
                <c:pt idx="314">
                  <c:v>0.24130257996577759</c:v>
                </c:pt>
                <c:pt idx="315">
                  <c:v>0.2420361418530276</c:v>
                </c:pt>
                <c:pt idx="316">
                  <c:v>0.24276979810000615</c:v>
                </c:pt>
                <c:pt idx="317">
                  <c:v>0.2435035478193176</c:v>
                </c:pt>
                <c:pt idx="318">
                  <c:v>0.24423739013465887</c:v>
                </c:pt>
                <c:pt idx="319">
                  <c:v>0.24497132418064652</c:v>
                </c:pt>
                <c:pt idx="320">
                  <c:v>0.24570534910264716</c:v>
                </c:pt>
                <c:pt idx="321">
                  <c:v>0.24643946405661116</c:v>
                </c:pt>
                <c:pt idx="322">
                  <c:v>0.24717366820890921</c:v>
                </c:pt>
                <c:pt idx="323">
                  <c:v>0.24790796073617211</c:v>
                </c:pt>
                <c:pt idx="324">
                  <c:v>0.24864234082513328</c:v>
                </c:pt>
                <c:pt idx="325">
                  <c:v>0.24937680767247439</c:v>
                </c:pt>
                <c:pt idx="326">
                  <c:v>0.25011136048467369</c:v>
                </c:pt>
                <c:pt idx="327">
                  <c:v>0.25084599847785705</c:v>
                </c:pt>
                <c:pt idx="328">
                  <c:v>0.25158072087765193</c:v>
                </c:pt>
                <c:pt idx="329">
                  <c:v>0.25231552691904374</c:v>
                </c:pt>
                <c:pt idx="330">
                  <c:v>0.25305041584623489</c:v>
                </c:pt>
                <c:pt idx="331">
                  <c:v>0.25378538691250641</c:v>
                </c:pt>
                <c:pt idx="332">
                  <c:v>0.25452043938008223</c:v>
                </c:pt>
                <c:pt idx="333">
                  <c:v>0.25525557251999537</c:v>
                </c:pt>
                <c:pt idx="334">
                  <c:v>0.25599078561195721</c:v>
                </c:pt>
                <c:pt idx="335">
                  <c:v>0.2567260779442283</c:v>
                </c:pt>
                <c:pt idx="336">
                  <c:v>0.25746144881349237</c:v>
                </c:pt>
                <c:pt idx="337">
                  <c:v>0.25819689752473179</c:v>
                </c:pt>
                <c:pt idx="338">
                  <c:v>0.2589324233911055</c:v>
                </c:pt>
                <c:pt idx="339">
                  <c:v>0.25966802573382947</c:v>
                </c:pt>
                <c:pt idx="340">
                  <c:v>0.26040370388205852</c:v>
                </c:pt>
                <c:pt idx="341">
                  <c:v>0.26113945717277054</c:v>
                </c:pt>
                <c:pt idx="342">
                  <c:v>0.26187528495065343</c:v>
                </c:pt>
                <c:pt idx="343">
                  <c:v>0.26261118656799254</c:v>
                </c:pt>
                <c:pt idx="344">
                  <c:v>0.26334716138456132</c:v>
                </c:pt>
                <c:pt idx="345">
                  <c:v>0.26408320876751351</c:v>
                </c:pt>
                <c:pt idx="346">
                  <c:v>0.26481932809127678</c:v>
                </c:pt>
                <c:pt idx="347">
                  <c:v>0.2655555187374487</c:v>
                </c:pt>
                <c:pt idx="348">
                  <c:v>0.26629178009469445</c:v>
                </c:pt>
                <c:pt idx="349">
                  <c:v>0.26702811155864586</c:v>
                </c:pt>
                <c:pt idx="350">
                  <c:v>0.26776451253180245</c:v>
                </c:pt>
                <c:pt idx="351">
                  <c:v>0.26850098242343462</c:v>
                </c:pt>
                <c:pt idx="352">
                  <c:v>0.26923752064948736</c:v>
                </c:pt>
                <c:pt idx="353">
                  <c:v>0.26997412663248682</c:v>
                </c:pt>
                <c:pt idx="354">
                  <c:v>0.27071079980144735</c:v>
                </c:pt>
                <c:pt idx="355">
                  <c:v>0.27144753959178114</c:v>
                </c:pt>
                <c:pt idx="356">
                  <c:v>0.27218434544520848</c:v>
                </c:pt>
                <c:pt idx="357">
                  <c:v>0.27292121680967019</c:v>
                </c:pt>
                <c:pt idx="358">
                  <c:v>0.27365815313924075</c:v>
                </c:pt>
                <c:pt idx="359">
                  <c:v>0.27439515389404417</c:v>
                </c:pt>
                <c:pt idx="360">
                  <c:v>0.27513221854016956</c:v>
                </c:pt>
                <c:pt idx="361">
                  <c:v>0.27586934654958944</c:v>
                </c:pt>
                <c:pt idx="362">
                  <c:v>0.27660653740007896</c:v>
                </c:pt>
                <c:pt idx="363">
                  <c:v>0.27734379057513608</c:v>
                </c:pt>
                <c:pt idx="364">
                  <c:v>0.2780811055639037</c:v>
                </c:pt>
                <c:pt idx="365">
                  <c:v>0.27881848186109265</c:v>
                </c:pt>
                <c:pt idx="366">
                  <c:v>0.27955591896690601</c:v>
                </c:pt>
                <c:pt idx="367">
                  <c:v>0.28029341638696476</c:v>
                </c:pt>
                <c:pt idx="368">
                  <c:v>0.28103097363223445</c:v>
                </c:pt>
                <c:pt idx="369">
                  <c:v>0.28176859021895323</c:v>
                </c:pt>
                <c:pt idx="370">
                  <c:v>0.28250626566856107</c:v>
                </c:pt>
                <c:pt idx="371">
                  <c:v>0.28324399950762996</c:v>
                </c:pt>
                <c:pt idx="372">
                  <c:v>0.2839817912677951</c:v>
                </c:pt>
                <c:pt idx="373">
                  <c:v>0.28471964048568782</c:v>
                </c:pt>
                <c:pt idx="374">
                  <c:v>0.28545754670286883</c:v>
                </c:pt>
                <c:pt idx="375">
                  <c:v>0.28619550946576278</c:v>
                </c:pt>
                <c:pt idx="376">
                  <c:v>0.28693352832559427</c:v>
                </c:pt>
                <c:pt idx="377">
                  <c:v>0.28767160283832416</c:v>
                </c:pt>
                <c:pt idx="378">
                  <c:v>0.28840973256458746</c:v>
                </c:pt>
                <c:pt idx="379">
                  <c:v>0.28914791706963205</c:v>
                </c:pt>
                <c:pt idx="380">
                  <c:v>0.28988615592325789</c:v>
                </c:pt>
                <c:pt idx="381">
                  <c:v>0.29062444869975823</c:v>
                </c:pt>
                <c:pt idx="382">
                  <c:v>0.29136279497786055</c:v>
                </c:pt>
                <c:pt idx="383">
                  <c:v>0.29210119434066922</c:v>
                </c:pt>
                <c:pt idx="384">
                  <c:v>0.29283964637560889</c:v>
                </c:pt>
                <c:pt idx="385">
                  <c:v>0.29357815067436843</c:v>
                </c:pt>
                <c:pt idx="386">
                  <c:v>0.29431670683284605</c:v>
                </c:pt>
                <c:pt idx="387">
                  <c:v>0.29505531445109551</c:v>
                </c:pt>
                <c:pt idx="388">
                  <c:v>0.29579397313327227</c:v>
                </c:pt>
                <c:pt idx="389">
                  <c:v>0.29653268248758152</c:v>
                </c:pt>
                <c:pt idx="390">
                  <c:v>0.29727144212622642</c:v>
                </c:pt>
                <c:pt idx="391">
                  <c:v>0.29801025166535694</c:v>
                </c:pt>
                <c:pt idx="392">
                  <c:v>0.29874911072502019</c:v>
                </c:pt>
                <c:pt idx="393">
                  <c:v>0.29948801892911098</c:v>
                </c:pt>
                <c:pt idx="394">
                  <c:v>0.30022697590532282</c:v>
                </c:pt>
                <c:pt idx="395">
                  <c:v>0.30096598128510083</c:v>
                </c:pt>
                <c:pt idx="396">
                  <c:v>0.30170503470359394</c:v>
                </c:pt>
                <c:pt idx="397">
                  <c:v>0.30244413579960872</c:v>
                </c:pt>
                <c:pt idx="398">
                  <c:v>0.3031832842155639</c:v>
                </c:pt>
                <c:pt idx="399">
                  <c:v>0.30392247959744495</c:v>
                </c:pt>
                <c:pt idx="400">
                  <c:v>0.30466172159475974</c:v>
                </c:pt>
                <c:pt idx="401">
                  <c:v>0.30540100986049523</c:v>
                </c:pt>
                <c:pt idx="402">
                  <c:v>0.3061403440510741</c:v>
                </c:pt>
                <c:pt idx="403">
                  <c:v>0.30687972382631212</c:v>
                </c:pt>
                <c:pt idx="404">
                  <c:v>0.30761914884937708</c:v>
                </c:pt>
                <c:pt idx="405">
                  <c:v>0.30835861878674675</c:v>
                </c:pt>
                <c:pt idx="406">
                  <c:v>0.30909813330816888</c:v>
                </c:pt>
                <c:pt idx="407">
                  <c:v>0.30983769208662121</c:v>
                </c:pt>
                <c:pt idx="408">
                  <c:v>0.31057729479827167</c:v>
                </c:pt>
                <c:pt idx="409">
                  <c:v>0.31131694112244007</c:v>
                </c:pt>
                <c:pt idx="410">
                  <c:v>0.31205663074155954</c:v>
                </c:pt>
                <c:pt idx="411">
                  <c:v>0.31279636334113881</c:v>
                </c:pt>
                <c:pt idx="412">
                  <c:v>0.3135361386097254</c:v>
                </c:pt>
                <c:pt idx="413">
                  <c:v>0.31427595623886861</c:v>
                </c:pt>
                <c:pt idx="414">
                  <c:v>0.31501581592308359</c:v>
                </c:pt>
                <c:pt idx="415">
                  <c:v>0.31575571735981595</c:v>
                </c:pt>
                <c:pt idx="416">
                  <c:v>0.31649566024940645</c:v>
                </c:pt>
                <c:pt idx="417">
                  <c:v>0.31723564429505652</c:v>
                </c:pt>
                <c:pt idx="418">
                  <c:v>0.31797566920279441</c:v>
                </c:pt>
                <c:pt idx="419">
                  <c:v>0.31871573468144132</c:v>
                </c:pt>
                <c:pt idx="420">
                  <c:v>0.31945584044257835</c:v>
                </c:pt>
                <c:pt idx="421">
                  <c:v>0.32019598620051426</c:v>
                </c:pt>
                <c:pt idx="422">
                  <c:v>0.32093617167225269</c:v>
                </c:pt>
                <c:pt idx="423">
                  <c:v>0.32167639657746105</c:v>
                </c:pt>
                <c:pt idx="424">
                  <c:v>0.32241666063843877</c:v>
                </c:pt>
                <c:pt idx="425">
                  <c:v>0.32315696358008666</c:v>
                </c:pt>
                <c:pt idx="426">
                  <c:v>0.32389730512987686</c:v>
                </c:pt>
                <c:pt idx="427">
                  <c:v>0.32463768501782225</c:v>
                </c:pt>
                <c:pt idx="428">
                  <c:v>0.32537810297644731</c:v>
                </c:pt>
                <c:pt idx="429">
                  <c:v>0.32611855874075901</c:v>
                </c:pt>
                <c:pt idx="430">
                  <c:v>0.32685905204821775</c:v>
                </c:pt>
                <c:pt idx="431">
                  <c:v>0.32759958263870936</c:v>
                </c:pt>
                <c:pt idx="432">
                  <c:v>0.32834015025451713</c:v>
                </c:pt>
                <c:pt idx="433">
                  <c:v>0.32908075464029396</c:v>
                </c:pt>
                <c:pt idx="434">
                  <c:v>0.32982139554303547</c:v>
                </c:pt>
                <c:pt idx="435">
                  <c:v>0.33056207271205318</c:v>
                </c:pt>
                <c:pt idx="436">
                  <c:v>0.33130278589894779</c:v>
                </c:pt>
                <c:pt idx="437">
                  <c:v>0.3320435348575837</c:v>
                </c:pt>
                <c:pt idx="438">
                  <c:v>0.3327843193440625</c:v>
                </c:pt>
                <c:pt idx="439">
                  <c:v>0.33352513911669818</c:v>
                </c:pt>
                <c:pt idx="440">
                  <c:v>0.33426599393599205</c:v>
                </c:pt>
                <c:pt idx="441">
                  <c:v>0.33500688356460778</c:v>
                </c:pt>
                <c:pt idx="442">
                  <c:v>0.3357478077673472</c:v>
                </c:pt>
                <c:pt idx="443">
                  <c:v>0.33648876631112634</c:v>
                </c:pt>
                <c:pt idx="444">
                  <c:v>0.33722975896495172</c:v>
                </c:pt>
                <c:pt idx="445">
                  <c:v>0.33797078549989679</c:v>
                </c:pt>
                <c:pt idx="446">
                  <c:v>0.33871184568907914</c:v>
                </c:pt>
                <c:pt idx="447">
                  <c:v>0.33945293930763737</c:v>
                </c:pt>
                <c:pt idx="448">
                  <c:v>0.34019406613270903</c:v>
                </c:pt>
                <c:pt idx="449">
                  <c:v>0.3409352259434083</c:v>
                </c:pt>
                <c:pt idx="450">
                  <c:v>0.34167641852080388</c:v>
                </c:pt>
                <c:pt idx="451">
                  <c:v>0.3424176436478979</c:v>
                </c:pt>
                <c:pt idx="452">
                  <c:v>0.34315890110960423</c:v>
                </c:pt>
                <c:pt idx="453">
                  <c:v>0.34390019069272754</c:v>
                </c:pt>
                <c:pt idx="454">
                  <c:v>0.3446415121859428</c:v>
                </c:pt>
                <c:pt idx="455">
                  <c:v>0.34538286537977453</c:v>
                </c:pt>
                <c:pt idx="456">
                  <c:v>0.34612425006657677</c:v>
                </c:pt>
                <c:pt idx="457">
                  <c:v>0.34686566604051322</c:v>
                </c:pt>
                <c:pt idx="458">
                  <c:v>0.34760711309753717</c:v>
                </c:pt>
                <c:pt idx="459">
                  <c:v>0.34834859103537263</c:v>
                </c:pt>
                <c:pt idx="460">
                  <c:v>0.34909009965349497</c:v>
                </c:pt>
                <c:pt idx="461">
                  <c:v>0.34983163875311168</c:v>
                </c:pt>
                <c:pt idx="462">
                  <c:v>0.35057320813714421</c:v>
                </c:pt>
                <c:pt idx="463">
                  <c:v>0.35131480761020922</c:v>
                </c:pt>
                <c:pt idx="464">
                  <c:v>0.3520564369786004</c:v>
                </c:pt>
                <c:pt idx="465">
                  <c:v>0.35279809605027085</c:v>
                </c:pt>
                <c:pt idx="466">
                  <c:v>0.35353978463481489</c:v>
                </c:pt>
                <c:pt idx="467">
                  <c:v>0.35428150254345064</c:v>
                </c:pt>
                <c:pt idx="468">
                  <c:v>0.35502324958900333</c:v>
                </c:pt>
                <c:pt idx="469">
                  <c:v>0.3557650255858873</c:v>
                </c:pt>
                <c:pt idx="470">
                  <c:v>0.35650683035008984</c:v>
                </c:pt>
                <c:pt idx="471">
                  <c:v>0.35724866369915453</c:v>
                </c:pt>
                <c:pt idx="472">
                  <c:v>0.35799052545216448</c:v>
                </c:pt>
                <c:pt idx="473">
                  <c:v>0.35873241542972623</c:v>
                </c:pt>
                <c:pt idx="474">
                  <c:v>0.35947433345395408</c:v>
                </c:pt>
                <c:pt idx="475">
                  <c:v>0.36021627934845385</c:v>
                </c:pt>
                <c:pt idx="476">
                  <c:v>0.36095825293830747</c:v>
                </c:pt>
                <c:pt idx="477">
                  <c:v>0.36170025405005768</c:v>
                </c:pt>
                <c:pt idx="478">
                  <c:v>0.36244228251169258</c:v>
                </c:pt>
                <c:pt idx="479">
                  <c:v>0.3631843381526309</c:v>
                </c:pt>
                <c:pt idx="480">
                  <c:v>0.36392642080370669</c:v>
                </c:pt>
                <c:pt idx="481">
                  <c:v>0.36466853029715512</c:v>
                </c:pt>
                <c:pt idx="482">
                  <c:v>0.36541066646659798</c:v>
                </c:pt>
                <c:pt idx="483">
                  <c:v>0.36615282914702901</c:v>
                </c:pt>
                <c:pt idx="484">
                  <c:v>0.36689501817480019</c:v>
                </c:pt>
                <c:pt idx="485">
                  <c:v>0.36763723338760756</c:v>
                </c:pt>
                <c:pt idx="486">
                  <c:v>0.36837947462447751</c:v>
                </c:pt>
                <c:pt idx="487">
                  <c:v>0.36912174172575324</c:v>
                </c:pt>
                <c:pt idx="488">
                  <c:v>0.36986403453308125</c:v>
                </c:pt>
                <c:pt idx="489">
                  <c:v>0.37060635288939808</c:v>
                </c:pt>
                <c:pt idx="490">
                  <c:v>0.37134869663891718</c:v>
                </c:pt>
                <c:pt idx="491">
                  <c:v>0.37209106562711608</c:v>
                </c:pt>
                <c:pt idx="492">
                  <c:v>0.37283345970072335</c:v>
                </c:pt>
                <c:pt idx="493">
                  <c:v>0.37357587870770631</c:v>
                </c:pt>
                <c:pt idx="494">
                  <c:v>0.37431832249725827</c:v>
                </c:pt>
                <c:pt idx="495">
                  <c:v>0.37506079091978611</c:v>
                </c:pt>
                <c:pt idx="496">
                  <c:v>0.37580328382689859</c:v>
                </c:pt>
                <c:pt idx="497">
                  <c:v>0.37654580107139374</c:v>
                </c:pt>
                <c:pt idx="498">
                  <c:v>0.37728834250724713</c:v>
                </c:pt>
                <c:pt idx="499">
                  <c:v>0.37803090798960054</c:v>
                </c:pt>
                <c:pt idx="500">
                  <c:v>0.37877349737474963</c:v>
                </c:pt>
                <c:pt idx="501">
                  <c:v>0.37951611052013301</c:v>
                </c:pt>
                <c:pt idx="502">
                  <c:v>0.38025874728432085</c:v>
                </c:pt>
                <c:pt idx="503">
                  <c:v>0.38100140752700329</c:v>
                </c:pt>
                <c:pt idx="504">
                  <c:v>0.38174409110897972</c:v>
                </c:pt>
                <c:pt idx="505">
                  <c:v>0.38248679789214796</c:v>
                </c:pt>
                <c:pt idx="506">
                  <c:v>0.38322952773949298</c:v>
                </c:pt>
                <c:pt idx="507">
                  <c:v>0.3839722805150767</c:v>
                </c:pt>
                <c:pt idx="508">
                  <c:v>0.38471505608402706</c:v>
                </c:pt>
                <c:pt idx="509">
                  <c:v>0.38545785431252783</c:v>
                </c:pt>
                <c:pt idx="510">
                  <c:v>0.38620067506780825</c:v>
                </c:pt>
                <c:pt idx="511">
                  <c:v>0.38694351821813272</c:v>
                </c:pt>
                <c:pt idx="512">
                  <c:v>0.38768638363279084</c:v>
                </c:pt>
                <c:pt idx="513">
                  <c:v>0.38842927118208753</c:v>
                </c:pt>
                <c:pt idx="514">
                  <c:v>0.38917218073733301</c:v>
                </c:pt>
                <c:pt idx="515">
                  <c:v>0.38991511217083313</c:v>
                </c:pt>
                <c:pt idx="516">
                  <c:v>0.39065806535587999</c:v>
                </c:pt>
                <c:pt idx="517">
                  <c:v>0.39140104016674188</c:v>
                </c:pt>
                <c:pt idx="518">
                  <c:v>0.39214403647865476</c:v>
                </c:pt>
                <c:pt idx="519">
                  <c:v>0.392887054167812</c:v>
                </c:pt>
                <c:pt idx="520">
                  <c:v>0.39363009311135588</c:v>
                </c:pt>
                <c:pt idx="521">
                  <c:v>0.39437315318736837</c:v>
                </c:pt>
                <c:pt idx="522">
                  <c:v>0.39511623427486209</c:v>
                </c:pt>
                <c:pt idx="523">
                  <c:v>0.39585933625377134</c:v>
                </c:pt>
                <c:pt idx="524">
                  <c:v>0.39660245900494362</c:v>
                </c:pt>
                <c:pt idx="525">
                  <c:v>0.39734560241013078</c:v>
                </c:pt>
                <c:pt idx="526">
                  <c:v>0.39808876635198037</c:v>
                </c:pt>
                <c:pt idx="527">
                  <c:v>0.39883195071402744</c:v>
                </c:pt>
                <c:pt idx="528">
                  <c:v>0.399575155380686</c:v>
                </c:pt>
                <c:pt idx="529">
                  <c:v>0.40031838023724065</c:v>
                </c:pt>
                <c:pt idx="530">
                  <c:v>0.40106162516983868</c:v>
                </c:pt>
                <c:pt idx="531">
                  <c:v>0.40180489006548159</c:v>
                </c:pt>
                <c:pt idx="532">
                  <c:v>0.4025481748120176</c:v>
                </c:pt>
                <c:pt idx="533">
                  <c:v>0.40329147929813325</c:v>
                </c:pt>
                <c:pt idx="534">
                  <c:v>0.40403480341334574</c:v>
                </c:pt>
                <c:pt idx="535">
                  <c:v>0.40477814704799536</c:v>
                </c:pt>
                <c:pt idx="536">
                  <c:v>0.40552151009323772</c:v>
                </c:pt>
                <c:pt idx="537">
                  <c:v>0.40626489244103597</c:v>
                </c:pt>
                <c:pt idx="538">
                  <c:v>0.40700829398415389</c:v>
                </c:pt>
                <c:pt idx="539">
                  <c:v>0.40775171461614784</c:v>
                </c:pt>
                <c:pt idx="540">
                  <c:v>0.40849515423135974</c:v>
                </c:pt>
                <c:pt idx="541">
                  <c:v>0.40923861272491008</c:v>
                </c:pt>
                <c:pt idx="542">
                  <c:v>0.40998208999269031</c:v>
                </c:pt>
                <c:pt idx="543">
                  <c:v>0.41072558593135605</c:v>
                </c:pt>
                <c:pt idx="544">
                  <c:v>0.41146910043832002</c:v>
                </c:pt>
                <c:pt idx="545">
                  <c:v>0.41221263341174508</c:v>
                </c:pt>
                <c:pt idx="546">
                  <c:v>0.41295618475053752</c:v>
                </c:pt>
                <c:pt idx="547">
                  <c:v>0.4136997543543402</c:v>
                </c:pt>
                <c:pt idx="548">
                  <c:v>0.41444334212352557</c:v>
                </c:pt>
                <c:pt idx="549">
                  <c:v>0.41518694795918981</c:v>
                </c:pt>
                <c:pt idx="550">
                  <c:v>0.41593057176314541</c:v>
                </c:pt>
                <c:pt idx="551">
                  <c:v>0.41667421343791516</c:v>
                </c:pt>
                <c:pt idx="552">
                  <c:v>0.41741787288672577</c:v>
                </c:pt>
                <c:pt idx="553">
                  <c:v>0.41816155001350136</c:v>
                </c:pt>
                <c:pt idx="554">
                  <c:v>0.41890524472285712</c:v>
                </c:pt>
                <c:pt idx="555">
                  <c:v>0.41964895692009346</c:v>
                </c:pt>
                <c:pt idx="556">
                  <c:v>0.4203926865111895</c:v>
                </c:pt>
                <c:pt idx="557">
                  <c:v>0.42113643340279699</c:v>
                </c:pt>
                <c:pt idx="558">
                  <c:v>0.42188019750223488</c:v>
                </c:pt>
                <c:pt idx="559">
                  <c:v>0.42262397871748242</c:v>
                </c:pt>
                <c:pt idx="560">
                  <c:v>0.42336777695717431</c:v>
                </c:pt>
                <c:pt idx="561">
                  <c:v>0.42411159213059407</c:v>
                </c:pt>
                <c:pt idx="562">
                  <c:v>0.42485542414766858</c:v>
                </c:pt>
                <c:pt idx="563">
                  <c:v>0.42559927291896266</c:v>
                </c:pt>
                <c:pt idx="564">
                  <c:v>0.42634313835567289</c:v>
                </c:pt>
                <c:pt idx="565">
                  <c:v>0.42708702036962254</c:v>
                </c:pt>
                <c:pt idx="566">
                  <c:v>0.42783091887325581</c:v>
                </c:pt>
                <c:pt idx="567">
                  <c:v>0.42857483377963229</c:v>
                </c:pt>
                <c:pt idx="568">
                  <c:v>0.42931876500242172</c:v>
                </c:pt>
                <c:pt idx="569">
                  <c:v>0.43006271245589872</c:v>
                </c:pt>
                <c:pt idx="570">
                  <c:v>0.43080667605493728</c:v>
                </c:pt>
                <c:pt idx="571">
                  <c:v>0.43155065571500562</c:v>
                </c:pt>
                <c:pt idx="572">
                  <c:v>0.43229465135216122</c:v>
                </c:pt>
                <c:pt idx="573">
                  <c:v>0.43303866288304516</c:v>
                </c:pt>
                <c:pt idx="574">
                  <c:v>0.43378269022487775</c:v>
                </c:pt>
                <c:pt idx="575">
                  <c:v>0.43452673329545299</c:v>
                </c:pt>
                <c:pt idx="576">
                  <c:v>0.43527079201313373</c:v>
                </c:pt>
                <c:pt idx="577">
                  <c:v>0.43601486629684699</c:v>
                </c:pt>
                <c:pt idx="578">
                  <c:v>0.43675895606607879</c:v>
                </c:pt>
                <c:pt idx="579">
                  <c:v>0.43750306124086935</c:v>
                </c:pt>
                <c:pt idx="580">
                  <c:v>0.43824718174180877</c:v>
                </c:pt>
                <c:pt idx="581">
                  <c:v>0.43899131749003173</c:v>
                </c:pt>
                <c:pt idx="582">
                  <c:v>0.439735468407213</c:v>
                </c:pt>
                <c:pt idx="583">
                  <c:v>0.44047963441556326</c:v>
                </c:pt>
                <c:pt idx="584">
                  <c:v>0.44122381543782385</c:v>
                </c:pt>
                <c:pt idx="585">
                  <c:v>0.44196801139726261</c:v>
                </c:pt>
                <c:pt idx="586">
                  <c:v>0.44271222221766965</c:v>
                </c:pt>
                <c:pt idx="587">
                  <c:v>0.44345644782335225</c:v>
                </c:pt>
                <c:pt idx="588">
                  <c:v>0.44420068813913122</c:v>
                </c:pt>
                <c:pt idx="589">
                  <c:v>0.44494494309033589</c:v>
                </c:pt>
                <c:pt idx="590">
                  <c:v>0.4456892126028002</c:v>
                </c:pt>
                <c:pt idx="591">
                  <c:v>0.44643349660285858</c:v>
                </c:pt>
                <c:pt idx="592">
                  <c:v>0.44717779501734128</c:v>
                </c:pt>
                <c:pt idx="593">
                  <c:v>0.4479221077735705</c:v>
                </c:pt>
                <c:pt idx="594">
                  <c:v>0.44866643479935631</c:v>
                </c:pt>
                <c:pt idx="595">
                  <c:v>0.44941077602299234</c:v>
                </c:pt>
                <c:pt idx="596">
                  <c:v>0.45015513137325192</c:v>
                </c:pt>
                <c:pt idx="597">
                  <c:v>0.45089950077938407</c:v>
                </c:pt>
                <c:pt idx="598">
                  <c:v>0.45164388417110934</c:v>
                </c:pt>
                <c:pt idx="599">
                  <c:v>0.45238828147861615</c:v>
                </c:pt>
                <c:pt idx="600">
                  <c:v>0.45313269263255684</c:v>
                </c:pt>
                <c:pt idx="601">
                  <c:v>0.45387711756404353</c:v>
                </c:pt>
                <c:pt idx="602">
                  <c:v>0.45462155620464484</c:v>
                </c:pt>
                <c:pt idx="603">
                  <c:v>0.45536600848638159</c:v>
                </c:pt>
                <c:pt idx="604">
                  <c:v>0.45611047434172342</c:v>
                </c:pt>
                <c:pt idx="605">
                  <c:v>0.45685495370358503</c:v>
                </c:pt>
                <c:pt idx="606">
                  <c:v>0.45759944650532236</c:v>
                </c:pt>
                <c:pt idx="607">
                  <c:v>0.45834395268072908</c:v>
                </c:pt>
                <c:pt idx="608">
                  <c:v>0.45908847216403315</c:v>
                </c:pt>
                <c:pt idx="609">
                  <c:v>0.45983300488989298</c:v>
                </c:pt>
                <c:pt idx="610">
                  <c:v>0.46057755079339396</c:v>
                </c:pt>
                <c:pt idx="611">
                  <c:v>0.4613221098100454</c:v>
                </c:pt>
                <c:pt idx="612">
                  <c:v>0.46206668187577637</c:v>
                </c:pt>
                <c:pt idx="613">
                  <c:v>0.46281126692693281</c:v>
                </c:pt>
                <c:pt idx="614">
                  <c:v>0.46355586490027417</c:v>
                </c:pt>
                <c:pt idx="615">
                  <c:v>0.46430047573296956</c:v>
                </c:pt>
                <c:pt idx="616">
                  <c:v>0.46504509936259508</c:v>
                </c:pt>
                <c:pt idx="617">
                  <c:v>0.46578973572712995</c:v>
                </c:pt>
                <c:pt idx="618">
                  <c:v>0.46653438476495368</c:v>
                </c:pt>
                <c:pt idx="619">
                  <c:v>0.46727904641484264</c:v>
                </c:pt>
                <c:pt idx="620">
                  <c:v>0.46802372061596703</c:v>
                </c:pt>
                <c:pt idx="621">
                  <c:v>0.46876840730788732</c:v>
                </c:pt>
                <c:pt idx="622">
                  <c:v>0.46951310643055177</c:v>
                </c:pt>
                <c:pt idx="623">
                  <c:v>0.47025781792429278</c:v>
                </c:pt>
                <c:pt idx="624">
                  <c:v>0.47100254172982398</c:v>
                </c:pt>
                <c:pt idx="625">
                  <c:v>0.47174727778823733</c:v>
                </c:pt>
                <c:pt idx="626">
                  <c:v>0.47249202604099999</c:v>
                </c:pt>
                <c:pt idx="627">
                  <c:v>0.47323678642995115</c:v>
                </c:pt>
                <c:pt idx="628">
                  <c:v>0.47398155889729965</c:v>
                </c:pt>
                <c:pt idx="629">
                  <c:v>0.47472634338562031</c:v>
                </c:pt>
                <c:pt idx="630">
                  <c:v>0.47547113983785166</c:v>
                </c:pt>
                <c:pt idx="631">
                  <c:v>0.47621594819729268</c:v>
                </c:pt>
                <c:pt idx="632">
                  <c:v>0.47696076840759999</c:v>
                </c:pt>
                <c:pt idx="633">
                  <c:v>0.47770560041278537</c:v>
                </c:pt>
                <c:pt idx="634">
                  <c:v>0.47845044415721255</c:v>
                </c:pt>
                <c:pt idx="635">
                  <c:v>0.47919529958559465</c:v>
                </c:pt>
                <c:pt idx="636">
                  <c:v>0.47994016664299155</c:v>
                </c:pt>
                <c:pt idx="637">
                  <c:v>0.48068504527480688</c:v>
                </c:pt>
                <c:pt idx="638">
                  <c:v>0.48142993542678547</c:v>
                </c:pt>
                <c:pt idx="639">
                  <c:v>0.48217483704501096</c:v>
                </c:pt>
                <c:pt idx="640">
                  <c:v>0.48291975007590265</c:v>
                </c:pt>
                <c:pt idx="641">
                  <c:v>0.48366467446621325</c:v>
                </c:pt>
                <c:pt idx="642">
                  <c:v>0.48440961016302625</c:v>
                </c:pt>
                <c:pt idx="643">
                  <c:v>0.48515455711375327</c:v>
                </c:pt>
                <c:pt idx="644">
                  <c:v>0.48589951526613157</c:v>
                </c:pt>
                <c:pt idx="645">
                  <c:v>0.48664448456822146</c:v>
                </c:pt>
                <c:pt idx="646">
                  <c:v>0.48738946496840385</c:v>
                </c:pt>
                <c:pt idx="647">
                  <c:v>0.488134456415378</c:v>
                </c:pt>
                <c:pt idx="648">
                  <c:v>0.48887945885815864</c:v>
                </c:pt>
                <c:pt idx="649">
                  <c:v>0.48962447224607381</c:v>
                </c:pt>
                <c:pt idx="650">
                  <c:v>0.49036949652876249</c:v>
                </c:pt>
                <c:pt idx="651">
                  <c:v>0.49111453165617219</c:v>
                </c:pt>
                <c:pt idx="652">
                  <c:v>0.49185957757855636</c:v>
                </c:pt>
                <c:pt idx="653">
                  <c:v>0.49260463424647249</c:v>
                </c:pt>
                <c:pt idx="654">
                  <c:v>0.49334970161077935</c:v>
                </c:pt>
                <c:pt idx="655">
                  <c:v>0.49409477962263493</c:v>
                </c:pt>
                <c:pt idx="656">
                  <c:v>0.4948398682334943</c:v>
                </c:pt>
                <c:pt idx="657">
                  <c:v>0.49558496739510699</c:v>
                </c:pt>
                <c:pt idx="658">
                  <c:v>0.49633007705951504</c:v>
                </c:pt>
                <c:pt idx="659">
                  <c:v>0.49707519717905074</c:v>
                </c:pt>
                <c:pt idx="660">
                  <c:v>0.49782032770633422</c:v>
                </c:pt>
                <c:pt idx="661">
                  <c:v>0.49856546859427175</c:v>
                </c:pt>
                <c:pt idx="662">
                  <c:v>0.49931061979605312</c:v>
                </c:pt>
                <c:pt idx="663">
                  <c:v>0.5000557812651496</c:v>
                </c:pt>
                <c:pt idx="664">
                  <c:v>0.50080095295531224</c:v>
                </c:pt>
                <c:pt idx="665">
                  <c:v>0.50154613482056898</c:v>
                </c:pt>
                <c:pt idx="666">
                  <c:v>0.50229132681522348</c:v>
                </c:pt>
                <c:pt idx="667">
                  <c:v>0.5030365288938522</c:v>
                </c:pt>
                <c:pt idx="668">
                  <c:v>0.50378174101130324</c:v>
                </c:pt>
                <c:pt idx="669">
                  <c:v>0.50452696312269363</c:v>
                </c:pt>
                <c:pt idx="670">
                  <c:v>0.50527219518340749</c:v>
                </c:pt>
                <c:pt idx="671">
                  <c:v>0.5060174371490942</c:v>
                </c:pt>
                <c:pt idx="672">
                  <c:v>0.50676268897566634</c:v>
                </c:pt>
                <c:pt idx="673">
                  <c:v>0.50750795061929777</c:v>
                </c:pt>
                <c:pt idx="674">
                  <c:v>0.50825322203642165</c:v>
                </c:pt>
                <c:pt idx="675">
                  <c:v>0.50899850318372863</c:v>
                </c:pt>
                <c:pt idx="676">
                  <c:v>0.50974379401816472</c:v>
                </c:pt>
                <c:pt idx="677">
                  <c:v>0.51048909449692959</c:v>
                </c:pt>
                <c:pt idx="678">
                  <c:v>0.51123440457747482</c:v>
                </c:pt>
                <c:pt idx="679">
                  <c:v>0.51197972421750193</c:v>
                </c:pt>
                <c:pt idx="680">
                  <c:v>0.5127250533749601</c:v>
                </c:pt>
                <c:pt idx="681">
                  <c:v>0.51347039200804534</c:v>
                </c:pt>
                <c:pt idx="682">
                  <c:v>0.51421574007519799</c:v>
                </c:pt>
                <c:pt idx="683">
                  <c:v>0.51496109753510055</c:v>
                </c:pt>
                <c:pt idx="684">
                  <c:v>0.51570646434667722</c:v>
                </c:pt>
                <c:pt idx="685">
                  <c:v>0.51645184046909098</c:v>
                </c:pt>
                <c:pt idx="686">
                  <c:v>0.51719722586174199</c:v>
                </c:pt>
                <c:pt idx="687">
                  <c:v>0.51794262048426654</c:v>
                </c:pt>
                <c:pt idx="688">
                  <c:v>0.51868802429653482</c:v>
                </c:pt>
                <c:pt idx="689">
                  <c:v>0.5194334372586491</c:v>
                </c:pt>
                <c:pt idx="690">
                  <c:v>0.52017885933094254</c:v>
                </c:pt>
                <c:pt idx="691">
                  <c:v>0.52092429047397704</c:v>
                </c:pt>
                <c:pt idx="692">
                  <c:v>0.52166973064854194</c:v>
                </c:pt>
                <c:pt idx="693">
                  <c:v>0.52241517981565211</c:v>
                </c:pt>
                <c:pt idx="694">
                  <c:v>0.52316063793654688</c:v>
                </c:pt>
                <c:pt idx="695">
                  <c:v>0.52390610497268741</c:v>
                </c:pt>
                <c:pt idx="696">
                  <c:v>0.52465158088575614</c:v>
                </c:pt>
                <c:pt idx="697">
                  <c:v>0.52539706563765476</c:v>
                </c:pt>
                <c:pt idx="698">
                  <c:v>0.52614255919050235</c:v>
                </c:pt>
                <c:pt idx="699">
                  <c:v>0.52688806150663448</c:v>
                </c:pt>
                <c:pt idx="700">
                  <c:v>0.52763357254860133</c:v>
                </c:pt>
                <c:pt idx="701">
                  <c:v>0.52837909227916591</c:v>
                </c:pt>
                <c:pt idx="702">
                  <c:v>0.52912462066130295</c:v>
                </c:pt>
                <c:pt idx="703">
                  <c:v>0.52987015765819734</c:v>
                </c:pt>
                <c:pt idx="704">
                  <c:v>0.53061570323324236</c:v>
                </c:pt>
                <c:pt idx="705">
                  <c:v>0.53136125735003847</c:v>
                </c:pt>
                <c:pt idx="706">
                  <c:v>0.53210681997239195</c:v>
                </c:pt>
                <c:pt idx="707">
                  <c:v>0.53285239106431315</c:v>
                </c:pt>
                <c:pt idx="708">
                  <c:v>0.53359797059001501</c:v>
                </c:pt>
                <c:pt idx="709">
                  <c:v>0.53434355851391202</c:v>
                </c:pt>
                <c:pt idx="710">
                  <c:v>0.53508915480061858</c:v>
                </c:pt>
                <c:pt idx="711">
                  <c:v>0.53583475941494751</c:v>
                </c:pt>
                <c:pt idx="712">
                  <c:v>0.53658037232190869</c:v>
                </c:pt>
                <c:pt idx="713">
                  <c:v>0.53732599348670818</c:v>
                </c:pt>
                <c:pt idx="714">
                  <c:v>0.53807162287474575</c:v>
                </c:pt>
                <c:pt idx="715">
                  <c:v>0.53881726045161471</c:v>
                </c:pt>
                <c:pt idx="716">
                  <c:v>0.53956290618309988</c:v>
                </c:pt>
                <c:pt idx="717">
                  <c:v>0.54030856003517636</c:v>
                </c:pt>
                <c:pt idx="718">
                  <c:v>0.54105422197400843</c:v>
                </c:pt>
                <c:pt idx="719">
                  <c:v>0.54179989196594813</c:v>
                </c:pt>
                <c:pt idx="720">
                  <c:v>0.54254556997753345</c:v>
                </c:pt>
                <c:pt idx="721">
                  <c:v>0.54329125597548811</c:v>
                </c:pt>
                <c:pt idx="722">
                  <c:v>0.54403694992671947</c:v>
                </c:pt>
                <c:pt idx="723">
                  <c:v>0.5447826517983172</c:v>
                </c:pt>
                <c:pt idx="724">
                  <c:v>0.54552836155755269</c:v>
                </c:pt>
                <c:pt idx="725">
                  <c:v>0.5462740791718772</c:v>
                </c:pt>
                <c:pt idx="726">
                  <c:v>0.54701980460892075</c:v>
                </c:pt>
                <c:pt idx="727">
                  <c:v>0.54776553783649118</c:v>
                </c:pt>
                <c:pt idx="728">
                  <c:v>0.54851127882257267</c:v>
                </c:pt>
                <c:pt idx="729">
                  <c:v>0.54925702753532435</c:v>
                </c:pt>
                <c:pt idx="730">
                  <c:v>0.55000278394307967</c:v>
                </c:pt>
                <c:pt idx="731">
                  <c:v>0.55074854801434492</c:v>
                </c:pt>
                <c:pt idx="732">
                  <c:v>0.5514943197177975</c:v>
                </c:pt>
                <c:pt idx="733">
                  <c:v>0.55224009902228588</c:v>
                </c:pt>
                <c:pt idx="734">
                  <c:v>0.5529858858968274</c:v>
                </c:pt>
                <c:pt idx="735">
                  <c:v>0.55373168031060804</c:v>
                </c:pt>
                <c:pt idx="736">
                  <c:v>0.55447748223298021</c:v>
                </c:pt>
                <c:pt idx="737">
                  <c:v>0.5552232916334624</c:v>
                </c:pt>
                <c:pt idx="738">
                  <c:v>0.55596910848173831</c:v>
                </c:pt>
                <c:pt idx="739">
                  <c:v>0.5567149327476546</c:v>
                </c:pt>
                <c:pt idx="740">
                  <c:v>0.55746076440122094</c:v>
                </c:pt>
                <c:pt idx="741">
                  <c:v>0.55820660341260842</c:v>
                </c:pt>
                <c:pt idx="742">
                  <c:v>0.55895244975214819</c:v>
                </c:pt>
                <c:pt idx="743">
                  <c:v>0.55969830339033111</c:v>
                </c:pt>
                <c:pt idx="744">
                  <c:v>0.56044416429780597</c:v>
                </c:pt>
                <c:pt idx="745">
                  <c:v>0.56119003244537879</c:v>
                </c:pt>
                <c:pt idx="746">
                  <c:v>0.56193590780401181</c:v>
                </c:pt>
                <c:pt idx="747">
                  <c:v>0.56268179034482235</c:v>
                </c:pt>
                <c:pt idx="748">
                  <c:v>0.5634276800390815</c:v>
                </c:pt>
                <c:pt idx="749">
                  <c:v>0.56417357685821368</c:v>
                </c:pt>
                <c:pt idx="750">
                  <c:v>0.56491948077379539</c:v>
                </c:pt>
                <c:pt idx="751">
                  <c:v>0.56566539175755348</c:v>
                </c:pt>
                <c:pt idx="752">
                  <c:v>0.56641130978136556</c:v>
                </c:pt>
                <c:pt idx="753">
                  <c:v>0.56715723481725788</c:v>
                </c:pt>
                <c:pt idx="754">
                  <c:v>0.5679031668374046</c:v>
                </c:pt>
                <c:pt idx="755">
                  <c:v>0.56864910581412709</c:v>
                </c:pt>
                <c:pt idx="756">
                  <c:v>0.56939505171989291</c:v>
                </c:pt>
                <c:pt idx="757">
                  <c:v>0.5701410045273142</c:v>
                </c:pt>
                <c:pt idx="758">
                  <c:v>0.57088696420914786</c:v>
                </c:pt>
                <c:pt idx="759">
                  <c:v>0.57163293073829358</c:v>
                </c:pt>
                <c:pt idx="760">
                  <c:v>0.57237890408779346</c:v>
                </c:pt>
                <c:pt idx="761">
                  <c:v>0.57312488423083086</c:v>
                </c:pt>
                <c:pt idx="762">
                  <c:v>0.57387087114072954</c:v>
                </c:pt>
                <c:pt idx="763">
                  <c:v>0.57461686479095309</c:v>
                </c:pt>
                <c:pt idx="764">
                  <c:v>0.57536286515510304</c:v>
                </c:pt>
                <c:pt idx="765">
                  <c:v>0.57610887220691909</c:v>
                </c:pt>
                <c:pt idx="766">
                  <c:v>0.57685488592027756</c:v>
                </c:pt>
                <c:pt idx="767">
                  <c:v>0.57760090626919047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E8-42AE-BB9E-68E22299EA82}"/>
            </c:ext>
          </c:extLst>
        </c:ser>
        <c:ser>
          <c:idx val="2"/>
          <c:order val="2"/>
          <c:tx>
            <c:strRef>
              <c:f>Constraints!$D$20</c:f>
              <c:strCache>
                <c:ptCount val="1"/>
                <c:pt idx="0">
                  <c:v>T/WTO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Constraints!$D$22:$D$789</c:f>
              <c:numCache>
                <c:formatCode>0.0000</c:formatCode>
                <c:ptCount val="768"/>
                <c:pt idx="0">
                  <c:v>0.2491195714245712</c:v>
                </c:pt>
                <c:pt idx="1">
                  <c:v>0.2493918571368568</c:v>
                </c:pt>
                <c:pt idx="2">
                  <c:v>0.2496641428491424</c:v>
                </c:pt>
                <c:pt idx="3">
                  <c:v>0.24993642856142798</c:v>
                </c:pt>
                <c:pt idx="4">
                  <c:v>0.25020871427371361</c:v>
                </c:pt>
                <c:pt idx="5">
                  <c:v>0.25048099998599915</c:v>
                </c:pt>
                <c:pt idx="6">
                  <c:v>0.25075328569828476</c:v>
                </c:pt>
                <c:pt idx="7">
                  <c:v>0.25102557141057036</c:v>
                </c:pt>
                <c:pt idx="8">
                  <c:v>0.25129785712285596</c:v>
                </c:pt>
                <c:pt idx="9">
                  <c:v>0.25157014283514156</c:v>
                </c:pt>
                <c:pt idx="10">
                  <c:v>0.25184242854742717</c:v>
                </c:pt>
                <c:pt idx="11">
                  <c:v>0.25211471425971277</c:v>
                </c:pt>
                <c:pt idx="12">
                  <c:v>0.25238699997199837</c:v>
                </c:pt>
                <c:pt idx="13">
                  <c:v>0.25265928568428397</c:v>
                </c:pt>
                <c:pt idx="14">
                  <c:v>0.25293157139656952</c:v>
                </c:pt>
                <c:pt idx="15">
                  <c:v>0.25320385710885512</c:v>
                </c:pt>
                <c:pt idx="16">
                  <c:v>0.25347614282114073</c:v>
                </c:pt>
                <c:pt idx="17">
                  <c:v>0.25374842853342633</c:v>
                </c:pt>
                <c:pt idx="18">
                  <c:v>0.25402071424571193</c:v>
                </c:pt>
                <c:pt idx="19">
                  <c:v>0.25429299995799753</c:v>
                </c:pt>
                <c:pt idx="20">
                  <c:v>0.25456528567028314</c:v>
                </c:pt>
                <c:pt idx="21">
                  <c:v>0.25483757138256874</c:v>
                </c:pt>
                <c:pt idx="22">
                  <c:v>0.25510985709485434</c:v>
                </c:pt>
                <c:pt idx="23">
                  <c:v>0.25538214280713989</c:v>
                </c:pt>
                <c:pt idx="24">
                  <c:v>0.25565442851942555</c:v>
                </c:pt>
                <c:pt idx="25">
                  <c:v>0.25592671423171109</c:v>
                </c:pt>
                <c:pt idx="26">
                  <c:v>0.2561989999439967</c:v>
                </c:pt>
                <c:pt idx="27">
                  <c:v>0.2564712856562823</c:v>
                </c:pt>
                <c:pt idx="28">
                  <c:v>0.2567435713685679</c:v>
                </c:pt>
                <c:pt idx="29">
                  <c:v>0.2570158570808535</c:v>
                </c:pt>
                <c:pt idx="30">
                  <c:v>0.25728814279313911</c:v>
                </c:pt>
                <c:pt idx="31">
                  <c:v>0.25756042850542471</c:v>
                </c:pt>
                <c:pt idx="32">
                  <c:v>0.25783271421771031</c:v>
                </c:pt>
                <c:pt idx="33">
                  <c:v>0.25810499992999592</c:v>
                </c:pt>
                <c:pt idx="34">
                  <c:v>0.25837728564228146</c:v>
                </c:pt>
                <c:pt idx="35">
                  <c:v>0.25864957135456706</c:v>
                </c:pt>
                <c:pt idx="36">
                  <c:v>0.25892185706685267</c:v>
                </c:pt>
                <c:pt idx="37">
                  <c:v>0.25919414277913827</c:v>
                </c:pt>
                <c:pt idx="38">
                  <c:v>0.25946642849142387</c:v>
                </c:pt>
                <c:pt idx="39">
                  <c:v>0.25973871420370948</c:v>
                </c:pt>
                <c:pt idx="40">
                  <c:v>0.26001099991599508</c:v>
                </c:pt>
                <c:pt idx="41">
                  <c:v>0.26028328562828068</c:v>
                </c:pt>
                <c:pt idx="42">
                  <c:v>0.26055557134056628</c:v>
                </c:pt>
                <c:pt idx="43">
                  <c:v>0.26082785705285183</c:v>
                </c:pt>
                <c:pt idx="44">
                  <c:v>0.26110014276513743</c:v>
                </c:pt>
                <c:pt idx="45">
                  <c:v>0.26137242847742304</c:v>
                </c:pt>
                <c:pt idx="46">
                  <c:v>0.26164471418970864</c:v>
                </c:pt>
                <c:pt idx="47">
                  <c:v>0.26191699990199424</c:v>
                </c:pt>
                <c:pt idx="48">
                  <c:v>0.26218928561427984</c:v>
                </c:pt>
                <c:pt idx="49">
                  <c:v>0.26246157132656545</c:v>
                </c:pt>
                <c:pt idx="50">
                  <c:v>0.26273385703885105</c:v>
                </c:pt>
                <c:pt idx="51">
                  <c:v>0.26300614275113665</c:v>
                </c:pt>
                <c:pt idx="52">
                  <c:v>0.2632784284634222</c:v>
                </c:pt>
                <c:pt idx="53">
                  <c:v>0.26355071417570786</c:v>
                </c:pt>
                <c:pt idx="54">
                  <c:v>0.2638229998879934</c:v>
                </c:pt>
                <c:pt idx="55">
                  <c:v>0.26409528560027901</c:v>
                </c:pt>
                <c:pt idx="56">
                  <c:v>0.26436757131256461</c:v>
                </c:pt>
                <c:pt idx="57">
                  <c:v>0.26463985702485021</c:v>
                </c:pt>
                <c:pt idx="58">
                  <c:v>0.26491214273713581</c:v>
                </c:pt>
                <c:pt idx="59">
                  <c:v>0.26518442844942142</c:v>
                </c:pt>
                <c:pt idx="60">
                  <c:v>0.26545671416170702</c:v>
                </c:pt>
                <c:pt idx="61">
                  <c:v>0.26572899987399262</c:v>
                </c:pt>
                <c:pt idx="62">
                  <c:v>0.26600128558627822</c:v>
                </c:pt>
                <c:pt idx="63">
                  <c:v>0.26627357129856377</c:v>
                </c:pt>
                <c:pt idx="64">
                  <c:v>0.26654585701084937</c:v>
                </c:pt>
                <c:pt idx="65">
                  <c:v>0.26681814272313498</c:v>
                </c:pt>
                <c:pt idx="66">
                  <c:v>0.26709042843542058</c:v>
                </c:pt>
                <c:pt idx="67">
                  <c:v>0.26736271414770618</c:v>
                </c:pt>
                <c:pt idx="68">
                  <c:v>0.26763499985999178</c:v>
                </c:pt>
                <c:pt idx="69">
                  <c:v>0.26790728557227739</c:v>
                </c:pt>
                <c:pt idx="70">
                  <c:v>0.26817957128456299</c:v>
                </c:pt>
                <c:pt idx="71">
                  <c:v>0.26845185699684859</c:v>
                </c:pt>
                <c:pt idx="72">
                  <c:v>0.26872414270913414</c:v>
                </c:pt>
                <c:pt idx="73">
                  <c:v>0.26899642842141974</c:v>
                </c:pt>
                <c:pt idx="74">
                  <c:v>0.26926871413370534</c:v>
                </c:pt>
                <c:pt idx="75">
                  <c:v>0.26954099984599095</c:v>
                </c:pt>
                <c:pt idx="76">
                  <c:v>0.26981328555827655</c:v>
                </c:pt>
                <c:pt idx="77">
                  <c:v>0.27008557127056215</c:v>
                </c:pt>
                <c:pt idx="78">
                  <c:v>0.27035785698284776</c:v>
                </c:pt>
                <c:pt idx="79">
                  <c:v>0.27063014269513336</c:v>
                </c:pt>
                <c:pt idx="80">
                  <c:v>0.27090242840741896</c:v>
                </c:pt>
                <c:pt idx="81">
                  <c:v>0.27117471411970456</c:v>
                </c:pt>
                <c:pt idx="82">
                  <c:v>0.27144699983199011</c:v>
                </c:pt>
                <c:pt idx="83">
                  <c:v>0.27171928554427571</c:v>
                </c:pt>
                <c:pt idx="84">
                  <c:v>0.27199157125656132</c:v>
                </c:pt>
                <c:pt idx="85">
                  <c:v>0.27226385696884692</c:v>
                </c:pt>
                <c:pt idx="86">
                  <c:v>0.27253614268113252</c:v>
                </c:pt>
                <c:pt idx="87">
                  <c:v>0.27280842839341812</c:v>
                </c:pt>
                <c:pt idx="88">
                  <c:v>0.27308071410570373</c:v>
                </c:pt>
                <c:pt idx="89">
                  <c:v>0.27335299981798933</c:v>
                </c:pt>
                <c:pt idx="90">
                  <c:v>0.27362528553027493</c:v>
                </c:pt>
                <c:pt idx="91">
                  <c:v>0.27389757124256053</c:v>
                </c:pt>
                <c:pt idx="92">
                  <c:v>0.27416985695484608</c:v>
                </c:pt>
                <c:pt idx="93">
                  <c:v>0.27444214266713168</c:v>
                </c:pt>
                <c:pt idx="94">
                  <c:v>0.27471442837941729</c:v>
                </c:pt>
                <c:pt idx="95">
                  <c:v>0.27498671409170289</c:v>
                </c:pt>
                <c:pt idx="96">
                  <c:v>0.27525899980398849</c:v>
                </c:pt>
                <c:pt idx="97">
                  <c:v>0.27553128551627409</c:v>
                </c:pt>
                <c:pt idx="98">
                  <c:v>0.2758035712285597</c:v>
                </c:pt>
                <c:pt idx="99">
                  <c:v>0.2760758569408453</c:v>
                </c:pt>
                <c:pt idx="100">
                  <c:v>0.2763481426531309</c:v>
                </c:pt>
                <c:pt idx="101">
                  <c:v>0.27662042836541645</c:v>
                </c:pt>
                <c:pt idx="102">
                  <c:v>0.27689271407770205</c:v>
                </c:pt>
                <c:pt idx="103">
                  <c:v>0.27716499978998765</c:v>
                </c:pt>
                <c:pt idx="104">
                  <c:v>0.27743728550227326</c:v>
                </c:pt>
                <c:pt idx="105">
                  <c:v>0.27770957121455886</c:v>
                </c:pt>
                <c:pt idx="106">
                  <c:v>0.27798185692684446</c:v>
                </c:pt>
                <c:pt idx="107">
                  <c:v>0.27825414263913006</c:v>
                </c:pt>
                <c:pt idx="108">
                  <c:v>0.27852642835141567</c:v>
                </c:pt>
                <c:pt idx="109">
                  <c:v>0.27879871406370127</c:v>
                </c:pt>
                <c:pt idx="110">
                  <c:v>0.27907099977598682</c:v>
                </c:pt>
                <c:pt idx="111">
                  <c:v>0.27934328548827242</c:v>
                </c:pt>
                <c:pt idx="112">
                  <c:v>0.27961557120055802</c:v>
                </c:pt>
                <c:pt idx="113">
                  <c:v>0.27988785691284362</c:v>
                </c:pt>
                <c:pt idx="114">
                  <c:v>0.28016014262512923</c:v>
                </c:pt>
                <c:pt idx="115">
                  <c:v>0.28043242833741483</c:v>
                </c:pt>
                <c:pt idx="116">
                  <c:v>0.28070471404970043</c:v>
                </c:pt>
                <c:pt idx="117">
                  <c:v>0.28097699976198603</c:v>
                </c:pt>
                <c:pt idx="118">
                  <c:v>0.28124928547427164</c:v>
                </c:pt>
                <c:pt idx="119">
                  <c:v>0.28152157118655724</c:v>
                </c:pt>
                <c:pt idx="120">
                  <c:v>0.28179385689884284</c:v>
                </c:pt>
                <c:pt idx="121">
                  <c:v>0.28206614261112839</c:v>
                </c:pt>
                <c:pt idx="122">
                  <c:v>0.28233842832341399</c:v>
                </c:pt>
                <c:pt idx="123">
                  <c:v>0.2826107140356996</c:v>
                </c:pt>
                <c:pt idx="124">
                  <c:v>0.2828829997479852</c:v>
                </c:pt>
                <c:pt idx="125">
                  <c:v>0.2831552854602708</c:v>
                </c:pt>
                <c:pt idx="126">
                  <c:v>0.2834275711725564</c:v>
                </c:pt>
                <c:pt idx="127">
                  <c:v>0.28369985688484201</c:v>
                </c:pt>
                <c:pt idx="128">
                  <c:v>0.28397214259712761</c:v>
                </c:pt>
                <c:pt idx="129">
                  <c:v>0.28424442830941321</c:v>
                </c:pt>
                <c:pt idx="130">
                  <c:v>0.28451671402169876</c:v>
                </c:pt>
                <c:pt idx="131">
                  <c:v>0.28478899973398436</c:v>
                </c:pt>
                <c:pt idx="132">
                  <c:v>0.28506128544626996</c:v>
                </c:pt>
                <c:pt idx="133">
                  <c:v>0.28533357115855557</c:v>
                </c:pt>
                <c:pt idx="134">
                  <c:v>0.28560585687084117</c:v>
                </c:pt>
                <c:pt idx="135">
                  <c:v>0.28587814258312677</c:v>
                </c:pt>
                <c:pt idx="136">
                  <c:v>0.28615042829541237</c:v>
                </c:pt>
                <c:pt idx="137">
                  <c:v>0.28642271400769798</c:v>
                </c:pt>
                <c:pt idx="138">
                  <c:v>0.28669499971998358</c:v>
                </c:pt>
                <c:pt idx="139">
                  <c:v>0.28696728543226913</c:v>
                </c:pt>
                <c:pt idx="140">
                  <c:v>0.28723957114455473</c:v>
                </c:pt>
                <c:pt idx="141">
                  <c:v>0.28751185685684033</c:v>
                </c:pt>
                <c:pt idx="142">
                  <c:v>0.28778414256912593</c:v>
                </c:pt>
                <c:pt idx="143">
                  <c:v>0.28805642828141154</c:v>
                </c:pt>
                <c:pt idx="144">
                  <c:v>0.28832871399369714</c:v>
                </c:pt>
                <c:pt idx="145">
                  <c:v>0.28860099970598274</c:v>
                </c:pt>
                <c:pt idx="146">
                  <c:v>0.28887328541826834</c:v>
                </c:pt>
                <c:pt idx="147">
                  <c:v>0.28914557113055395</c:v>
                </c:pt>
                <c:pt idx="148">
                  <c:v>0.28941785684283955</c:v>
                </c:pt>
                <c:pt idx="149">
                  <c:v>0.28969014255512515</c:v>
                </c:pt>
                <c:pt idx="150">
                  <c:v>0.2899624282674107</c:v>
                </c:pt>
                <c:pt idx="151">
                  <c:v>0.2902347139796963</c:v>
                </c:pt>
                <c:pt idx="152">
                  <c:v>0.2905069996919819</c:v>
                </c:pt>
                <c:pt idx="153">
                  <c:v>0.29077928540426751</c:v>
                </c:pt>
                <c:pt idx="154">
                  <c:v>0.29105157111655311</c:v>
                </c:pt>
                <c:pt idx="155">
                  <c:v>0.29132385682883871</c:v>
                </c:pt>
                <c:pt idx="156">
                  <c:v>0.29159614254112431</c:v>
                </c:pt>
                <c:pt idx="157">
                  <c:v>0.29186842825340992</c:v>
                </c:pt>
                <c:pt idx="158">
                  <c:v>0.29214071396569552</c:v>
                </c:pt>
                <c:pt idx="159">
                  <c:v>0.29241299967798107</c:v>
                </c:pt>
                <c:pt idx="160">
                  <c:v>0.29268528539026667</c:v>
                </c:pt>
                <c:pt idx="161">
                  <c:v>0.29295757110255227</c:v>
                </c:pt>
                <c:pt idx="162">
                  <c:v>0.29322985681483787</c:v>
                </c:pt>
                <c:pt idx="163">
                  <c:v>0.29350214252712348</c:v>
                </c:pt>
                <c:pt idx="164">
                  <c:v>0.29377442823940908</c:v>
                </c:pt>
                <c:pt idx="165">
                  <c:v>0.29404671395169468</c:v>
                </c:pt>
                <c:pt idx="166">
                  <c:v>0.29431899966398029</c:v>
                </c:pt>
                <c:pt idx="167">
                  <c:v>0.29459128537626589</c:v>
                </c:pt>
                <c:pt idx="168">
                  <c:v>0.29486357108855143</c:v>
                </c:pt>
                <c:pt idx="169">
                  <c:v>0.29513585680083704</c:v>
                </c:pt>
                <c:pt idx="170">
                  <c:v>0.29540814251312264</c:v>
                </c:pt>
                <c:pt idx="171">
                  <c:v>0.29568042822540824</c:v>
                </c:pt>
                <c:pt idx="172">
                  <c:v>0.29595271393769385</c:v>
                </c:pt>
                <c:pt idx="173">
                  <c:v>0.29622499964997945</c:v>
                </c:pt>
                <c:pt idx="174">
                  <c:v>0.29649728536226505</c:v>
                </c:pt>
                <c:pt idx="175">
                  <c:v>0.29676957107455065</c:v>
                </c:pt>
                <c:pt idx="176">
                  <c:v>0.29704185678683626</c:v>
                </c:pt>
                <c:pt idx="177">
                  <c:v>0.29731414249912186</c:v>
                </c:pt>
                <c:pt idx="178">
                  <c:v>0.29758642821140746</c:v>
                </c:pt>
                <c:pt idx="179">
                  <c:v>0.29785871392369301</c:v>
                </c:pt>
                <c:pt idx="180">
                  <c:v>0.29813099963597861</c:v>
                </c:pt>
                <c:pt idx="181">
                  <c:v>0.29840328534826421</c:v>
                </c:pt>
                <c:pt idx="182">
                  <c:v>0.29867557106054982</c:v>
                </c:pt>
                <c:pt idx="183">
                  <c:v>0.29894785677283542</c:v>
                </c:pt>
                <c:pt idx="184">
                  <c:v>0.29922014248512102</c:v>
                </c:pt>
                <c:pt idx="185">
                  <c:v>0.29949242819740662</c:v>
                </c:pt>
                <c:pt idx="186">
                  <c:v>0.29976471390969223</c:v>
                </c:pt>
                <c:pt idx="187">
                  <c:v>0.30003699962197783</c:v>
                </c:pt>
                <c:pt idx="188">
                  <c:v>0.30030928533426338</c:v>
                </c:pt>
                <c:pt idx="189">
                  <c:v>0.30058157104654898</c:v>
                </c:pt>
                <c:pt idx="190">
                  <c:v>0.30085385675883458</c:v>
                </c:pt>
                <c:pt idx="191">
                  <c:v>0.30112614247112018</c:v>
                </c:pt>
                <c:pt idx="192">
                  <c:v>0.30139842818340579</c:v>
                </c:pt>
                <c:pt idx="193">
                  <c:v>0.30167071389569139</c:v>
                </c:pt>
                <c:pt idx="194">
                  <c:v>0.30194299960797699</c:v>
                </c:pt>
                <c:pt idx="195">
                  <c:v>0.30221528532026259</c:v>
                </c:pt>
                <c:pt idx="196">
                  <c:v>0.3024875710325482</c:v>
                </c:pt>
                <c:pt idx="197">
                  <c:v>0.30275985674483374</c:v>
                </c:pt>
                <c:pt idx="198">
                  <c:v>0.30303214245711935</c:v>
                </c:pt>
                <c:pt idx="199">
                  <c:v>0.30330442816940495</c:v>
                </c:pt>
                <c:pt idx="200">
                  <c:v>0.30357671388169055</c:v>
                </c:pt>
                <c:pt idx="201">
                  <c:v>0.30384899959397615</c:v>
                </c:pt>
                <c:pt idx="202">
                  <c:v>0.30412128530626176</c:v>
                </c:pt>
                <c:pt idx="203">
                  <c:v>0.30439357101854736</c:v>
                </c:pt>
                <c:pt idx="204">
                  <c:v>0.30466585673083296</c:v>
                </c:pt>
                <c:pt idx="205">
                  <c:v>0.30493814244311856</c:v>
                </c:pt>
                <c:pt idx="206">
                  <c:v>0.30521042815540417</c:v>
                </c:pt>
                <c:pt idx="207">
                  <c:v>0.30548271386768977</c:v>
                </c:pt>
                <c:pt idx="208">
                  <c:v>0.30575499957997532</c:v>
                </c:pt>
                <c:pt idx="209">
                  <c:v>0.30602728529226092</c:v>
                </c:pt>
                <c:pt idx="210">
                  <c:v>0.30629957100454652</c:v>
                </c:pt>
                <c:pt idx="211">
                  <c:v>0.30657185671683213</c:v>
                </c:pt>
                <c:pt idx="212">
                  <c:v>0.30684414242911773</c:v>
                </c:pt>
                <c:pt idx="213">
                  <c:v>0.30711642814140333</c:v>
                </c:pt>
                <c:pt idx="214">
                  <c:v>0.30738871385368893</c:v>
                </c:pt>
                <c:pt idx="215">
                  <c:v>0.30766099956597454</c:v>
                </c:pt>
                <c:pt idx="216">
                  <c:v>0.30793328527826014</c:v>
                </c:pt>
                <c:pt idx="217">
                  <c:v>0.30820557099054569</c:v>
                </c:pt>
                <c:pt idx="218">
                  <c:v>0.30847785670283129</c:v>
                </c:pt>
                <c:pt idx="219">
                  <c:v>0.30875014241511689</c:v>
                </c:pt>
                <c:pt idx="220">
                  <c:v>0.30902242812740249</c:v>
                </c:pt>
                <c:pt idx="221">
                  <c:v>0.3092947138396881</c:v>
                </c:pt>
                <c:pt idx="222">
                  <c:v>0.3095669995519737</c:v>
                </c:pt>
                <c:pt idx="223">
                  <c:v>0.3098392852642593</c:v>
                </c:pt>
                <c:pt idx="224">
                  <c:v>0.3101115709765449</c:v>
                </c:pt>
                <c:pt idx="225">
                  <c:v>0.31038385668883051</c:v>
                </c:pt>
                <c:pt idx="226">
                  <c:v>0.31065614240111605</c:v>
                </c:pt>
                <c:pt idx="227">
                  <c:v>0.31092842811340166</c:v>
                </c:pt>
                <c:pt idx="228">
                  <c:v>0.31120071382568726</c:v>
                </c:pt>
                <c:pt idx="229">
                  <c:v>0.31147299953797286</c:v>
                </c:pt>
                <c:pt idx="230">
                  <c:v>0.31174528525025846</c:v>
                </c:pt>
                <c:pt idx="231">
                  <c:v>0.31201757096254407</c:v>
                </c:pt>
                <c:pt idx="232">
                  <c:v>0.31228985667482967</c:v>
                </c:pt>
                <c:pt idx="233">
                  <c:v>0.31256214238711527</c:v>
                </c:pt>
                <c:pt idx="234">
                  <c:v>0.31283442809940087</c:v>
                </c:pt>
                <c:pt idx="235">
                  <c:v>0.31310671381168648</c:v>
                </c:pt>
                <c:pt idx="236">
                  <c:v>0.31337899952397202</c:v>
                </c:pt>
                <c:pt idx="237">
                  <c:v>0.31365128523625763</c:v>
                </c:pt>
                <c:pt idx="238">
                  <c:v>0.31392357094854323</c:v>
                </c:pt>
                <c:pt idx="239">
                  <c:v>0.31419585666082883</c:v>
                </c:pt>
                <c:pt idx="240">
                  <c:v>0.31446814237311443</c:v>
                </c:pt>
                <c:pt idx="241">
                  <c:v>0.31474042808540004</c:v>
                </c:pt>
                <c:pt idx="242">
                  <c:v>0.31501271379768564</c:v>
                </c:pt>
                <c:pt idx="243">
                  <c:v>0.31528499950997124</c:v>
                </c:pt>
                <c:pt idx="244">
                  <c:v>0.31555728522225684</c:v>
                </c:pt>
                <c:pt idx="245">
                  <c:v>0.31582957093454245</c:v>
                </c:pt>
                <c:pt idx="246">
                  <c:v>0.31610185664682799</c:v>
                </c:pt>
                <c:pt idx="247">
                  <c:v>0.3163741423591136</c:v>
                </c:pt>
                <c:pt idx="248">
                  <c:v>0.3166464280713992</c:v>
                </c:pt>
                <c:pt idx="249">
                  <c:v>0.3169187137836848</c:v>
                </c:pt>
                <c:pt idx="250">
                  <c:v>0.3171909994959704</c:v>
                </c:pt>
                <c:pt idx="251">
                  <c:v>0.31746328520825601</c:v>
                </c:pt>
                <c:pt idx="252">
                  <c:v>0.31773557092054161</c:v>
                </c:pt>
                <c:pt idx="253">
                  <c:v>0.31800785663282721</c:v>
                </c:pt>
                <c:pt idx="254">
                  <c:v>0.31828014234511282</c:v>
                </c:pt>
                <c:pt idx="255">
                  <c:v>0.31855242805739842</c:v>
                </c:pt>
                <c:pt idx="256">
                  <c:v>0.31882471376968397</c:v>
                </c:pt>
                <c:pt idx="257">
                  <c:v>0.31909699948196957</c:v>
                </c:pt>
                <c:pt idx="258">
                  <c:v>0.31936928519425517</c:v>
                </c:pt>
                <c:pt idx="259">
                  <c:v>0.31964157090654077</c:v>
                </c:pt>
                <c:pt idx="260">
                  <c:v>0.31991385661882638</c:v>
                </c:pt>
                <c:pt idx="261">
                  <c:v>0.32018614233111198</c:v>
                </c:pt>
                <c:pt idx="262">
                  <c:v>0.32045842804339758</c:v>
                </c:pt>
                <c:pt idx="263">
                  <c:v>0.32073071375568318</c:v>
                </c:pt>
                <c:pt idx="264">
                  <c:v>0.32100299946796879</c:v>
                </c:pt>
                <c:pt idx="265">
                  <c:v>0.32127528518025433</c:v>
                </c:pt>
                <c:pt idx="266">
                  <c:v>0.32154757089253994</c:v>
                </c:pt>
                <c:pt idx="267">
                  <c:v>0.32181985660482554</c:v>
                </c:pt>
                <c:pt idx="268">
                  <c:v>0.32209214231711114</c:v>
                </c:pt>
                <c:pt idx="269">
                  <c:v>0.32236442802939674</c:v>
                </c:pt>
                <c:pt idx="270">
                  <c:v>0.32263671374168235</c:v>
                </c:pt>
                <c:pt idx="271">
                  <c:v>0.32290899945396795</c:v>
                </c:pt>
                <c:pt idx="272">
                  <c:v>0.32318128516625355</c:v>
                </c:pt>
                <c:pt idx="273">
                  <c:v>0.32345357087853915</c:v>
                </c:pt>
                <c:pt idx="274">
                  <c:v>0.32372585659082476</c:v>
                </c:pt>
                <c:pt idx="275">
                  <c:v>0.3239981423031103</c:v>
                </c:pt>
                <c:pt idx="276">
                  <c:v>0.32427042801539591</c:v>
                </c:pt>
                <c:pt idx="277">
                  <c:v>0.32454271372768151</c:v>
                </c:pt>
                <c:pt idx="278">
                  <c:v>0.32481499943996711</c:v>
                </c:pt>
                <c:pt idx="279">
                  <c:v>0.32508728515225271</c:v>
                </c:pt>
                <c:pt idx="280">
                  <c:v>0.32535957086453832</c:v>
                </c:pt>
                <c:pt idx="281">
                  <c:v>0.32563185657682392</c:v>
                </c:pt>
                <c:pt idx="282">
                  <c:v>0.32590414228910952</c:v>
                </c:pt>
                <c:pt idx="283">
                  <c:v>0.32617642800139512</c:v>
                </c:pt>
                <c:pt idx="284">
                  <c:v>0.32644871371368073</c:v>
                </c:pt>
                <c:pt idx="285">
                  <c:v>0.32672099942596627</c:v>
                </c:pt>
                <c:pt idx="286">
                  <c:v>0.32699328513825188</c:v>
                </c:pt>
                <c:pt idx="287">
                  <c:v>0.32726557085053748</c:v>
                </c:pt>
                <c:pt idx="288">
                  <c:v>0.32753785656282308</c:v>
                </c:pt>
                <c:pt idx="289">
                  <c:v>0.32781014227510868</c:v>
                </c:pt>
                <c:pt idx="290">
                  <c:v>0.32808242798739429</c:v>
                </c:pt>
                <c:pt idx="291">
                  <c:v>0.32835471369967989</c:v>
                </c:pt>
                <c:pt idx="292">
                  <c:v>0.32862699941196549</c:v>
                </c:pt>
                <c:pt idx="293">
                  <c:v>0.3288992851242511</c:v>
                </c:pt>
                <c:pt idx="294">
                  <c:v>0.32917157083653664</c:v>
                </c:pt>
                <c:pt idx="295">
                  <c:v>0.32944385654882224</c:v>
                </c:pt>
                <c:pt idx="296">
                  <c:v>0.32971614226110785</c:v>
                </c:pt>
                <c:pt idx="297">
                  <c:v>0.32998842797339345</c:v>
                </c:pt>
                <c:pt idx="298">
                  <c:v>0.33026071368567905</c:v>
                </c:pt>
                <c:pt idx="299">
                  <c:v>0.33053299939796466</c:v>
                </c:pt>
                <c:pt idx="300">
                  <c:v>0.33080528511025026</c:v>
                </c:pt>
                <c:pt idx="301">
                  <c:v>0.33107757082253586</c:v>
                </c:pt>
                <c:pt idx="302">
                  <c:v>0.33134985653482146</c:v>
                </c:pt>
                <c:pt idx="303">
                  <c:v>0.33162214224710707</c:v>
                </c:pt>
                <c:pt idx="304">
                  <c:v>0.33189442795939261</c:v>
                </c:pt>
                <c:pt idx="305">
                  <c:v>0.33216671367167822</c:v>
                </c:pt>
                <c:pt idx="306">
                  <c:v>0.33243899938396382</c:v>
                </c:pt>
                <c:pt idx="307">
                  <c:v>0.33271128509624942</c:v>
                </c:pt>
                <c:pt idx="308">
                  <c:v>0.33298357080853502</c:v>
                </c:pt>
                <c:pt idx="309">
                  <c:v>0.33325585652082063</c:v>
                </c:pt>
                <c:pt idx="310">
                  <c:v>0.33352814223310623</c:v>
                </c:pt>
                <c:pt idx="311">
                  <c:v>0.33380042794539183</c:v>
                </c:pt>
                <c:pt idx="312">
                  <c:v>0.33407271365767743</c:v>
                </c:pt>
                <c:pt idx="313">
                  <c:v>0.33434499936996304</c:v>
                </c:pt>
                <c:pt idx="314">
                  <c:v>0.33461728508224858</c:v>
                </c:pt>
                <c:pt idx="315">
                  <c:v>0.33488957079453419</c:v>
                </c:pt>
                <c:pt idx="316">
                  <c:v>0.33516185650681979</c:v>
                </c:pt>
                <c:pt idx="317">
                  <c:v>0.33543414221910539</c:v>
                </c:pt>
                <c:pt idx="318">
                  <c:v>0.33570642793139099</c:v>
                </c:pt>
                <c:pt idx="319">
                  <c:v>0.3359787136436766</c:v>
                </c:pt>
                <c:pt idx="320">
                  <c:v>0.3362509993559622</c:v>
                </c:pt>
                <c:pt idx="321">
                  <c:v>0.3365232850682478</c:v>
                </c:pt>
                <c:pt idx="322">
                  <c:v>0.3367955707805334</c:v>
                </c:pt>
                <c:pt idx="323">
                  <c:v>0.33706785649281895</c:v>
                </c:pt>
                <c:pt idx="324">
                  <c:v>0.33734014220510455</c:v>
                </c:pt>
                <c:pt idx="325">
                  <c:v>0.33761242791739016</c:v>
                </c:pt>
                <c:pt idx="326">
                  <c:v>0.33788471362967576</c:v>
                </c:pt>
                <c:pt idx="327">
                  <c:v>0.33815699934196136</c:v>
                </c:pt>
                <c:pt idx="328">
                  <c:v>0.33842928505424696</c:v>
                </c:pt>
                <c:pt idx="329">
                  <c:v>0.33870157076653257</c:v>
                </c:pt>
                <c:pt idx="330">
                  <c:v>0.33897385647881817</c:v>
                </c:pt>
                <c:pt idx="331">
                  <c:v>0.33924614219110377</c:v>
                </c:pt>
                <c:pt idx="332">
                  <c:v>0.33951842790338937</c:v>
                </c:pt>
                <c:pt idx="333">
                  <c:v>0.33979071361567492</c:v>
                </c:pt>
                <c:pt idx="334">
                  <c:v>0.34006299932796052</c:v>
                </c:pt>
                <c:pt idx="335">
                  <c:v>0.34033528504024613</c:v>
                </c:pt>
                <c:pt idx="336">
                  <c:v>0.34060757075253173</c:v>
                </c:pt>
                <c:pt idx="337">
                  <c:v>0.34087985646481733</c:v>
                </c:pt>
                <c:pt idx="338">
                  <c:v>0.34115214217710293</c:v>
                </c:pt>
                <c:pt idx="339">
                  <c:v>0.34142442788938854</c:v>
                </c:pt>
                <c:pt idx="340">
                  <c:v>0.34169671360167414</c:v>
                </c:pt>
                <c:pt idx="341">
                  <c:v>0.34196899931395974</c:v>
                </c:pt>
                <c:pt idx="342">
                  <c:v>0.34224128502624535</c:v>
                </c:pt>
                <c:pt idx="343">
                  <c:v>0.34251357073853089</c:v>
                </c:pt>
                <c:pt idx="344">
                  <c:v>0.3427858564508165</c:v>
                </c:pt>
                <c:pt idx="345">
                  <c:v>0.3430581421631021</c:v>
                </c:pt>
                <c:pt idx="346">
                  <c:v>0.3433304278753877</c:v>
                </c:pt>
                <c:pt idx="347">
                  <c:v>0.3436027135876733</c:v>
                </c:pt>
                <c:pt idx="348">
                  <c:v>0.34387499929995891</c:v>
                </c:pt>
                <c:pt idx="349">
                  <c:v>0.34414728501224451</c:v>
                </c:pt>
                <c:pt idx="350">
                  <c:v>0.34441957072453011</c:v>
                </c:pt>
                <c:pt idx="351">
                  <c:v>0.34469185643681571</c:v>
                </c:pt>
                <c:pt idx="352">
                  <c:v>0.34496414214910126</c:v>
                </c:pt>
                <c:pt idx="353">
                  <c:v>0.34523642786138686</c:v>
                </c:pt>
                <c:pt idx="354">
                  <c:v>0.34550871357367247</c:v>
                </c:pt>
                <c:pt idx="355">
                  <c:v>0.34578099928595807</c:v>
                </c:pt>
                <c:pt idx="356">
                  <c:v>0.34605328499824367</c:v>
                </c:pt>
                <c:pt idx="357">
                  <c:v>0.34632557071052927</c:v>
                </c:pt>
                <c:pt idx="358">
                  <c:v>0.34659785642281488</c:v>
                </c:pt>
                <c:pt idx="359">
                  <c:v>0.34687014213510048</c:v>
                </c:pt>
                <c:pt idx="360">
                  <c:v>0.34714242784738608</c:v>
                </c:pt>
                <c:pt idx="361">
                  <c:v>0.34741471355967168</c:v>
                </c:pt>
                <c:pt idx="362">
                  <c:v>0.34768699927195723</c:v>
                </c:pt>
                <c:pt idx="363">
                  <c:v>0.34795928498424283</c:v>
                </c:pt>
                <c:pt idx="364">
                  <c:v>0.34823157069652844</c:v>
                </c:pt>
                <c:pt idx="365">
                  <c:v>0.34850385640881404</c:v>
                </c:pt>
                <c:pt idx="366">
                  <c:v>0.34877614212109964</c:v>
                </c:pt>
                <c:pt idx="367">
                  <c:v>0.34904842783338524</c:v>
                </c:pt>
                <c:pt idx="368">
                  <c:v>0.34932071354567085</c:v>
                </c:pt>
                <c:pt idx="369">
                  <c:v>0.34959299925795645</c:v>
                </c:pt>
                <c:pt idx="370">
                  <c:v>0.34986528497024205</c:v>
                </c:pt>
                <c:pt idx="371">
                  <c:v>0.35013757068252765</c:v>
                </c:pt>
                <c:pt idx="372">
                  <c:v>0.3504098563948132</c:v>
                </c:pt>
                <c:pt idx="373">
                  <c:v>0.3506821421070988</c:v>
                </c:pt>
                <c:pt idx="374">
                  <c:v>0.35095442781938441</c:v>
                </c:pt>
                <c:pt idx="375">
                  <c:v>0.35122671353167001</c:v>
                </c:pt>
                <c:pt idx="376">
                  <c:v>0.35149899924395561</c:v>
                </c:pt>
                <c:pt idx="377">
                  <c:v>0.35177128495624121</c:v>
                </c:pt>
                <c:pt idx="378">
                  <c:v>0.35204357066852682</c:v>
                </c:pt>
                <c:pt idx="379">
                  <c:v>0.35231585638081242</c:v>
                </c:pt>
                <c:pt idx="380">
                  <c:v>0.35258814209309802</c:v>
                </c:pt>
                <c:pt idx="381">
                  <c:v>0.35286042780538357</c:v>
                </c:pt>
                <c:pt idx="382">
                  <c:v>0.35313271351766917</c:v>
                </c:pt>
                <c:pt idx="383">
                  <c:v>0.35340499922995477</c:v>
                </c:pt>
                <c:pt idx="384">
                  <c:v>0.35367728494224038</c:v>
                </c:pt>
                <c:pt idx="385">
                  <c:v>0.35394957065452598</c:v>
                </c:pt>
                <c:pt idx="386">
                  <c:v>0.35422185636681158</c:v>
                </c:pt>
                <c:pt idx="387">
                  <c:v>0.35449414207909719</c:v>
                </c:pt>
                <c:pt idx="388">
                  <c:v>0.35476642779138279</c:v>
                </c:pt>
                <c:pt idx="389">
                  <c:v>0.35503871350366839</c:v>
                </c:pt>
                <c:pt idx="390">
                  <c:v>0.35531099921595399</c:v>
                </c:pt>
                <c:pt idx="391">
                  <c:v>0.35558328492823954</c:v>
                </c:pt>
                <c:pt idx="392">
                  <c:v>0.35585557064052514</c:v>
                </c:pt>
                <c:pt idx="393">
                  <c:v>0.35612785635281075</c:v>
                </c:pt>
                <c:pt idx="394">
                  <c:v>0.35640014206509635</c:v>
                </c:pt>
                <c:pt idx="395">
                  <c:v>0.35667242777738195</c:v>
                </c:pt>
                <c:pt idx="396">
                  <c:v>0.35694471348966755</c:v>
                </c:pt>
                <c:pt idx="397">
                  <c:v>0.35721699920195316</c:v>
                </c:pt>
                <c:pt idx="398">
                  <c:v>0.35748928491423876</c:v>
                </c:pt>
                <c:pt idx="399">
                  <c:v>0.35776157062652436</c:v>
                </c:pt>
                <c:pt idx="400">
                  <c:v>0.35803385633880996</c:v>
                </c:pt>
                <c:pt idx="401">
                  <c:v>0.35830614205109551</c:v>
                </c:pt>
                <c:pt idx="402">
                  <c:v>0.35857842776338111</c:v>
                </c:pt>
                <c:pt idx="403">
                  <c:v>0.35885071347566672</c:v>
                </c:pt>
                <c:pt idx="404">
                  <c:v>0.35912299918795232</c:v>
                </c:pt>
                <c:pt idx="405">
                  <c:v>0.35939528490023792</c:v>
                </c:pt>
                <c:pt idx="406">
                  <c:v>0.35966757061252352</c:v>
                </c:pt>
                <c:pt idx="407">
                  <c:v>0.35993985632480913</c:v>
                </c:pt>
                <c:pt idx="408">
                  <c:v>0.36021214203709473</c:v>
                </c:pt>
                <c:pt idx="409">
                  <c:v>0.36048442774938033</c:v>
                </c:pt>
                <c:pt idx="410">
                  <c:v>0.36075671346166588</c:v>
                </c:pt>
                <c:pt idx="411">
                  <c:v>0.36102899917395148</c:v>
                </c:pt>
                <c:pt idx="412">
                  <c:v>0.36130128488623708</c:v>
                </c:pt>
                <c:pt idx="413">
                  <c:v>0.36157357059852269</c:v>
                </c:pt>
                <c:pt idx="414">
                  <c:v>0.36184585631080829</c:v>
                </c:pt>
                <c:pt idx="415">
                  <c:v>0.36211814202309389</c:v>
                </c:pt>
                <c:pt idx="416">
                  <c:v>0.36239042773537949</c:v>
                </c:pt>
                <c:pt idx="417">
                  <c:v>0.3626627134476651</c:v>
                </c:pt>
                <c:pt idx="418">
                  <c:v>0.36293499915995064</c:v>
                </c:pt>
                <c:pt idx="419">
                  <c:v>0.3632072848722363</c:v>
                </c:pt>
                <c:pt idx="420">
                  <c:v>0.36347957058452185</c:v>
                </c:pt>
                <c:pt idx="421">
                  <c:v>0.36375185629680751</c:v>
                </c:pt>
                <c:pt idx="422">
                  <c:v>0.36402414200909305</c:v>
                </c:pt>
                <c:pt idx="423">
                  <c:v>0.36429642772137866</c:v>
                </c:pt>
                <c:pt idx="424">
                  <c:v>0.36456871343366426</c:v>
                </c:pt>
                <c:pt idx="425">
                  <c:v>0.36484099914594986</c:v>
                </c:pt>
                <c:pt idx="426">
                  <c:v>0.36511328485823547</c:v>
                </c:pt>
                <c:pt idx="427">
                  <c:v>0.36538557057052101</c:v>
                </c:pt>
                <c:pt idx="428">
                  <c:v>0.36565785628280667</c:v>
                </c:pt>
                <c:pt idx="429">
                  <c:v>0.36593014199509222</c:v>
                </c:pt>
                <c:pt idx="430">
                  <c:v>0.36620242770737788</c:v>
                </c:pt>
                <c:pt idx="431">
                  <c:v>0.36647471341966342</c:v>
                </c:pt>
                <c:pt idx="432">
                  <c:v>0.36674699913194903</c:v>
                </c:pt>
                <c:pt idx="433">
                  <c:v>0.36701928484423463</c:v>
                </c:pt>
                <c:pt idx="434">
                  <c:v>0.36729157055652023</c:v>
                </c:pt>
                <c:pt idx="435">
                  <c:v>0.36756385626880583</c:v>
                </c:pt>
                <c:pt idx="436">
                  <c:v>0.36783614198109144</c:v>
                </c:pt>
                <c:pt idx="437">
                  <c:v>0.36810842769337704</c:v>
                </c:pt>
                <c:pt idx="438">
                  <c:v>0.36838071340566259</c:v>
                </c:pt>
                <c:pt idx="439">
                  <c:v>0.36865299911794824</c:v>
                </c:pt>
                <c:pt idx="440">
                  <c:v>0.36892528483023379</c:v>
                </c:pt>
                <c:pt idx="441">
                  <c:v>0.36919757054251945</c:v>
                </c:pt>
                <c:pt idx="442">
                  <c:v>0.369469856254805</c:v>
                </c:pt>
                <c:pt idx="443">
                  <c:v>0.3697421419670906</c:v>
                </c:pt>
                <c:pt idx="444">
                  <c:v>0.3700144276793762</c:v>
                </c:pt>
                <c:pt idx="445">
                  <c:v>0.3702867133916618</c:v>
                </c:pt>
                <c:pt idx="446">
                  <c:v>0.37055899910394741</c:v>
                </c:pt>
                <c:pt idx="447">
                  <c:v>0.37083128481623295</c:v>
                </c:pt>
                <c:pt idx="448">
                  <c:v>0.37110357052851861</c:v>
                </c:pt>
                <c:pt idx="449">
                  <c:v>0.37137585624080416</c:v>
                </c:pt>
                <c:pt idx="450">
                  <c:v>0.37164814195308982</c:v>
                </c:pt>
                <c:pt idx="451">
                  <c:v>0.37192042766537536</c:v>
                </c:pt>
                <c:pt idx="452">
                  <c:v>0.37219271337766097</c:v>
                </c:pt>
                <c:pt idx="453">
                  <c:v>0.37246499908994657</c:v>
                </c:pt>
                <c:pt idx="454">
                  <c:v>0.37273728480223217</c:v>
                </c:pt>
                <c:pt idx="455">
                  <c:v>0.37300957051451777</c:v>
                </c:pt>
                <c:pt idx="456">
                  <c:v>0.37328185622680332</c:v>
                </c:pt>
                <c:pt idx="457">
                  <c:v>0.37355414193908898</c:v>
                </c:pt>
                <c:pt idx="458">
                  <c:v>0.37382642765137453</c:v>
                </c:pt>
                <c:pt idx="459">
                  <c:v>0.37409871336366018</c:v>
                </c:pt>
                <c:pt idx="460">
                  <c:v>0.37437099907594573</c:v>
                </c:pt>
                <c:pt idx="461">
                  <c:v>0.37464328478823133</c:v>
                </c:pt>
                <c:pt idx="462">
                  <c:v>0.37491557050051694</c:v>
                </c:pt>
                <c:pt idx="463">
                  <c:v>0.37518785621280254</c:v>
                </c:pt>
                <c:pt idx="464">
                  <c:v>0.37546014192508814</c:v>
                </c:pt>
                <c:pt idx="465">
                  <c:v>0.37573242763737369</c:v>
                </c:pt>
                <c:pt idx="466">
                  <c:v>0.37600471334965935</c:v>
                </c:pt>
                <c:pt idx="467">
                  <c:v>0.37627699906194489</c:v>
                </c:pt>
                <c:pt idx="468">
                  <c:v>0.37654928477423055</c:v>
                </c:pt>
                <c:pt idx="469">
                  <c:v>0.3768215704865161</c:v>
                </c:pt>
                <c:pt idx="470">
                  <c:v>0.3770938561988017</c:v>
                </c:pt>
                <c:pt idx="471">
                  <c:v>0.3773661419110873</c:v>
                </c:pt>
                <c:pt idx="472">
                  <c:v>0.37763842762337291</c:v>
                </c:pt>
                <c:pt idx="473">
                  <c:v>0.37791071333565851</c:v>
                </c:pt>
                <c:pt idx="474">
                  <c:v>0.37818299904794406</c:v>
                </c:pt>
                <c:pt idx="475">
                  <c:v>0.37845528476022972</c:v>
                </c:pt>
                <c:pt idx="476">
                  <c:v>0.37872757047251526</c:v>
                </c:pt>
                <c:pt idx="477">
                  <c:v>0.37899985618480092</c:v>
                </c:pt>
                <c:pt idx="478">
                  <c:v>0.37927214189708647</c:v>
                </c:pt>
                <c:pt idx="479">
                  <c:v>0.37954442760937207</c:v>
                </c:pt>
                <c:pt idx="480">
                  <c:v>0.37981671332165767</c:v>
                </c:pt>
                <c:pt idx="481">
                  <c:v>0.38008899903394328</c:v>
                </c:pt>
                <c:pt idx="482">
                  <c:v>0.38036128474622888</c:v>
                </c:pt>
                <c:pt idx="483">
                  <c:v>0.38063357045851448</c:v>
                </c:pt>
                <c:pt idx="484">
                  <c:v>0.38090585617080008</c:v>
                </c:pt>
                <c:pt idx="485">
                  <c:v>0.38117814188308563</c:v>
                </c:pt>
                <c:pt idx="486">
                  <c:v>0.38145042759537129</c:v>
                </c:pt>
                <c:pt idx="487">
                  <c:v>0.38172271330765684</c:v>
                </c:pt>
                <c:pt idx="488">
                  <c:v>0.38199499901994249</c:v>
                </c:pt>
                <c:pt idx="489">
                  <c:v>0.38226728473222804</c:v>
                </c:pt>
                <c:pt idx="490">
                  <c:v>0.38253957044451364</c:v>
                </c:pt>
                <c:pt idx="491">
                  <c:v>0.38281185615679925</c:v>
                </c:pt>
                <c:pt idx="492">
                  <c:v>0.38308414186908485</c:v>
                </c:pt>
                <c:pt idx="493">
                  <c:v>0.38335642758137045</c:v>
                </c:pt>
                <c:pt idx="494">
                  <c:v>0.383628713293656</c:v>
                </c:pt>
                <c:pt idx="495">
                  <c:v>0.38390099900594166</c:v>
                </c:pt>
                <c:pt idx="496">
                  <c:v>0.3841732847182272</c:v>
                </c:pt>
                <c:pt idx="497">
                  <c:v>0.38444557043051286</c:v>
                </c:pt>
                <c:pt idx="498">
                  <c:v>0.38471785614279841</c:v>
                </c:pt>
                <c:pt idx="499">
                  <c:v>0.38499014185508401</c:v>
                </c:pt>
                <c:pt idx="500">
                  <c:v>0.38526242756736961</c:v>
                </c:pt>
                <c:pt idx="501">
                  <c:v>0.38553471327965522</c:v>
                </c:pt>
                <c:pt idx="502">
                  <c:v>0.38580699899194082</c:v>
                </c:pt>
                <c:pt idx="503">
                  <c:v>0.38607928470422637</c:v>
                </c:pt>
                <c:pt idx="504">
                  <c:v>0.38635157041651202</c:v>
                </c:pt>
                <c:pt idx="505">
                  <c:v>0.38662385612879757</c:v>
                </c:pt>
                <c:pt idx="506">
                  <c:v>0.38689614184108323</c:v>
                </c:pt>
                <c:pt idx="507">
                  <c:v>0.38716842755336878</c:v>
                </c:pt>
                <c:pt idx="508">
                  <c:v>0.38744071326565438</c:v>
                </c:pt>
                <c:pt idx="509">
                  <c:v>0.38771299897793998</c:v>
                </c:pt>
                <c:pt idx="510">
                  <c:v>0.38798528469022558</c:v>
                </c:pt>
                <c:pt idx="511">
                  <c:v>0.38825757040251119</c:v>
                </c:pt>
                <c:pt idx="512">
                  <c:v>0.38852985611479679</c:v>
                </c:pt>
                <c:pt idx="513">
                  <c:v>0.38880214182708239</c:v>
                </c:pt>
                <c:pt idx="514">
                  <c:v>0.38907442753936794</c:v>
                </c:pt>
                <c:pt idx="515">
                  <c:v>0.3893467132516536</c:v>
                </c:pt>
                <c:pt idx="516">
                  <c:v>0.38961899896393914</c:v>
                </c:pt>
                <c:pt idx="517">
                  <c:v>0.3898912846762248</c:v>
                </c:pt>
                <c:pt idx="518">
                  <c:v>0.39016357038851035</c:v>
                </c:pt>
                <c:pt idx="519">
                  <c:v>0.39043585610079595</c:v>
                </c:pt>
                <c:pt idx="520">
                  <c:v>0.39070814181308156</c:v>
                </c:pt>
                <c:pt idx="521">
                  <c:v>0.39098042752536716</c:v>
                </c:pt>
                <c:pt idx="522">
                  <c:v>0.39125271323765276</c:v>
                </c:pt>
                <c:pt idx="523">
                  <c:v>0.39152499894993831</c:v>
                </c:pt>
                <c:pt idx="524">
                  <c:v>0.39179728466222397</c:v>
                </c:pt>
                <c:pt idx="525">
                  <c:v>0.39206957037450951</c:v>
                </c:pt>
                <c:pt idx="526">
                  <c:v>0.39234185608679517</c:v>
                </c:pt>
                <c:pt idx="527">
                  <c:v>0.39261414179908072</c:v>
                </c:pt>
                <c:pt idx="528">
                  <c:v>0.39288642751136632</c:v>
                </c:pt>
                <c:pt idx="529">
                  <c:v>0.39315871322365192</c:v>
                </c:pt>
                <c:pt idx="530">
                  <c:v>0.39343099893593753</c:v>
                </c:pt>
                <c:pt idx="531">
                  <c:v>0.39370328464822313</c:v>
                </c:pt>
                <c:pt idx="532">
                  <c:v>0.39397557036050868</c:v>
                </c:pt>
                <c:pt idx="533">
                  <c:v>0.39424785607279433</c:v>
                </c:pt>
                <c:pt idx="534">
                  <c:v>0.39452014178507988</c:v>
                </c:pt>
                <c:pt idx="535">
                  <c:v>0.39479242749736554</c:v>
                </c:pt>
                <c:pt idx="536">
                  <c:v>0.39506471320965109</c:v>
                </c:pt>
                <c:pt idx="537">
                  <c:v>0.39533699892193669</c:v>
                </c:pt>
                <c:pt idx="538">
                  <c:v>0.39560928463422229</c:v>
                </c:pt>
                <c:pt idx="539">
                  <c:v>0.39588157034650789</c:v>
                </c:pt>
                <c:pt idx="540">
                  <c:v>0.3961538560587935</c:v>
                </c:pt>
                <c:pt idx="541">
                  <c:v>0.3964261417710791</c:v>
                </c:pt>
                <c:pt idx="542">
                  <c:v>0.3966984274833647</c:v>
                </c:pt>
                <c:pt idx="543">
                  <c:v>0.39697071319565025</c:v>
                </c:pt>
                <c:pt idx="544">
                  <c:v>0.39724299890793591</c:v>
                </c:pt>
                <c:pt idx="545">
                  <c:v>0.39751528462022145</c:v>
                </c:pt>
                <c:pt idx="546">
                  <c:v>0.39778757033250711</c:v>
                </c:pt>
                <c:pt idx="547">
                  <c:v>0.39805985604479266</c:v>
                </c:pt>
                <c:pt idx="548">
                  <c:v>0.39833214175707826</c:v>
                </c:pt>
                <c:pt idx="549">
                  <c:v>0.39860442746936386</c:v>
                </c:pt>
                <c:pt idx="550">
                  <c:v>0.39887671318164947</c:v>
                </c:pt>
                <c:pt idx="551">
                  <c:v>0.39914899889393507</c:v>
                </c:pt>
                <c:pt idx="552">
                  <c:v>0.39942128460622062</c:v>
                </c:pt>
                <c:pt idx="553">
                  <c:v>0.39969357031850627</c:v>
                </c:pt>
                <c:pt idx="554">
                  <c:v>0.39996585603079182</c:v>
                </c:pt>
                <c:pt idx="555">
                  <c:v>0.40023814174307748</c:v>
                </c:pt>
                <c:pt idx="556">
                  <c:v>0.40051042745536303</c:v>
                </c:pt>
                <c:pt idx="557">
                  <c:v>0.40078271316764863</c:v>
                </c:pt>
                <c:pt idx="558">
                  <c:v>0.40105499887993423</c:v>
                </c:pt>
                <c:pt idx="559">
                  <c:v>0.40132728459221984</c:v>
                </c:pt>
                <c:pt idx="560">
                  <c:v>0.40159957030450544</c:v>
                </c:pt>
                <c:pt idx="561">
                  <c:v>0.40187185601679098</c:v>
                </c:pt>
                <c:pt idx="562">
                  <c:v>0.40214414172907664</c:v>
                </c:pt>
                <c:pt idx="563">
                  <c:v>0.40241642744136219</c:v>
                </c:pt>
                <c:pt idx="564">
                  <c:v>0.40268871315364785</c:v>
                </c:pt>
                <c:pt idx="565">
                  <c:v>0.4029609988659334</c:v>
                </c:pt>
                <c:pt idx="566">
                  <c:v>0.403233284578219</c:v>
                </c:pt>
                <c:pt idx="567">
                  <c:v>0.4035055702905046</c:v>
                </c:pt>
                <c:pt idx="568">
                  <c:v>0.4037778560027902</c:v>
                </c:pt>
                <c:pt idx="569">
                  <c:v>0.40405014171507581</c:v>
                </c:pt>
                <c:pt idx="570">
                  <c:v>0.40432242742736141</c:v>
                </c:pt>
                <c:pt idx="571">
                  <c:v>0.40459471313964701</c:v>
                </c:pt>
                <c:pt idx="572">
                  <c:v>0.40486699885193256</c:v>
                </c:pt>
                <c:pt idx="573">
                  <c:v>0.40513928456421822</c:v>
                </c:pt>
                <c:pt idx="574">
                  <c:v>0.40541157027650376</c:v>
                </c:pt>
                <c:pt idx="575">
                  <c:v>0.40568385598878942</c:v>
                </c:pt>
                <c:pt idx="576">
                  <c:v>0.40595614170107497</c:v>
                </c:pt>
                <c:pt idx="577">
                  <c:v>0.40622842741336057</c:v>
                </c:pt>
                <c:pt idx="578">
                  <c:v>0.40650071312564617</c:v>
                </c:pt>
                <c:pt idx="579">
                  <c:v>0.40677299883793178</c:v>
                </c:pt>
                <c:pt idx="580">
                  <c:v>0.40704528455021738</c:v>
                </c:pt>
                <c:pt idx="581">
                  <c:v>0.40731757026250293</c:v>
                </c:pt>
                <c:pt idx="582">
                  <c:v>0.40758985597478858</c:v>
                </c:pt>
                <c:pt idx="583">
                  <c:v>0.40786214168707413</c:v>
                </c:pt>
                <c:pt idx="584">
                  <c:v>0.40813442739935979</c:v>
                </c:pt>
                <c:pt idx="585">
                  <c:v>0.40840671311164534</c:v>
                </c:pt>
                <c:pt idx="586">
                  <c:v>0.40867899882393094</c:v>
                </c:pt>
                <c:pt idx="587">
                  <c:v>0.40895128453621654</c:v>
                </c:pt>
                <c:pt idx="588">
                  <c:v>0.40922357024850214</c:v>
                </c:pt>
                <c:pt idx="589">
                  <c:v>0.40949585596078775</c:v>
                </c:pt>
                <c:pt idx="590">
                  <c:v>0.40976814167307329</c:v>
                </c:pt>
                <c:pt idx="591">
                  <c:v>0.41004042738535895</c:v>
                </c:pt>
                <c:pt idx="592">
                  <c:v>0.4103127130976445</c:v>
                </c:pt>
                <c:pt idx="593">
                  <c:v>0.41058499880993016</c:v>
                </c:pt>
                <c:pt idx="594">
                  <c:v>0.4108572845222157</c:v>
                </c:pt>
                <c:pt idx="595">
                  <c:v>0.41112957023450131</c:v>
                </c:pt>
                <c:pt idx="596">
                  <c:v>0.41140185594678691</c:v>
                </c:pt>
                <c:pt idx="597">
                  <c:v>0.41167414165907251</c:v>
                </c:pt>
                <c:pt idx="598">
                  <c:v>0.41194642737135811</c:v>
                </c:pt>
                <c:pt idx="599">
                  <c:v>0.41221871308364372</c:v>
                </c:pt>
                <c:pt idx="600">
                  <c:v>0.41249099879592932</c:v>
                </c:pt>
                <c:pt idx="601">
                  <c:v>0.41276328450821487</c:v>
                </c:pt>
                <c:pt idx="602">
                  <c:v>0.41303557022050053</c:v>
                </c:pt>
                <c:pt idx="603">
                  <c:v>0.41330785593278607</c:v>
                </c:pt>
                <c:pt idx="604">
                  <c:v>0.41358014164507173</c:v>
                </c:pt>
                <c:pt idx="605">
                  <c:v>0.41385242735735728</c:v>
                </c:pt>
                <c:pt idx="606">
                  <c:v>0.41412471306964288</c:v>
                </c:pt>
                <c:pt idx="607">
                  <c:v>0.41439699878192848</c:v>
                </c:pt>
                <c:pt idx="608">
                  <c:v>0.41466928449421409</c:v>
                </c:pt>
                <c:pt idx="609">
                  <c:v>0.41494157020649969</c:v>
                </c:pt>
                <c:pt idx="610">
                  <c:v>0.41521385591878524</c:v>
                </c:pt>
                <c:pt idx="611">
                  <c:v>0.41548614163107089</c:v>
                </c:pt>
                <c:pt idx="612">
                  <c:v>0.41575842734335644</c:v>
                </c:pt>
                <c:pt idx="613">
                  <c:v>0.4160307130556421</c:v>
                </c:pt>
                <c:pt idx="614">
                  <c:v>0.41630299876792765</c:v>
                </c:pt>
                <c:pt idx="615">
                  <c:v>0.41657528448021325</c:v>
                </c:pt>
                <c:pt idx="616">
                  <c:v>0.41684757019249885</c:v>
                </c:pt>
                <c:pt idx="617">
                  <c:v>0.41711985590478445</c:v>
                </c:pt>
                <c:pt idx="618">
                  <c:v>0.41739214161707006</c:v>
                </c:pt>
                <c:pt idx="619">
                  <c:v>0.4176644273293556</c:v>
                </c:pt>
                <c:pt idx="620">
                  <c:v>0.41793671304164126</c:v>
                </c:pt>
                <c:pt idx="621">
                  <c:v>0.41820899875392681</c:v>
                </c:pt>
                <c:pt idx="622">
                  <c:v>0.41848128446621247</c:v>
                </c:pt>
                <c:pt idx="623">
                  <c:v>0.41875357017849801</c:v>
                </c:pt>
                <c:pt idx="624">
                  <c:v>0.41902585589078362</c:v>
                </c:pt>
                <c:pt idx="625">
                  <c:v>0.41929814160306922</c:v>
                </c:pt>
                <c:pt idx="626">
                  <c:v>0.41957042731535482</c:v>
                </c:pt>
                <c:pt idx="627">
                  <c:v>0.41984271302764042</c:v>
                </c:pt>
                <c:pt idx="628">
                  <c:v>0.42011499873992603</c:v>
                </c:pt>
                <c:pt idx="629">
                  <c:v>0.42038728445221163</c:v>
                </c:pt>
                <c:pt idx="630">
                  <c:v>0.42065957016449718</c:v>
                </c:pt>
                <c:pt idx="631">
                  <c:v>0.42093185587678283</c:v>
                </c:pt>
                <c:pt idx="632">
                  <c:v>0.42120414158906838</c:v>
                </c:pt>
                <c:pt idx="633">
                  <c:v>0.42147642730135404</c:v>
                </c:pt>
                <c:pt idx="634">
                  <c:v>0.42174871301363959</c:v>
                </c:pt>
                <c:pt idx="635">
                  <c:v>0.42202099872592519</c:v>
                </c:pt>
                <c:pt idx="636">
                  <c:v>0.42229328443821079</c:v>
                </c:pt>
                <c:pt idx="637">
                  <c:v>0.42256557015049639</c:v>
                </c:pt>
                <c:pt idx="638">
                  <c:v>0.422837855862782</c:v>
                </c:pt>
                <c:pt idx="639">
                  <c:v>0.42311014157506754</c:v>
                </c:pt>
                <c:pt idx="640">
                  <c:v>0.4233824272873532</c:v>
                </c:pt>
                <c:pt idx="641">
                  <c:v>0.42365471299963875</c:v>
                </c:pt>
                <c:pt idx="642">
                  <c:v>0.42392699871192441</c:v>
                </c:pt>
                <c:pt idx="643">
                  <c:v>0.42419928442420995</c:v>
                </c:pt>
                <c:pt idx="644">
                  <c:v>0.42447157013649556</c:v>
                </c:pt>
                <c:pt idx="645">
                  <c:v>0.42474385584878116</c:v>
                </c:pt>
                <c:pt idx="646">
                  <c:v>0.42501614156106676</c:v>
                </c:pt>
                <c:pt idx="647">
                  <c:v>0.42528842727335237</c:v>
                </c:pt>
                <c:pt idx="648">
                  <c:v>0.42556071298563791</c:v>
                </c:pt>
                <c:pt idx="649">
                  <c:v>0.42583299869792357</c:v>
                </c:pt>
                <c:pt idx="650">
                  <c:v>0.42610528441020912</c:v>
                </c:pt>
                <c:pt idx="651">
                  <c:v>0.42637757012249478</c:v>
                </c:pt>
                <c:pt idx="652">
                  <c:v>0.42664985583478032</c:v>
                </c:pt>
                <c:pt idx="653">
                  <c:v>0.42692214154706593</c:v>
                </c:pt>
                <c:pt idx="654">
                  <c:v>0.42719442725935153</c:v>
                </c:pt>
                <c:pt idx="655">
                  <c:v>0.42746671297163713</c:v>
                </c:pt>
                <c:pt idx="656">
                  <c:v>0.42773899868392273</c:v>
                </c:pt>
                <c:pt idx="657">
                  <c:v>0.42801128439620834</c:v>
                </c:pt>
                <c:pt idx="658">
                  <c:v>0.42828357010849394</c:v>
                </c:pt>
                <c:pt idx="659">
                  <c:v>0.42855585582077949</c:v>
                </c:pt>
                <c:pt idx="660">
                  <c:v>0.42882814153306514</c:v>
                </c:pt>
                <c:pt idx="661">
                  <c:v>0.42910042724535069</c:v>
                </c:pt>
                <c:pt idx="662">
                  <c:v>0.42937271295763635</c:v>
                </c:pt>
                <c:pt idx="663">
                  <c:v>0.4296449986699219</c:v>
                </c:pt>
                <c:pt idx="664">
                  <c:v>0.4299172843822075</c:v>
                </c:pt>
                <c:pt idx="665">
                  <c:v>0.4301895700944931</c:v>
                </c:pt>
                <c:pt idx="666">
                  <c:v>0.4304618558067787</c:v>
                </c:pt>
                <c:pt idx="667">
                  <c:v>0.43073414151906431</c:v>
                </c:pt>
                <c:pt idx="668">
                  <c:v>0.43100642723134985</c:v>
                </c:pt>
                <c:pt idx="669">
                  <c:v>0.43127871294363551</c:v>
                </c:pt>
                <c:pt idx="670">
                  <c:v>0.43155099865592106</c:v>
                </c:pt>
                <c:pt idx="671">
                  <c:v>0.43182328436820672</c:v>
                </c:pt>
                <c:pt idx="672">
                  <c:v>0.43209557008049226</c:v>
                </c:pt>
                <c:pt idx="673">
                  <c:v>0.43236785579277787</c:v>
                </c:pt>
                <c:pt idx="674">
                  <c:v>0.43264014150506347</c:v>
                </c:pt>
                <c:pt idx="675">
                  <c:v>0.43291242721734907</c:v>
                </c:pt>
                <c:pt idx="676">
                  <c:v>0.43318471292963467</c:v>
                </c:pt>
                <c:pt idx="677">
                  <c:v>0.43345699864192022</c:v>
                </c:pt>
                <c:pt idx="678">
                  <c:v>0.43372928435420588</c:v>
                </c:pt>
                <c:pt idx="679">
                  <c:v>0.43400157006649143</c:v>
                </c:pt>
                <c:pt idx="680">
                  <c:v>0.43427385577877708</c:v>
                </c:pt>
                <c:pt idx="681">
                  <c:v>0.43454614149106263</c:v>
                </c:pt>
                <c:pt idx="682">
                  <c:v>0.43481842720334823</c:v>
                </c:pt>
                <c:pt idx="683">
                  <c:v>0.43509071291563384</c:v>
                </c:pt>
                <c:pt idx="684">
                  <c:v>0.43536299862791944</c:v>
                </c:pt>
                <c:pt idx="685">
                  <c:v>0.43563528434020504</c:v>
                </c:pt>
                <c:pt idx="686">
                  <c:v>0.43590757005249064</c:v>
                </c:pt>
                <c:pt idx="687">
                  <c:v>0.43617985576477625</c:v>
                </c:pt>
                <c:pt idx="688">
                  <c:v>0.43645214147706179</c:v>
                </c:pt>
                <c:pt idx="689">
                  <c:v>0.43672442718934745</c:v>
                </c:pt>
                <c:pt idx="690">
                  <c:v>0.436996712901633</c:v>
                </c:pt>
                <c:pt idx="691">
                  <c:v>0.43726899861391866</c:v>
                </c:pt>
                <c:pt idx="692">
                  <c:v>0.43754128432620421</c:v>
                </c:pt>
                <c:pt idx="693">
                  <c:v>0.43781357003848981</c:v>
                </c:pt>
                <c:pt idx="694">
                  <c:v>0.43808585575077541</c:v>
                </c:pt>
                <c:pt idx="695">
                  <c:v>0.43835814146306101</c:v>
                </c:pt>
                <c:pt idx="696">
                  <c:v>0.43863042717534662</c:v>
                </c:pt>
                <c:pt idx="697">
                  <c:v>0.43890271288763216</c:v>
                </c:pt>
                <c:pt idx="698">
                  <c:v>0.43917499859991782</c:v>
                </c:pt>
                <c:pt idx="699">
                  <c:v>0.43944728431220337</c:v>
                </c:pt>
                <c:pt idx="700">
                  <c:v>0.43971957002448903</c:v>
                </c:pt>
                <c:pt idx="701">
                  <c:v>0.43999185573677457</c:v>
                </c:pt>
                <c:pt idx="702">
                  <c:v>0.44026414144906018</c:v>
                </c:pt>
                <c:pt idx="703">
                  <c:v>0.44053642716134578</c:v>
                </c:pt>
                <c:pt idx="704">
                  <c:v>0.44080871287363138</c:v>
                </c:pt>
                <c:pt idx="705">
                  <c:v>0.44108099858591698</c:v>
                </c:pt>
                <c:pt idx="706">
                  <c:v>0.44135328429820253</c:v>
                </c:pt>
                <c:pt idx="707">
                  <c:v>0.44162557001048819</c:v>
                </c:pt>
                <c:pt idx="708">
                  <c:v>0.44189785572277374</c:v>
                </c:pt>
                <c:pt idx="709">
                  <c:v>0.44217014143505939</c:v>
                </c:pt>
                <c:pt idx="710">
                  <c:v>0.44244242714734494</c:v>
                </c:pt>
                <c:pt idx="711">
                  <c:v>0.44271471285963054</c:v>
                </c:pt>
                <c:pt idx="712">
                  <c:v>0.44298699857191615</c:v>
                </c:pt>
                <c:pt idx="713">
                  <c:v>0.44325928428420175</c:v>
                </c:pt>
                <c:pt idx="714">
                  <c:v>0.44353156999648735</c:v>
                </c:pt>
                <c:pt idx="715">
                  <c:v>0.44380385570877295</c:v>
                </c:pt>
                <c:pt idx="716">
                  <c:v>0.44407614142105856</c:v>
                </c:pt>
                <c:pt idx="717">
                  <c:v>0.4443484271333441</c:v>
                </c:pt>
                <c:pt idx="718">
                  <c:v>0.44462071284562976</c:v>
                </c:pt>
                <c:pt idx="719">
                  <c:v>0.44489299855791531</c:v>
                </c:pt>
                <c:pt idx="720">
                  <c:v>0.44516528427020097</c:v>
                </c:pt>
                <c:pt idx="721">
                  <c:v>0.44543756998248651</c:v>
                </c:pt>
                <c:pt idx="722">
                  <c:v>0.44570985569477212</c:v>
                </c:pt>
                <c:pt idx="723">
                  <c:v>0.44598214140705772</c:v>
                </c:pt>
                <c:pt idx="724">
                  <c:v>0.44625442711934332</c:v>
                </c:pt>
                <c:pt idx="725">
                  <c:v>0.44652671283162892</c:v>
                </c:pt>
                <c:pt idx="726">
                  <c:v>0.44679899854391447</c:v>
                </c:pt>
                <c:pt idx="727">
                  <c:v>0.44707128425620013</c:v>
                </c:pt>
                <c:pt idx="728">
                  <c:v>0.44734356996848568</c:v>
                </c:pt>
                <c:pt idx="729">
                  <c:v>0.44761585568077134</c:v>
                </c:pt>
                <c:pt idx="730">
                  <c:v>0.44788814139305688</c:v>
                </c:pt>
                <c:pt idx="731">
                  <c:v>0.44816042710534248</c:v>
                </c:pt>
                <c:pt idx="732">
                  <c:v>0.44843271281762809</c:v>
                </c:pt>
                <c:pt idx="733">
                  <c:v>0.44870499852991369</c:v>
                </c:pt>
                <c:pt idx="734">
                  <c:v>0.44897728424219929</c:v>
                </c:pt>
                <c:pt idx="735">
                  <c:v>0.44924956995448484</c:v>
                </c:pt>
                <c:pt idx="736">
                  <c:v>0.4495218556667705</c:v>
                </c:pt>
                <c:pt idx="737">
                  <c:v>0.44979414137905604</c:v>
                </c:pt>
                <c:pt idx="738">
                  <c:v>0.4500664270913417</c:v>
                </c:pt>
                <c:pt idx="739">
                  <c:v>0.45033871280362725</c:v>
                </c:pt>
                <c:pt idx="740">
                  <c:v>0.45061099851591285</c:v>
                </c:pt>
                <c:pt idx="741">
                  <c:v>0.45088328422819846</c:v>
                </c:pt>
                <c:pt idx="742">
                  <c:v>0.45115556994048406</c:v>
                </c:pt>
                <c:pt idx="743">
                  <c:v>0.45142785565276966</c:v>
                </c:pt>
                <c:pt idx="744">
                  <c:v>0.45170014136505526</c:v>
                </c:pt>
                <c:pt idx="745">
                  <c:v>0.45197242707734087</c:v>
                </c:pt>
                <c:pt idx="746">
                  <c:v>0.45224471278962641</c:v>
                </c:pt>
                <c:pt idx="747">
                  <c:v>0.45251699850191207</c:v>
                </c:pt>
                <c:pt idx="748">
                  <c:v>0.45278928421419762</c:v>
                </c:pt>
                <c:pt idx="749">
                  <c:v>0.45306156992648328</c:v>
                </c:pt>
                <c:pt idx="750">
                  <c:v>0.45333385563876882</c:v>
                </c:pt>
                <c:pt idx="751">
                  <c:v>0.45360614135105443</c:v>
                </c:pt>
                <c:pt idx="752">
                  <c:v>0.45387842706334003</c:v>
                </c:pt>
                <c:pt idx="753">
                  <c:v>0.45415071277562563</c:v>
                </c:pt>
                <c:pt idx="754">
                  <c:v>0.45442299848791123</c:v>
                </c:pt>
                <c:pt idx="755">
                  <c:v>0.45469528420019678</c:v>
                </c:pt>
                <c:pt idx="756">
                  <c:v>0.45496756991248244</c:v>
                </c:pt>
                <c:pt idx="757">
                  <c:v>0.45523985562476799</c:v>
                </c:pt>
                <c:pt idx="758">
                  <c:v>0.45551214133705364</c:v>
                </c:pt>
                <c:pt idx="759">
                  <c:v>0.45578442704933919</c:v>
                </c:pt>
                <c:pt idx="760">
                  <c:v>0.45605671276162479</c:v>
                </c:pt>
                <c:pt idx="761">
                  <c:v>0.4563289984739104</c:v>
                </c:pt>
                <c:pt idx="762">
                  <c:v>0.456601284186196</c:v>
                </c:pt>
                <c:pt idx="763">
                  <c:v>0.4568735698984816</c:v>
                </c:pt>
                <c:pt idx="764">
                  <c:v>0.45714585561076715</c:v>
                </c:pt>
                <c:pt idx="765">
                  <c:v>0.45741814132305281</c:v>
                </c:pt>
                <c:pt idx="766">
                  <c:v>0.45769042703533835</c:v>
                </c:pt>
                <c:pt idx="767">
                  <c:v>0.45796271274762401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E2-4AA7-B8B1-96AA7A65E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54864"/>
        <c:axId val="1613921887"/>
      </c:scatterChart>
      <c:valAx>
        <c:axId val="29095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W/S (N/m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13921887"/>
        <c:crosses val="autoZero"/>
        <c:crossBetween val="midCat"/>
      </c:valAx>
      <c:valAx>
        <c:axId val="161392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T/W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29095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214312</xdr:colOff>
      <xdr:row>13</xdr:row>
      <xdr:rowOff>33337</xdr:rowOff>
    </xdr:from>
    <xdr:ext cx="65" cy="1638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A73D05-1725-DA2A-B49E-92E6BC6F17A5}"/>
            </a:ext>
          </a:extLst>
        </xdr:cNvPr>
        <xdr:cNvSpPr txBox="1"/>
      </xdr:nvSpPr>
      <xdr:spPr>
        <a:xfrm>
          <a:off x="8443912" y="3138487"/>
          <a:ext cx="65" cy="163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sv-SE" sz="1100"/>
        </a:p>
      </xdr:txBody>
    </xdr:sp>
    <xdr:clientData/>
  </xdr:oneCellAnchor>
  <xdr:twoCellAnchor>
    <xdr:from>
      <xdr:col>19</xdr:col>
      <xdr:colOff>639193</xdr:colOff>
      <xdr:row>35</xdr:row>
      <xdr:rowOff>140114</xdr:rowOff>
    </xdr:from>
    <xdr:to>
      <xdr:col>24</xdr:col>
      <xdr:colOff>604957</xdr:colOff>
      <xdr:row>51</xdr:row>
      <xdr:rowOff>124126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9C03A9-0538-ECA1-75BC-C2F45CD18B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13</xdr:row>
      <xdr:rowOff>28575</xdr:rowOff>
    </xdr:from>
    <xdr:to>
      <xdr:col>34</xdr:col>
      <xdr:colOff>266700</xdr:colOff>
      <xdr:row>26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ECE29FC-25AF-4CC1-81E2-A1AAA2676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407485</xdr:colOff>
      <xdr:row>41</xdr:row>
      <xdr:rowOff>151006</xdr:rowOff>
    </xdr:from>
    <xdr:to>
      <xdr:col>34</xdr:col>
      <xdr:colOff>178885</xdr:colOff>
      <xdr:row>56</xdr:row>
      <xdr:rowOff>41353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E5B63F-856F-4455-89CF-860CAFD6B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454412</xdr:colOff>
      <xdr:row>55</xdr:row>
      <xdr:rowOff>73759</xdr:rowOff>
    </xdr:from>
    <xdr:to>
      <xdr:col>34</xdr:col>
      <xdr:colOff>225812</xdr:colOff>
      <xdr:row>69</xdr:row>
      <xdr:rowOff>145313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458108-02B0-BF8D-72B5-A09D6B829E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335280</xdr:colOff>
      <xdr:row>16</xdr:row>
      <xdr:rowOff>7620</xdr:rowOff>
    </xdr:from>
    <xdr:to>
      <xdr:col>22</xdr:col>
      <xdr:colOff>124917</xdr:colOff>
      <xdr:row>46</xdr:row>
      <xdr:rowOff>62459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1F34F3-35A1-4E3A-B1E9-884926381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123825</xdr:colOff>
      <xdr:row>5</xdr:row>
      <xdr:rowOff>28575</xdr:rowOff>
    </xdr:from>
    <xdr:to>
      <xdr:col>18</xdr:col>
      <xdr:colOff>504825</xdr:colOff>
      <xdr:row>21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5937A3-35FA-F52D-62F1-43C8F5E24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981075"/>
          <a:ext cx="5867400" cy="346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853D-0307-47C4-9441-18DBE5369851}">
  <sheetPr codeName="Sheet1"/>
  <dimension ref="A1:XFD159"/>
  <sheetViews>
    <sheetView tabSelected="1" topLeftCell="C23" zoomScale="82" zoomScaleNormal="82" workbookViewId="0">
      <selection activeCell="Q28" sqref="Q28"/>
    </sheetView>
  </sheetViews>
  <sheetFormatPr defaultColWidth="9" defaultRowHeight="14.4" outlineLevelRow="1" x14ac:dyDescent="0.3"/>
  <cols>
    <col min="1" max="2" width="9" style="20"/>
    <col min="3" max="3" width="11.88671875" style="20" bestFit="1" customWidth="1"/>
    <col min="4" max="4" width="11" style="20" bestFit="1" customWidth="1"/>
    <col min="5" max="5" width="11.44140625" style="21" customWidth="1"/>
    <col min="6" max="6" width="10.109375" style="22" bestFit="1" customWidth="1"/>
    <col min="7" max="7" width="11.88671875" style="20" bestFit="1" customWidth="1"/>
    <col min="8" max="8" width="14.21875" style="20" bestFit="1" customWidth="1"/>
    <col min="9" max="9" width="9.88671875" style="20" bestFit="1" customWidth="1"/>
    <col min="10" max="10" width="9" style="23"/>
    <col min="11" max="11" width="10.77734375" style="20" customWidth="1"/>
    <col min="12" max="12" width="9" style="20"/>
    <col min="13" max="13" width="9.21875" style="20" bestFit="1" customWidth="1"/>
    <col min="14" max="14" width="11.77734375" style="20" bestFit="1" customWidth="1"/>
    <col min="15" max="15" width="10.109375" style="20" bestFit="1" customWidth="1"/>
    <col min="16" max="19" width="9" style="20"/>
    <col min="20" max="20" width="13.21875" style="20" bestFit="1" customWidth="1"/>
    <col min="21" max="21" width="16.88671875" style="20" bestFit="1" customWidth="1"/>
    <col min="22" max="22" width="12.109375" style="20" bestFit="1" customWidth="1"/>
    <col min="23" max="16384" width="9" style="20"/>
  </cols>
  <sheetData>
    <row r="1" spans="1:27" s="11" customFormat="1" ht="36.6" outlineLevel="1" x14ac:dyDescent="0.3">
      <c r="A1" s="6" t="s">
        <v>28</v>
      </c>
      <c r="B1" s="6"/>
      <c r="C1" s="6"/>
      <c r="D1" s="6"/>
      <c r="E1" s="7"/>
      <c r="F1" s="8"/>
      <c r="G1" s="9"/>
      <c r="H1" s="10" t="s">
        <v>38</v>
      </c>
      <c r="N1" s="45"/>
      <c r="O1" s="44" t="s">
        <v>107</v>
      </c>
      <c r="P1" s="43"/>
      <c r="Q1" s="43"/>
      <c r="R1" s="43"/>
      <c r="S1" s="43"/>
      <c r="T1" s="43"/>
      <c r="U1" s="43"/>
      <c r="V1" s="43"/>
      <c r="W1" s="43"/>
      <c r="X1" s="43"/>
    </row>
    <row r="2" spans="1:27" s="3" customFormat="1" ht="18" x14ac:dyDescent="0.35">
      <c r="E2" s="12"/>
      <c r="F2" s="13"/>
      <c r="G2" s="14"/>
      <c r="J2" s="15"/>
      <c r="N2" s="18"/>
      <c r="O2" s="46" t="s">
        <v>119</v>
      </c>
      <c r="U2" s="46" t="s">
        <v>120</v>
      </c>
    </row>
    <row r="3" spans="1:27" s="3" customFormat="1" ht="18" x14ac:dyDescent="0.35">
      <c r="A3" s="16" t="s">
        <v>50</v>
      </c>
      <c r="D3" s="2" t="s">
        <v>51</v>
      </c>
      <c r="E3" s="26">
        <v>600</v>
      </c>
      <c r="F3" s="5" t="s">
        <v>8</v>
      </c>
      <c r="G3" s="14"/>
      <c r="H3" s="16" t="s">
        <v>71</v>
      </c>
      <c r="J3" s="2" t="s">
        <v>72</v>
      </c>
      <c r="K3" s="26">
        <v>150</v>
      </c>
      <c r="L3" s="4" t="s">
        <v>22</v>
      </c>
      <c r="N3" s="18"/>
      <c r="O3" s="16" t="s">
        <v>112</v>
      </c>
      <c r="S3" s="26">
        <v>57.6</v>
      </c>
      <c r="T3" s="5" t="s">
        <v>98</v>
      </c>
      <c r="U3" s="16" t="s">
        <v>122</v>
      </c>
      <c r="W3" s="26">
        <v>0.29099999999999998</v>
      </c>
      <c r="X3" s="5" t="s">
        <v>123</v>
      </c>
    </row>
    <row r="4" spans="1:27" s="3" customFormat="1" ht="25.8" x14ac:dyDescent="0.35">
      <c r="A4" s="16" t="s">
        <v>29</v>
      </c>
      <c r="B4" s="5"/>
      <c r="C4" s="5"/>
      <c r="D4" s="2" t="s">
        <v>33</v>
      </c>
      <c r="E4" s="28">
        <f>E3*9.8</f>
        <v>5880</v>
      </c>
      <c r="F4" s="5" t="s">
        <v>30</v>
      </c>
      <c r="G4" s="18"/>
      <c r="H4" s="16" t="s">
        <v>43</v>
      </c>
      <c r="J4" s="2" t="s">
        <v>40</v>
      </c>
      <c r="K4" s="30">
        <v>3000</v>
      </c>
      <c r="L4" s="4" t="s">
        <v>2</v>
      </c>
      <c r="M4" s="49">
        <f>K4/0.3048</f>
        <v>9842.5196850393695</v>
      </c>
      <c r="N4" s="4" t="s">
        <v>129</v>
      </c>
      <c r="O4" s="16" t="s">
        <v>108</v>
      </c>
      <c r="S4" s="26">
        <v>49.2</v>
      </c>
      <c r="T4" s="5" t="s">
        <v>98</v>
      </c>
      <c r="U4" s="16" t="s">
        <v>121</v>
      </c>
      <c r="W4" s="26">
        <v>21</v>
      </c>
      <c r="X4" s="5" t="s">
        <v>11</v>
      </c>
    </row>
    <row r="5" spans="1:27" s="3" customFormat="1" ht="19.8" x14ac:dyDescent="0.35">
      <c r="A5" s="16" t="s">
        <v>31</v>
      </c>
      <c r="B5" s="5"/>
      <c r="C5" s="5"/>
      <c r="D5" s="2" t="s">
        <v>32</v>
      </c>
      <c r="E5" s="26">
        <v>9.51</v>
      </c>
      <c r="F5" s="5" t="s">
        <v>54</v>
      </c>
      <c r="G5" s="18"/>
      <c r="H5" s="16" t="s">
        <v>44</v>
      </c>
      <c r="J5" s="2" t="s">
        <v>39</v>
      </c>
      <c r="K5" s="24" cm="1">
        <f t="array" ref="K5">atmos(K4,2)</f>
        <v>0.7421257495880127</v>
      </c>
      <c r="L5" s="5" t="s">
        <v>7</v>
      </c>
      <c r="N5" s="18"/>
      <c r="O5" s="16" t="s">
        <v>118</v>
      </c>
      <c r="S5" s="26">
        <v>20</v>
      </c>
      <c r="T5" s="5" t="s">
        <v>98</v>
      </c>
      <c r="U5" s="16" t="s">
        <v>124</v>
      </c>
      <c r="W5" s="26">
        <v>345</v>
      </c>
      <c r="X5" s="5" t="s">
        <v>125</v>
      </c>
    </row>
    <row r="6" spans="1:27" s="3" customFormat="1" ht="19.8" x14ac:dyDescent="0.35">
      <c r="A6" s="16" t="s">
        <v>35</v>
      </c>
      <c r="B6" s="5"/>
      <c r="C6" s="5"/>
      <c r="D6" s="2" t="s">
        <v>36</v>
      </c>
      <c r="E6" s="26">
        <v>10.7</v>
      </c>
      <c r="F6" s="5" t="s">
        <v>2</v>
      </c>
      <c r="G6" s="18"/>
      <c r="H6" s="16" t="s">
        <v>45</v>
      </c>
      <c r="J6" s="2" t="s">
        <v>53</v>
      </c>
      <c r="K6" s="24" cm="1">
        <f t="array" ref="K6">atmos(K4,12)</f>
        <v>0.90910404920578003</v>
      </c>
      <c r="L6" s="5" t="s">
        <v>52</v>
      </c>
      <c r="N6" s="18"/>
      <c r="O6" s="16" t="s">
        <v>113</v>
      </c>
      <c r="S6" s="26">
        <v>2500</v>
      </c>
      <c r="T6" s="5" t="s">
        <v>111</v>
      </c>
      <c r="U6" s="16"/>
    </row>
    <row r="7" spans="1:27" s="3" customFormat="1" ht="18" x14ac:dyDescent="0.35">
      <c r="A7" s="16" t="s">
        <v>34</v>
      </c>
      <c r="B7" s="5"/>
      <c r="C7" s="5"/>
      <c r="D7" s="19" t="s">
        <v>37</v>
      </c>
      <c r="E7" s="27">
        <f>E6^2 / E5</f>
        <v>12.038906414300735</v>
      </c>
      <c r="F7" s="5" t="s">
        <v>7</v>
      </c>
      <c r="G7" s="18"/>
      <c r="H7" s="16" t="s">
        <v>46</v>
      </c>
      <c r="J7" s="2" t="s">
        <v>42</v>
      </c>
      <c r="K7" s="25" cm="1">
        <f t="array" ref="K7">atmos(K4,10)</f>
        <v>268.64974975585938</v>
      </c>
      <c r="L7" s="5" t="s">
        <v>48</v>
      </c>
      <c r="N7" s="18"/>
      <c r="O7" s="16" t="s">
        <v>110</v>
      </c>
      <c r="S7" s="26">
        <v>2350</v>
      </c>
      <c r="T7" s="5" t="s">
        <v>111</v>
      </c>
      <c r="U7" s="16"/>
    </row>
    <row r="8" spans="1:27" s="3" customFormat="1" ht="18" x14ac:dyDescent="0.35">
      <c r="A8" s="16"/>
      <c r="B8" s="5"/>
      <c r="C8" s="5"/>
      <c r="D8" s="5"/>
      <c r="E8" s="2"/>
      <c r="F8" s="17"/>
      <c r="G8" s="18"/>
      <c r="H8" s="16" t="s">
        <v>47</v>
      </c>
      <c r="J8" s="2" t="s">
        <v>41</v>
      </c>
      <c r="K8" s="27" cm="1">
        <f t="array" ref="K8">atmos(K4,13)</f>
        <v>328.49026489257813</v>
      </c>
      <c r="L8" s="5" t="s">
        <v>49</v>
      </c>
      <c r="N8" s="18"/>
      <c r="O8" s="16"/>
      <c r="S8" s="47"/>
      <c r="T8" s="5"/>
    </row>
    <row r="9" spans="1:27" s="3" customFormat="1" ht="20.399999999999999" x14ac:dyDescent="0.45">
      <c r="A9" s="5" t="s">
        <v>56</v>
      </c>
      <c r="B9" s="5"/>
      <c r="C9" s="5"/>
      <c r="D9" s="2" t="s">
        <v>60</v>
      </c>
      <c r="E9" s="26">
        <v>0.2</v>
      </c>
      <c r="F9" s="29" t="s">
        <v>7</v>
      </c>
      <c r="G9" s="18"/>
      <c r="H9" s="16" t="s">
        <v>76</v>
      </c>
      <c r="J9" s="2" t="s">
        <v>69</v>
      </c>
      <c r="K9" s="24" cm="1">
        <f t="array" ref="K9">KCASConv(K4,K3,0)</f>
        <v>0.26275888085365295</v>
      </c>
      <c r="L9" s="5" t="s">
        <v>7</v>
      </c>
      <c r="N9" s="18"/>
      <c r="O9" s="46" t="s">
        <v>117</v>
      </c>
      <c r="S9" s="47"/>
      <c r="T9" s="5"/>
      <c r="U9" s="46" t="s">
        <v>173</v>
      </c>
    </row>
    <row r="10" spans="1:27" s="3" customFormat="1" ht="20.399999999999999" x14ac:dyDescent="0.35">
      <c r="A10" s="5" t="s">
        <v>55</v>
      </c>
      <c r="B10" s="5"/>
      <c r="C10" s="5"/>
      <c r="D10" s="2" t="s">
        <v>59</v>
      </c>
      <c r="E10" s="27">
        <f>2*PI()*E7/(2+SQRT(4+E7^2))</f>
        <v>5.3254852348343364</v>
      </c>
      <c r="F10" s="29" t="s">
        <v>89</v>
      </c>
      <c r="G10" s="18"/>
      <c r="H10" s="16" t="s">
        <v>77</v>
      </c>
      <c r="I10" s="3" t="s">
        <v>70</v>
      </c>
      <c r="J10" s="2" t="s">
        <v>73</v>
      </c>
      <c r="K10" s="24" cm="1">
        <f t="array" ref="K10">atmos(K4,1)</f>
        <v>0.69190311431884766</v>
      </c>
      <c r="L10" s="5" t="s">
        <v>7</v>
      </c>
      <c r="N10" s="18"/>
      <c r="O10" s="16" t="s">
        <v>109</v>
      </c>
      <c r="S10" s="26">
        <v>4.88</v>
      </c>
      <c r="T10" s="5" t="s">
        <v>8</v>
      </c>
      <c r="W10" s="2" t="s">
        <v>174</v>
      </c>
      <c r="X10" s="26">
        <v>1</v>
      </c>
      <c r="Y10" s="3" t="s">
        <v>7</v>
      </c>
    </row>
    <row r="11" spans="1:27" s="3" customFormat="1" ht="20.399999999999999" x14ac:dyDescent="0.45">
      <c r="A11" s="5" t="s">
        <v>57</v>
      </c>
      <c r="B11" s="5"/>
      <c r="C11" s="5"/>
      <c r="D11" s="2" t="s">
        <v>58</v>
      </c>
      <c r="E11" s="26">
        <v>0.2</v>
      </c>
      <c r="F11" s="29" t="s">
        <v>7</v>
      </c>
      <c r="G11" s="18"/>
      <c r="J11" s="15"/>
      <c r="N11" s="18"/>
      <c r="O11" s="16" t="s">
        <v>114</v>
      </c>
      <c r="S11" s="26">
        <v>1.64</v>
      </c>
      <c r="T11" s="5" t="s">
        <v>2</v>
      </c>
      <c r="W11" s="2" t="s">
        <v>175</v>
      </c>
      <c r="X11" s="26">
        <v>1</v>
      </c>
      <c r="Y11" s="3" t="s">
        <v>7</v>
      </c>
    </row>
    <row r="12" spans="1:27" s="3" customFormat="1" ht="20.399999999999999" x14ac:dyDescent="0.35">
      <c r="A12" s="5" t="s">
        <v>61</v>
      </c>
      <c r="B12" s="5"/>
      <c r="C12" s="5"/>
      <c r="D12" s="2" t="s">
        <v>62</v>
      </c>
      <c r="E12" s="26">
        <v>0.03</v>
      </c>
      <c r="F12" s="29" t="s">
        <v>7</v>
      </c>
      <c r="G12" s="18"/>
      <c r="J12" s="15"/>
      <c r="N12" s="18"/>
      <c r="O12" s="16" t="s">
        <v>115</v>
      </c>
      <c r="S12" s="26">
        <v>220</v>
      </c>
      <c r="T12" s="5" t="s">
        <v>116</v>
      </c>
      <c r="W12" s="2" t="s">
        <v>177</v>
      </c>
      <c r="X12" s="26">
        <v>0.9</v>
      </c>
      <c r="Y12" s="3" t="s">
        <v>7</v>
      </c>
    </row>
    <row r="13" spans="1:27" s="3" customFormat="1" ht="18" x14ac:dyDescent="0.35">
      <c r="F13" s="29" t="s">
        <v>7</v>
      </c>
      <c r="G13" s="18"/>
      <c r="J13" s="15"/>
      <c r="N13" s="18"/>
      <c r="O13" s="16"/>
      <c r="W13" s="2" t="s">
        <v>176</v>
      </c>
      <c r="X13" s="26">
        <v>0.75</v>
      </c>
      <c r="Y13" s="3" t="s">
        <v>7</v>
      </c>
    </row>
    <row r="14" spans="1:27" s="3" customFormat="1" ht="20.399999999999999" x14ac:dyDescent="0.35">
      <c r="D14" s="2" t="s">
        <v>161</v>
      </c>
      <c r="E14" s="26">
        <v>0.7</v>
      </c>
      <c r="F14" s="29" t="s">
        <v>7</v>
      </c>
      <c r="G14" s="18"/>
      <c r="H14" s="26" t="s">
        <v>74</v>
      </c>
      <c r="J14" s="15"/>
      <c r="N14" s="18"/>
      <c r="O14" s="16"/>
      <c r="W14" s="2" t="s">
        <v>178</v>
      </c>
      <c r="X14" s="24">
        <f>X10*X11*X12*X13</f>
        <v>0.67500000000000004</v>
      </c>
      <c r="Y14" s="3" t="s">
        <v>7</v>
      </c>
    </row>
    <row r="15" spans="1:27" s="3" customFormat="1" ht="20.399999999999999" x14ac:dyDescent="0.35">
      <c r="D15" s="2" t="s">
        <v>159</v>
      </c>
      <c r="E15" s="26">
        <v>2</v>
      </c>
      <c r="F15" s="3" t="s">
        <v>7</v>
      </c>
      <c r="G15" s="18"/>
      <c r="H15" s="28" t="s">
        <v>75</v>
      </c>
      <c r="J15" s="15"/>
      <c r="N15" s="18"/>
      <c r="O15" s="16"/>
    </row>
    <row r="16" spans="1:27" ht="20.399999999999999" x14ac:dyDescent="0.35">
      <c r="A16" s="3"/>
      <c r="B16" s="3"/>
      <c r="C16" s="3"/>
      <c r="D16" s="2" t="s">
        <v>162</v>
      </c>
      <c r="E16" s="26">
        <v>0.04</v>
      </c>
      <c r="F16" s="3" t="s">
        <v>7</v>
      </c>
      <c r="G16" s="18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38 16384:16384" ht="20.399999999999999" x14ac:dyDescent="0.35">
      <c r="A17" s="3"/>
      <c r="B17" s="3"/>
      <c r="C17" s="3"/>
      <c r="D17" s="2" t="s">
        <v>163</v>
      </c>
      <c r="E17" s="26">
        <v>0.1</v>
      </c>
      <c r="F17" s="3" t="s">
        <v>7</v>
      </c>
      <c r="G17" s="18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38 16384:16384" ht="18" x14ac:dyDescent="0.35">
      <c r="A18" s="3"/>
      <c r="B18" s="3"/>
      <c r="C18" s="3"/>
      <c r="D18" s="3"/>
      <c r="E18" s="3"/>
      <c r="F18" s="3"/>
      <c r="G18" s="18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38 16384:16384" s="3" customFormat="1" ht="18" x14ac:dyDescent="0.35">
      <c r="D19" s="12" t="s">
        <v>180</v>
      </c>
      <c r="E19" s="26">
        <v>45</v>
      </c>
      <c r="F19" s="3" t="s">
        <v>22</v>
      </c>
    </row>
    <row r="20" spans="1:38 16384:16384" s="3" customFormat="1" ht="21.75" customHeight="1" x14ac:dyDescent="0.35">
      <c r="D20" s="12" t="s">
        <v>179</v>
      </c>
      <c r="E20" s="27">
        <f>E19*1.1</f>
        <v>49.500000000000007</v>
      </c>
      <c r="F20" s="3" t="s">
        <v>22</v>
      </c>
    </row>
    <row r="21" spans="1:38 16384:16384" x14ac:dyDescent="0.3">
      <c r="XFD21" s="3"/>
    </row>
    <row r="22" spans="1:38 16384:16384" ht="18" x14ac:dyDescent="0.35">
      <c r="A22" s="5" t="s">
        <v>91</v>
      </c>
      <c r="B22" s="5"/>
      <c r="C22" s="5"/>
      <c r="D22" s="2" t="s">
        <v>63</v>
      </c>
      <c r="E22" s="37">
        <f>1.78*(1-0.045*E7^0.68)-0.64</f>
        <v>0.70505764441477592</v>
      </c>
      <c r="K22" s="20" t="s">
        <v>181</v>
      </c>
    </row>
    <row r="23" spans="1:38 16384:16384" ht="18" x14ac:dyDescent="0.35">
      <c r="A23" s="5" t="s">
        <v>151</v>
      </c>
      <c r="B23" s="5"/>
      <c r="C23" s="5"/>
      <c r="D23" s="2" t="s">
        <v>164</v>
      </c>
      <c r="E23" s="37">
        <f>1/(PI()*$E$7*E22)</f>
        <v>3.750062131126182E-2</v>
      </c>
    </row>
    <row r="26" spans="1:38 16384:16384" x14ac:dyDescent="0.3">
      <c r="T26" s="38" t="s">
        <v>102</v>
      </c>
      <c r="U26" s="38" t="s">
        <v>103</v>
      </c>
      <c r="V26" s="20" t="s">
        <v>105</v>
      </c>
    </row>
    <row r="27" spans="1:38 16384:16384" ht="20.399999999999999" x14ac:dyDescent="0.3">
      <c r="A27" s="35" t="s">
        <v>78</v>
      </c>
      <c r="B27" s="35" t="s">
        <v>79</v>
      </c>
      <c r="C27" s="35" t="s">
        <v>80</v>
      </c>
      <c r="D27" s="35" t="s">
        <v>81</v>
      </c>
      <c r="E27" s="35" t="s">
        <v>82</v>
      </c>
      <c r="F27" s="35" t="s">
        <v>68</v>
      </c>
      <c r="G27" s="35" t="s">
        <v>83</v>
      </c>
      <c r="H27" s="35" t="s">
        <v>85</v>
      </c>
      <c r="I27" s="35" t="s">
        <v>86</v>
      </c>
      <c r="J27" s="35" t="s">
        <v>88</v>
      </c>
      <c r="K27" s="35" t="s">
        <v>90</v>
      </c>
      <c r="L27" s="35" t="s">
        <v>92</v>
      </c>
      <c r="M27" s="35" t="s">
        <v>93</v>
      </c>
      <c r="N27" s="35" t="s">
        <v>94</v>
      </c>
      <c r="O27" s="35" t="s">
        <v>95</v>
      </c>
      <c r="P27" s="35" t="s">
        <v>96</v>
      </c>
      <c r="Q27" s="35" t="s">
        <v>97</v>
      </c>
      <c r="R27" s="35" t="s">
        <v>99</v>
      </c>
      <c r="S27" s="35"/>
      <c r="T27" s="35" t="s">
        <v>100</v>
      </c>
      <c r="U27" s="35" t="s">
        <v>101</v>
      </c>
      <c r="V27" s="35" t="s">
        <v>106</v>
      </c>
      <c r="W27" s="35"/>
      <c r="X27" s="35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</row>
    <row r="28" spans="1:38 16384:16384" ht="15.6" x14ac:dyDescent="0.3">
      <c r="A28" s="36" t="s">
        <v>22</v>
      </c>
      <c r="B28" s="36" t="s">
        <v>64</v>
      </c>
      <c r="C28" s="36" t="s">
        <v>65</v>
      </c>
      <c r="D28" s="36" t="s">
        <v>66</v>
      </c>
      <c r="E28" s="36" t="s">
        <v>67</v>
      </c>
      <c r="F28" s="36"/>
      <c r="G28" s="36" t="s">
        <v>84</v>
      </c>
      <c r="H28" s="36"/>
      <c r="I28" s="36" t="s">
        <v>87</v>
      </c>
      <c r="J28" s="36"/>
      <c r="K28" s="36"/>
      <c r="L28" s="36"/>
      <c r="M28" s="36"/>
      <c r="N28" s="36"/>
      <c r="O28" s="36"/>
      <c r="P28" s="36" t="s">
        <v>30</v>
      </c>
      <c r="Q28" s="36" t="s">
        <v>98</v>
      </c>
      <c r="R28" s="36" t="s">
        <v>98</v>
      </c>
      <c r="S28" s="36"/>
      <c r="T28" s="36" t="s">
        <v>49</v>
      </c>
      <c r="U28" s="36" t="s">
        <v>104</v>
      </c>
      <c r="V28" s="36"/>
      <c r="W28" s="36"/>
      <c r="X28" s="36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</row>
    <row r="29" spans="1:38 16384:16384" x14ac:dyDescent="0.3">
      <c r="A29" s="22">
        <v>20</v>
      </c>
      <c r="B29" s="22" cm="1">
        <f t="array" ref="B29">KCASConv($K$4,A29,2)</f>
        <v>19.999050140380859</v>
      </c>
      <c r="C29" s="33" cm="1">
        <f t="array" ref="C29">KCASConv($K$4,A29,1)</f>
        <v>22.374570846557617</v>
      </c>
      <c r="D29" s="33">
        <f>C29/1.944</f>
        <v>11.509552904607828</v>
      </c>
      <c r="E29" s="33">
        <f>3.6*D29</f>
        <v>41.434390456588183</v>
      </c>
      <c r="F29" s="32" cm="1">
        <f t="array" ref="F29">KCASConv($K$4,A29,0)</f>
        <v>3.5109970718622208E-2</v>
      </c>
      <c r="G29" s="32">
        <f>0.5*$K$6*D29^2</f>
        <v>60.214419454232214</v>
      </c>
      <c r="H29" s="32">
        <f>$E$4/(G29*$E$5)</f>
        <v>10.268246967628896</v>
      </c>
      <c r="I29" s="32">
        <f t="shared" ref="I29:I60" si="0">(H29-$E$9)/$E$10*180/PI()</f>
        <v>108.32215899636608</v>
      </c>
      <c r="J29" s="38">
        <f t="shared" ref="J29:J60" si="1">$E$12</f>
        <v>0.03</v>
      </c>
      <c r="K29" s="39">
        <f t="shared" ref="K29:K60" si="2">$E$23*(H29-$E$11)^2</f>
        <v>3.8014228696160406</v>
      </c>
      <c r="L29" s="31">
        <f>J29+K29</f>
        <v>3.8314228696160404</v>
      </c>
      <c r="M29" s="31">
        <f>H29/L29</f>
        <v>2.6800087897000808</v>
      </c>
      <c r="N29" s="40">
        <f>H29^1.5/L29</f>
        <v>8.5878484375819735</v>
      </c>
      <c r="O29" s="40">
        <f>H29^0.5/L29</f>
        <v>0.8363500083953519</v>
      </c>
      <c r="P29" s="42">
        <f>G29*$E$5*L29</f>
        <v>2194.0226549249601</v>
      </c>
      <c r="Q29" s="41">
        <f>P29*D29/1000</f>
        <v>25.252219820766953</v>
      </c>
      <c r="T29" s="41">
        <f>-1000*Q29/$E$4</f>
        <v>-4.2945952076134271</v>
      </c>
      <c r="U29" s="40">
        <f>ASIN(T29/D29)*180/PI()</f>
        <v>-21.908974212418848</v>
      </c>
    </row>
    <row r="30" spans="1:38 16384:16384" x14ac:dyDescent="0.3">
      <c r="A30" s="22">
        <v>21</v>
      </c>
      <c r="B30" s="22" cm="1">
        <f t="array" ref="B30">KCASConv($K$4,A30,2)</f>
        <v>20.9989013671875</v>
      </c>
      <c r="C30" s="33" cm="1">
        <f t="array" ref="C30">KCASConv($K$4,A30,1)</f>
        <v>23.493204116821289</v>
      </c>
      <c r="D30" s="33">
        <f t="shared" ref="D30:D93" si="3">C30/1.944</f>
        <v>12.084981541574738</v>
      </c>
      <c r="E30" s="33">
        <f t="shared" ref="E30:E93" si="4">3.6*D30</f>
        <v>43.505933549669059</v>
      </c>
      <c r="F30" s="32" cm="1">
        <f t="array" ref="F30">KCASConv($K$4,A30,0)</f>
        <v>3.6865320056676865E-2</v>
      </c>
      <c r="G30" s="32">
        <f t="shared" ref="G30:G93" si="5">0.5*$K$6*D30^2</f>
        <v>66.38585901763544</v>
      </c>
      <c r="H30" s="32">
        <f t="shared" ref="H30:H93" si="6">$E$4/(G30*$E$5)</f>
        <v>9.3136782308443635</v>
      </c>
      <c r="I30" s="32">
        <f t="shared" si="0"/>
        <v>98.052154018201975</v>
      </c>
      <c r="J30" s="38">
        <f t="shared" si="1"/>
        <v>0.03</v>
      </c>
      <c r="K30" s="39">
        <f t="shared" si="2"/>
        <v>3.1147690141496649</v>
      </c>
      <c r="L30" s="31">
        <f t="shared" ref="L30:L93" si="7">J30+K30</f>
        <v>3.1447690141496647</v>
      </c>
      <c r="M30" s="31">
        <f t="shared" ref="M30:M93" si="8">H30/L30</f>
        <v>2.9616414397808328</v>
      </c>
      <c r="N30" s="40">
        <f t="shared" ref="N30:N93" si="9">H30^1.5/L30</f>
        <v>9.03843196056736</v>
      </c>
      <c r="O30" s="40">
        <f t="shared" ref="O30:O93" si="10">H30^0.5/L30</f>
        <v>0.97044709260349316</v>
      </c>
      <c r="P30" s="42">
        <f t="shared" ref="P30:P93" si="11">G30*$E$5*L30</f>
        <v>1985.38550987966</v>
      </c>
      <c r="Q30" s="41">
        <f t="shared" ref="Q30:Q93" si="12">P30*D30/1000</f>
        <v>23.99334723980564</v>
      </c>
      <c r="T30" s="41">
        <f>-1000*Q30/$E$4</f>
        <v>-4.0805012312594622</v>
      </c>
      <c r="U30" s="40">
        <f t="shared" ref="U30:U93" si="13">ASIN(T30/D30)*180/PI()</f>
        <v>-19.73380022324805</v>
      </c>
    </row>
    <row r="31" spans="1:38 16384:16384" x14ac:dyDescent="0.3">
      <c r="A31" s="22">
        <v>22</v>
      </c>
      <c r="B31" s="22" cm="1">
        <f t="array" ref="B31">KCASConv($K$4,A31,2)</f>
        <v>21.998737335205078</v>
      </c>
      <c r="C31" s="33" cm="1">
        <f t="array" ref="C31">KCASConv($K$4,A31,1)</f>
        <v>24.611822128295898</v>
      </c>
      <c r="D31" s="33">
        <f t="shared" si="3"/>
        <v>12.660402329370319</v>
      </c>
      <c r="E31" s="33">
        <f t="shared" si="4"/>
        <v>45.577448385733149</v>
      </c>
      <c r="F31" s="32" cm="1">
        <f t="array" ref="F31">KCASConv($K$4,A31,0)</f>
        <v>3.8620647042989731E-2</v>
      </c>
      <c r="G31" s="32">
        <f t="shared" si="5"/>
        <v>72.858229060248235</v>
      </c>
      <c r="H31" s="32">
        <f t="shared" si="6"/>
        <v>8.4862964409575472</v>
      </c>
      <c r="I31" s="32">
        <f t="shared" si="0"/>
        <v>89.150526745552327</v>
      </c>
      <c r="J31" s="38">
        <f t="shared" si="1"/>
        <v>0.03</v>
      </c>
      <c r="K31" s="39">
        <f t="shared" si="2"/>
        <v>2.5748942374426513</v>
      </c>
      <c r="L31" s="31">
        <f t="shared" si="7"/>
        <v>2.6048942374426511</v>
      </c>
      <c r="M31" s="31">
        <f t="shared" si="8"/>
        <v>3.2578276380575621</v>
      </c>
      <c r="N31" s="40">
        <f t="shared" si="9"/>
        <v>9.4904586769923043</v>
      </c>
      <c r="O31" s="40">
        <f t="shared" si="10"/>
        <v>1.1183274992832386</v>
      </c>
      <c r="P31" s="42">
        <f t="shared" si="11"/>
        <v>1804.8836995888078</v>
      </c>
      <c r="Q31" s="41">
        <f t="shared" si="12"/>
        <v>22.85055379451666</v>
      </c>
      <c r="T31" s="41">
        <f t="shared" ref="T31:T94" si="14">-1000*Q31/$E$4</f>
        <v>-3.8861486045096365</v>
      </c>
      <c r="U31" s="40">
        <f t="shared" si="13"/>
        <v>-17.875700327098421</v>
      </c>
    </row>
    <row r="32" spans="1:38 16384:16384" x14ac:dyDescent="0.3">
      <c r="A32" s="22">
        <v>23</v>
      </c>
      <c r="B32" s="22" cm="1">
        <f t="array" ref="B32">KCASConv($K$4,A32,2)</f>
        <v>22.998556137084961</v>
      </c>
      <c r="C32" s="33" cm="1">
        <f t="array" ref="C32">KCASConv($K$4,A32,1)</f>
        <v>25.730426788330078</v>
      </c>
      <c r="D32" s="33">
        <f t="shared" si="3"/>
        <v>13.235816249140987</v>
      </c>
      <c r="E32" s="33">
        <f t="shared" si="4"/>
        <v>47.648938496907554</v>
      </c>
      <c r="F32" s="32" cm="1">
        <f t="array" ref="F32">KCASConv($K$4,A32,0)</f>
        <v>4.0375951677560806E-2</v>
      </c>
      <c r="G32" s="32">
        <f t="shared" si="5"/>
        <v>79.631529069830634</v>
      </c>
      <c r="H32" s="32">
        <f t="shared" si="6"/>
        <v>7.7644688880236927</v>
      </c>
      <c r="I32" s="32">
        <f t="shared" si="0"/>
        <v>81.38453538595887</v>
      </c>
      <c r="J32" s="38">
        <f t="shared" si="1"/>
        <v>0.03</v>
      </c>
      <c r="K32" s="39">
        <f t="shared" si="2"/>
        <v>2.1458301605899268</v>
      </c>
      <c r="L32" s="31">
        <f t="shared" si="7"/>
        <v>2.1758301605899266</v>
      </c>
      <c r="M32" s="31">
        <f t="shared" si="8"/>
        <v>3.5685087138963705</v>
      </c>
      <c r="N32" s="40">
        <f t="shared" si="9"/>
        <v>9.9435769429577121</v>
      </c>
      <c r="O32" s="40">
        <f t="shared" si="10"/>
        <v>1.2806512700817425</v>
      </c>
      <c r="P32" s="42">
        <f t="shared" si="11"/>
        <v>1647.7471323251348</v>
      </c>
      <c r="Q32" s="41">
        <f t="shared" si="12"/>
        <v>21.809278268504485</v>
      </c>
      <c r="T32" s="41">
        <f t="shared" si="14"/>
        <v>-3.7090609300177695</v>
      </c>
      <c r="U32" s="40">
        <f t="shared" si="13"/>
        <v>-16.273878830313862</v>
      </c>
    </row>
    <row r="33" spans="1:21" x14ac:dyDescent="0.3">
      <c r="A33" s="22">
        <v>24</v>
      </c>
      <c r="B33" s="22" cm="1">
        <f t="array" ref="B33">KCASConv($K$4,A33,2)</f>
        <v>23.998359680175781</v>
      </c>
      <c r="C33" s="33" cm="1">
        <f t="array" ref="C33">KCASConv($K$4,A33,1)</f>
        <v>26.849016189575195</v>
      </c>
      <c r="D33" s="33">
        <f t="shared" si="3"/>
        <v>13.811222319740327</v>
      </c>
      <c r="E33" s="33">
        <f t="shared" si="4"/>
        <v>49.72040035106518</v>
      </c>
      <c r="F33" s="32" cm="1">
        <f t="array" ref="F33">KCASConv($K$4,A33,0)</f>
        <v>4.2131230235099792E-2</v>
      </c>
      <c r="G33" s="32">
        <f t="shared" si="5"/>
        <v>86.705735949045916</v>
      </c>
      <c r="H33" s="32">
        <f t="shared" si="6"/>
        <v>7.1309760905761372</v>
      </c>
      <c r="I33" s="32">
        <f t="shared" si="0"/>
        <v>74.568919147223767</v>
      </c>
      <c r="J33" s="38">
        <f t="shared" si="1"/>
        <v>0.03</v>
      </c>
      <c r="K33" s="39">
        <f t="shared" si="2"/>
        <v>1.8014709556224684</v>
      </c>
      <c r="L33" s="31">
        <f t="shared" si="7"/>
        <v>1.8314709556224684</v>
      </c>
      <c r="M33" s="31">
        <f t="shared" si="8"/>
        <v>3.8935785842983832</v>
      </c>
      <c r="N33" s="40">
        <f t="shared" si="9"/>
        <v>10.397368459285477</v>
      </c>
      <c r="O33" s="40">
        <f t="shared" si="10"/>
        <v>1.4580568392349549</v>
      </c>
      <c r="P33" s="42">
        <f t="shared" si="11"/>
        <v>1510.1788425979764</v>
      </c>
      <c r="Q33" s="41">
        <f t="shared" si="12"/>
        <v>20.857415737688786</v>
      </c>
      <c r="T33" s="41">
        <f t="shared" si="14"/>
        <v>-3.5471795472259839</v>
      </c>
      <c r="U33" s="40">
        <f t="shared" si="13"/>
        <v>-14.882234293406537</v>
      </c>
    </row>
    <row r="34" spans="1:21" x14ac:dyDescent="0.3">
      <c r="A34" s="22">
        <v>25</v>
      </c>
      <c r="B34" s="22" cm="1">
        <f t="array" ref="B34">KCASConv($K$4,A34,2)</f>
        <v>24.998146057128906</v>
      </c>
      <c r="C34" s="33" cm="1">
        <f t="array" ref="C34">KCASConv($K$4,A34,1)</f>
        <v>27.967588424682617</v>
      </c>
      <c r="D34" s="33">
        <f t="shared" si="3"/>
        <v>14.386619560021924</v>
      </c>
      <c r="E34" s="33">
        <f t="shared" si="4"/>
        <v>51.791830416078923</v>
      </c>
      <c r="F34" s="32" cm="1">
        <f t="array" ref="F34">KCASConv($K$4,A34,0)</f>
        <v>4.3886482715606689E-2</v>
      </c>
      <c r="G34" s="32">
        <f t="shared" si="5"/>
        <v>94.080824547745806</v>
      </c>
      <c r="H34" s="32">
        <f t="shared" si="6"/>
        <v>6.5719718437912942</v>
      </c>
      <c r="I34" s="32">
        <f t="shared" si="0"/>
        <v>68.554709613572257</v>
      </c>
      <c r="J34" s="38">
        <f t="shared" si="1"/>
        <v>0.03</v>
      </c>
      <c r="K34" s="39">
        <f t="shared" si="2"/>
        <v>1.522601170673084</v>
      </c>
      <c r="L34" s="31">
        <f t="shared" si="7"/>
        <v>1.552601170673084</v>
      </c>
      <c r="M34" s="31">
        <f t="shared" si="8"/>
        <v>4.2328783256953306</v>
      </c>
      <c r="N34" s="40">
        <f t="shared" si="9"/>
        <v>10.851346512810615</v>
      </c>
      <c r="O34" s="40">
        <f t="shared" si="10"/>
        <v>1.6511553565254775</v>
      </c>
      <c r="P34" s="42">
        <f t="shared" si="11"/>
        <v>1389.1256841251393</v>
      </c>
      <c r="Q34" s="41">
        <f t="shared" si="12"/>
        <v>19.984822738563565</v>
      </c>
      <c r="T34" s="41">
        <f t="shared" si="14"/>
        <v>-3.3987793773067287</v>
      </c>
      <c r="U34" s="40">
        <f t="shared" si="13"/>
        <v>-13.665073606911843</v>
      </c>
    </row>
    <row r="35" spans="1:21" x14ac:dyDescent="0.3">
      <c r="A35" s="22">
        <v>26</v>
      </c>
      <c r="B35" s="22" cm="1">
        <f t="array" ref="B35">KCASConv($K$4,A35,2)</f>
        <v>25.997915267944336</v>
      </c>
      <c r="C35" s="33" cm="1">
        <f t="array" ref="C35">KCASConv($K$4,A35,1)</f>
        <v>29.086145401000977</v>
      </c>
      <c r="D35" s="33">
        <f t="shared" si="3"/>
        <v>14.962008951132191</v>
      </c>
      <c r="E35" s="33">
        <f t="shared" si="4"/>
        <v>53.863232224075887</v>
      </c>
      <c r="F35" s="32" cm="1">
        <f t="array" ref="F35">KCASConv($K$4,A35,0)</f>
        <v>4.5641712844371796E-2</v>
      </c>
      <c r="G35" s="32">
        <f t="shared" si="5"/>
        <v>101.75679435419531</v>
      </c>
      <c r="H35" s="32">
        <f t="shared" si="6"/>
        <v>6.0762186337777715</v>
      </c>
      <c r="I35" s="32">
        <f t="shared" si="0"/>
        <v>63.221004728233076</v>
      </c>
      <c r="J35" s="38">
        <f t="shared" si="1"/>
        <v>0.03</v>
      </c>
      <c r="K35" s="39">
        <f t="shared" si="2"/>
        <v>1.2948944075423581</v>
      </c>
      <c r="L35" s="31">
        <f t="shared" si="7"/>
        <v>1.3248944075423581</v>
      </c>
      <c r="M35" s="31">
        <f t="shared" si="8"/>
        <v>4.5861908686360797</v>
      </c>
      <c r="N35" s="40">
        <f t="shared" si="9"/>
        <v>11.30495456893278</v>
      </c>
      <c r="O35" s="40">
        <f t="shared" si="10"/>
        <v>1.8605246536206594</v>
      </c>
      <c r="P35" s="42">
        <f t="shared" si="11"/>
        <v>1282.1097438861491</v>
      </c>
      <c r="Q35" s="41">
        <f t="shared" si="12"/>
        <v>19.182937464358361</v>
      </c>
      <c r="T35" s="41">
        <f t="shared" si="14"/>
        <v>-3.2624043306731907</v>
      </c>
      <c r="U35" s="40">
        <f t="shared" si="13"/>
        <v>-12.594283700757515</v>
      </c>
    </row>
    <row r="36" spans="1:21" x14ac:dyDescent="0.3">
      <c r="A36" s="22">
        <v>27</v>
      </c>
      <c r="B36" s="22" cm="1">
        <f t="array" ref="B36">KCASConv($K$4,A36,2)</f>
        <v>26.997665405273438</v>
      </c>
      <c r="C36" s="33" cm="1">
        <f t="array" ref="C36">KCASConv($K$4,A36,1)</f>
        <v>30.204683303833008</v>
      </c>
      <c r="D36" s="33">
        <f t="shared" si="3"/>
        <v>15.537388530778296</v>
      </c>
      <c r="E36" s="33">
        <f t="shared" si="4"/>
        <v>55.934598710801865</v>
      </c>
      <c r="F36" s="32" cm="1">
        <f t="array" ref="F36">KCASConv($K$4,A36,0)</f>
        <v>4.7396913170814514E-2</v>
      </c>
      <c r="G36" s="32">
        <f t="shared" si="5"/>
        <v>109.73360533336313</v>
      </c>
      <c r="H36" s="32">
        <f t="shared" si="6"/>
        <v>5.6345230623755782</v>
      </c>
      <c r="I36" s="32">
        <f t="shared" si="0"/>
        <v>58.468894647178224</v>
      </c>
      <c r="J36" s="38">
        <f t="shared" si="1"/>
        <v>0.03</v>
      </c>
      <c r="K36" s="39">
        <f t="shared" si="2"/>
        <v>1.107544884163179</v>
      </c>
      <c r="L36" s="31">
        <f t="shared" si="7"/>
        <v>1.137544884163179</v>
      </c>
      <c r="M36" s="31">
        <f t="shared" si="8"/>
        <v>4.9532314204204315</v>
      </c>
      <c r="N36" s="40">
        <f t="shared" si="9"/>
        <v>11.757559889259753</v>
      </c>
      <c r="O36" s="40">
        <f t="shared" si="10"/>
        <v>2.0867001091486581</v>
      </c>
      <c r="P36" s="42">
        <f t="shared" si="11"/>
        <v>1187.1038320072887</v>
      </c>
      <c r="Q36" s="41">
        <f t="shared" si="12"/>
        <v>18.444493464273013</v>
      </c>
      <c r="T36" s="41">
        <f t="shared" si="14"/>
        <v>-3.136818616372961</v>
      </c>
      <c r="U36" s="40">
        <f t="shared" si="13"/>
        <v>-11.647409687984229</v>
      </c>
    </row>
    <row r="37" spans="1:21" x14ac:dyDescent="0.3">
      <c r="A37" s="22">
        <v>28</v>
      </c>
      <c r="B37" s="22" cm="1">
        <f t="array" ref="B37">KCASConv($K$4,A37,2)</f>
        <v>27.997396469116211</v>
      </c>
      <c r="C37" s="33" cm="1">
        <f t="array" ref="C37">KCASConv($K$4,A37,1)</f>
        <v>31.323205947875977</v>
      </c>
      <c r="D37" s="33">
        <f t="shared" si="3"/>
        <v>16.112760261253076</v>
      </c>
      <c r="E37" s="33">
        <f t="shared" si="4"/>
        <v>58.005936940511077</v>
      </c>
      <c r="F37" s="32" cm="1">
        <f t="array" ref="F37">KCASConv($K$4,A37,0)</f>
        <v>4.9152087420225143E-2</v>
      </c>
      <c r="G37" s="32">
        <f t="shared" si="5"/>
        <v>118.01127083271838</v>
      </c>
      <c r="H37" s="32">
        <f t="shared" si="6"/>
        <v>5.2393006668396351</v>
      </c>
      <c r="I37" s="32">
        <f t="shared" si="0"/>
        <v>54.216779725304072</v>
      </c>
      <c r="J37" s="38">
        <f t="shared" si="1"/>
        <v>0.03</v>
      </c>
      <c r="K37" s="39">
        <f t="shared" si="2"/>
        <v>0.95231144832604575</v>
      </c>
      <c r="L37" s="31">
        <f t="shared" si="7"/>
        <v>0.98231144832604578</v>
      </c>
      <c r="M37" s="31">
        <f t="shared" si="8"/>
        <v>5.3336451242301131</v>
      </c>
      <c r="N37" s="40">
        <f t="shared" si="9"/>
        <v>12.208456985290766</v>
      </c>
      <c r="O37" s="40">
        <f t="shared" si="10"/>
        <v>2.3301691889072194</v>
      </c>
      <c r="P37" s="42">
        <f t="shared" si="11"/>
        <v>1102.4355507433108</v>
      </c>
      <c r="Q37" s="41">
        <f t="shared" si="12"/>
        <v>17.763279732609465</v>
      </c>
      <c r="T37" s="41">
        <f t="shared" si="14"/>
        <v>-3.0209659409199774</v>
      </c>
      <c r="U37" s="40">
        <f t="shared" si="13"/>
        <v>-10.806283531347802</v>
      </c>
    </row>
    <row r="38" spans="1:21" x14ac:dyDescent="0.3">
      <c r="A38" s="22">
        <v>29</v>
      </c>
      <c r="B38" s="22" cm="1">
        <f t="array" ref="B38">KCASConv($K$4,A38,2)</f>
        <v>28.997106552124023</v>
      </c>
      <c r="C38" s="33" cm="1">
        <f t="array" ref="C38">KCASConv($K$4,A38,1)</f>
        <v>32.441707611083984</v>
      </c>
      <c r="D38" s="33">
        <f t="shared" si="3"/>
        <v>16.688121199117276</v>
      </c>
      <c r="E38" s="33">
        <f t="shared" si="4"/>
        <v>60.077236316822194</v>
      </c>
      <c r="F38" s="32" cm="1">
        <f t="array" ref="F38">KCASConv($K$4,A38,0)</f>
        <v>5.0907231867313385E-2</v>
      </c>
      <c r="G38" s="32">
        <f t="shared" si="5"/>
        <v>126.58973387957462</v>
      </c>
      <c r="H38" s="32">
        <f t="shared" si="6"/>
        <v>4.8842549156209021</v>
      </c>
      <c r="I38" s="32">
        <f t="shared" si="0"/>
        <v>50.396916899317283</v>
      </c>
      <c r="J38" s="38">
        <f t="shared" si="1"/>
        <v>0.03</v>
      </c>
      <c r="K38" s="39">
        <f t="shared" si="2"/>
        <v>0.82284778725782481</v>
      </c>
      <c r="L38" s="31">
        <f t="shared" si="7"/>
        <v>0.85284778725782484</v>
      </c>
      <c r="M38" s="31">
        <f t="shared" si="8"/>
        <v>5.7269948853655643</v>
      </c>
      <c r="N38" s="40">
        <f t="shared" si="9"/>
        <v>12.656859419267295</v>
      </c>
      <c r="O38" s="40">
        <f t="shared" si="10"/>
        <v>2.591359304115747</v>
      </c>
      <c r="P38" s="42">
        <f t="shared" si="11"/>
        <v>1026.7164748174328</v>
      </c>
      <c r="Q38" s="41">
        <f t="shared" si="12"/>
        <v>17.133968968883757</v>
      </c>
      <c r="T38" s="41">
        <f t="shared" si="14"/>
        <v>-2.9139403008305709</v>
      </c>
      <c r="U38" s="40">
        <f t="shared" si="13"/>
        <v>-10.056059067720106</v>
      </c>
    </row>
    <row r="39" spans="1:21" x14ac:dyDescent="0.3">
      <c r="A39" s="22">
        <v>30</v>
      </c>
      <c r="B39" s="22" cm="1">
        <f t="array" ref="B39">KCASConv($K$4,A39,2)</f>
        <v>29.996797561645508</v>
      </c>
      <c r="C39" s="33" cm="1">
        <f t="array" ref="C39">KCASConv($K$4,A39,1)</f>
        <v>33.560188293457031</v>
      </c>
      <c r="D39" s="33">
        <f t="shared" si="3"/>
        <v>17.263471344370902</v>
      </c>
      <c r="E39" s="33">
        <f t="shared" si="4"/>
        <v>62.148496839735252</v>
      </c>
      <c r="F39" s="32" cm="1">
        <f t="array" ref="F39">KCASConv($K$4,A39,0)</f>
        <v>5.266234278678894E-2</v>
      </c>
      <c r="G39" s="32">
        <f t="shared" si="5"/>
        <v>135.4689775382875</v>
      </c>
      <c r="H39" s="32">
        <f t="shared" si="6"/>
        <v>4.5641189680766994</v>
      </c>
      <c r="I39" s="32">
        <f t="shared" si="0"/>
        <v>46.952641334580896</v>
      </c>
      <c r="J39" s="38">
        <f t="shared" si="1"/>
        <v>0.03</v>
      </c>
      <c r="K39" s="39">
        <f t="shared" si="2"/>
        <v>0.71421937198724617</v>
      </c>
      <c r="L39" s="31">
        <f t="shared" si="7"/>
        <v>0.74421937198724619</v>
      </c>
      <c r="M39" s="31">
        <f t="shared" si="8"/>
        <v>6.1327602315556433</v>
      </c>
      <c r="N39" s="40">
        <f t="shared" si="9"/>
        <v>13.101905533697485</v>
      </c>
      <c r="O39" s="40">
        <f t="shared" si="10"/>
        <v>2.8706319062534358</v>
      </c>
      <c r="P39" s="42">
        <f t="shared" si="11"/>
        <v>958.78524155321054</v>
      </c>
      <c r="Q39" s="41">
        <f t="shared" si="12"/>
        <v>16.551961542959582</v>
      </c>
      <c r="T39" s="41">
        <f t="shared" si="14"/>
        <v>-2.8149594460815619</v>
      </c>
      <c r="U39" s="40">
        <f t="shared" si="13"/>
        <v>-9.3844797752401945</v>
      </c>
    </row>
    <row r="40" spans="1:21" x14ac:dyDescent="0.3">
      <c r="A40" s="22">
        <v>31</v>
      </c>
      <c r="B40" s="22" cm="1">
        <f t="array" ref="B40">KCASConv($K$4,A40,2)</f>
        <v>30.996467590332031</v>
      </c>
      <c r="C40" s="33" cm="1">
        <f t="array" ref="C40">KCASConv($K$4,A40,1)</f>
        <v>34.678653717041016</v>
      </c>
      <c r="D40" s="33">
        <f t="shared" si="3"/>
        <v>17.838813640453196</v>
      </c>
      <c r="E40" s="33">
        <f t="shared" si="4"/>
        <v>64.219729105631515</v>
      </c>
      <c r="F40" s="32" cm="1">
        <f t="array" ref="F40">KCASConv($K$4,A40,0)</f>
        <v>5.4417427629232407E-2</v>
      </c>
      <c r="G40" s="32">
        <f t="shared" si="5"/>
        <v>144.64903260827452</v>
      </c>
      <c r="H40" s="32">
        <f t="shared" si="6"/>
        <v>4.2744601800612738</v>
      </c>
      <c r="I40" s="32">
        <f t="shared" si="0"/>
        <v>43.836263141735387</v>
      </c>
      <c r="J40" s="38">
        <f t="shared" si="1"/>
        <v>0.03</v>
      </c>
      <c r="K40" s="39">
        <f t="shared" si="2"/>
        <v>0.62255628048745948</v>
      </c>
      <c r="L40" s="31">
        <f t="shared" si="7"/>
        <v>0.65255628048745951</v>
      </c>
      <c r="M40" s="31">
        <f t="shared" si="8"/>
        <v>6.5503318378427871</v>
      </c>
      <c r="N40" s="40">
        <f t="shared" si="9"/>
        <v>13.542658887674879</v>
      </c>
      <c r="O40" s="40">
        <f t="shared" si="10"/>
        <v>3.1682734935387198</v>
      </c>
      <c r="P40" s="42">
        <f t="shared" si="11"/>
        <v>897.66444594911593</v>
      </c>
      <c r="Q40" s="41">
        <f t="shared" si="12"/>
        <v>16.01326876294695</v>
      </c>
      <c r="T40" s="41">
        <f t="shared" si="14"/>
        <v>-2.7233450277120665</v>
      </c>
      <c r="U40" s="40">
        <f t="shared" si="13"/>
        <v>-8.7813421984021485</v>
      </c>
    </row>
    <row r="41" spans="1:21" x14ac:dyDescent="0.3">
      <c r="A41" s="22">
        <v>32</v>
      </c>
      <c r="B41" s="22" cm="1">
        <f t="array" ref="B41">KCASConv($K$4,A41,2)</f>
        <v>31.996114730834961</v>
      </c>
      <c r="C41" s="33" cm="1">
        <f t="array" ref="C41">KCASConv($K$4,A41,1)</f>
        <v>35.797096252441406</v>
      </c>
      <c r="D41" s="33">
        <f t="shared" si="3"/>
        <v>18.414144162778502</v>
      </c>
      <c r="E41" s="33">
        <f t="shared" si="4"/>
        <v>66.290918986002609</v>
      </c>
      <c r="F41" s="32" cm="1">
        <f t="array" ref="F41">KCASConv($K$4,A41,0)</f>
        <v>5.6172475218772888E-2</v>
      </c>
      <c r="G41" s="32">
        <f t="shared" si="5"/>
        <v>154.12982107406765</v>
      </c>
      <c r="H41" s="32">
        <f t="shared" si="6"/>
        <v>4.0115308358875579</v>
      </c>
      <c r="I41" s="32">
        <f t="shared" si="0"/>
        <v>41.007461433159207</v>
      </c>
      <c r="J41" s="38">
        <f t="shared" si="1"/>
        <v>0.03</v>
      </c>
      <c r="K41" s="39">
        <f t="shared" si="2"/>
        <v>0.5448003005000045</v>
      </c>
      <c r="L41" s="31">
        <f t="shared" si="7"/>
        <v>0.57480030050000452</v>
      </c>
      <c r="M41" s="31">
        <f t="shared" si="8"/>
        <v>6.9789991974569716</v>
      </c>
      <c r="N41" s="40">
        <f t="shared" si="9"/>
        <v>13.978102340485673</v>
      </c>
      <c r="O41" s="40">
        <f t="shared" si="10"/>
        <v>3.4844808409388666</v>
      </c>
      <c r="P41" s="42">
        <f t="shared" si="11"/>
        <v>842.527679633861</v>
      </c>
      <c r="Q41" s="41">
        <f t="shared" si="12"/>
        <v>15.514426153909177</v>
      </c>
      <c r="T41" s="41">
        <f t="shared" si="14"/>
        <v>-2.6385078493042817</v>
      </c>
      <c r="U41" s="40">
        <f t="shared" si="13"/>
        <v>-8.2380968901177596</v>
      </c>
    </row>
    <row r="42" spans="1:21" x14ac:dyDescent="0.3">
      <c r="A42" s="22">
        <v>33</v>
      </c>
      <c r="B42" s="22" cm="1">
        <f t="array" ref="B42">KCASConv($K$4,A42,2)</f>
        <v>32.995738983154297</v>
      </c>
      <c r="C42" s="33" cm="1">
        <f t="array" ref="C42">KCASConv($K$4,A42,1)</f>
        <v>36.915519714355469</v>
      </c>
      <c r="D42" s="33">
        <f t="shared" si="3"/>
        <v>18.989464873639644</v>
      </c>
      <c r="E42" s="33">
        <f t="shared" si="4"/>
        <v>68.362073545102717</v>
      </c>
      <c r="F42" s="32" cm="1">
        <f t="array" ref="F42">KCASConv($K$4,A42,0)</f>
        <v>5.7927493005990982E-2</v>
      </c>
      <c r="G42" s="32">
        <f t="shared" si="5"/>
        <v>163.911358337238</v>
      </c>
      <c r="H42" s="32">
        <f t="shared" si="6"/>
        <v>3.7721396262017755</v>
      </c>
      <c r="I42" s="32">
        <f t="shared" si="0"/>
        <v>38.431901580357682</v>
      </c>
      <c r="J42" s="38">
        <f t="shared" si="1"/>
        <v>0.03</v>
      </c>
      <c r="K42" s="39">
        <f t="shared" si="2"/>
        <v>0.47851473463501037</v>
      </c>
      <c r="L42" s="31">
        <f t="shared" si="7"/>
        <v>0.5085147346350104</v>
      </c>
      <c r="M42" s="31">
        <f t="shared" si="8"/>
        <v>7.4179554087242963</v>
      </c>
      <c r="N42" s="40">
        <f t="shared" si="9"/>
        <v>14.407150676859688</v>
      </c>
      <c r="O42" s="40">
        <f t="shared" si="10"/>
        <v>3.8193577397787024</v>
      </c>
      <c r="P42" s="42">
        <f t="shared" si="11"/>
        <v>792.67125184986969</v>
      </c>
      <c r="Q42" s="41">
        <f t="shared" si="12"/>
        <v>15.052402893347063</v>
      </c>
      <c r="T42" s="41">
        <f t="shared" si="14"/>
        <v>-2.5599324648549429</v>
      </c>
      <c r="U42" s="40">
        <f t="shared" si="13"/>
        <v>-7.7475196926626984</v>
      </c>
    </row>
    <row r="43" spans="1:21" x14ac:dyDescent="0.3">
      <c r="A43" s="22">
        <v>34</v>
      </c>
      <c r="B43" s="22" cm="1">
        <f t="array" ref="B43">KCASConv($K$4,A43,2)</f>
        <v>33.995338439941406</v>
      </c>
      <c r="C43" s="33" cm="1">
        <f t="array" ref="C43">KCASConv($K$4,A43,1)</f>
        <v>38.033916473388672</v>
      </c>
      <c r="D43" s="33">
        <f t="shared" si="3"/>
        <v>19.564771848450963</v>
      </c>
      <c r="E43" s="33">
        <f t="shared" si="4"/>
        <v>70.433178654423472</v>
      </c>
      <c r="F43" s="32" cm="1">
        <f t="array" ref="F43">KCASConv($K$4,A43,0)</f>
        <v>5.9682473540306091E-2</v>
      </c>
      <c r="G43" s="32">
        <f t="shared" si="5"/>
        <v>173.99355919851203</v>
      </c>
      <c r="H43" s="32">
        <f t="shared" si="6"/>
        <v>3.5535598720814137</v>
      </c>
      <c r="I43" s="32">
        <f t="shared" si="0"/>
        <v>36.080247816267658</v>
      </c>
      <c r="J43" s="38">
        <f t="shared" si="1"/>
        <v>0.03</v>
      </c>
      <c r="K43" s="39">
        <f t="shared" si="2"/>
        <v>0.42174563057879466</v>
      </c>
      <c r="L43" s="31">
        <f t="shared" si="7"/>
        <v>0.45174563057879469</v>
      </c>
      <c r="M43" s="31">
        <f t="shared" si="8"/>
        <v>7.866284987700821</v>
      </c>
      <c r="N43" s="40">
        <f t="shared" si="9"/>
        <v>14.828645911939391</v>
      </c>
      <c r="O43" s="40">
        <f t="shared" si="10"/>
        <v>4.1728988523426418</v>
      </c>
      <c r="P43" s="42">
        <f t="shared" si="11"/>
        <v>747.49389441058406</v>
      </c>
      <c r="Q43" s="41">
        <f t="shared" si="12"/>
        <v>14.624547502253172</v>
      </c>
      <c r="T43" s="41">
        <f t="shared" si="14"/>
        <v>-2.4871679425600632</v>
      </c>
      <c r="U43" s="40">
        <f t="shared" si="13"/>
        <v>-7.303477600501739</v>
      </c>
    </row>
    <row r="44" spans="1:21" x14ac:dyDescent="0.3">
      <c r="A44" s="22">
        <v>35</v>
      </c>
      <c r="B44" s="22" cm="1">
        <f t="array" ref="B44">KCASConv($K$4,A44,2)</f>
        <v>34.994915008544922</v>
      </c>
      <c r="C44" s="33" cm="1">
        <f t="array" ref="C44">KCASConv($K$4,A44,1)</f>
        <v>39.152294158935547</v>
      </c>
      <c r="D44" s="33">
        <f t="shared" si="3"/>
        <v>20.140069011798122</v>
      </c>
      <c r="E44" s="33">
        <f t="shared" si="4"/>
        <v>72.504248442473241</v>
      </c>
      <c r="F44" s="32" cm="1">
        <f t="array" ref="F44">KCASConv($K$4,A44,0)</f>
        <v>6.1437420547008514E-2</v>
      </c>
      <c r="G44" s="32">
        <f t="shared" si="5"/>
        <v>184.3764739623283</v>
      </c>
      <c r="H44" s="32">
        <f t="shared" si="6"/>
        <v>3.3534458962198412</v>
      </c>
      <c r="I44" s="32">
        <f t="shared" si="0"/>
        <v>33.927263490360012</v>
      </c>
      <c r="J44" s="38">
        <f t="shared" si="1"/>
        <v>0.03</v>
      </c>
      <c r="K44" s="39">
        <f t="shared" si="2"/>
        <v>0.37291446672097583</v>
      </c>
      <c r="L44" s="31">
        <f t="shared" si="7"/>
        <v>0.40291446672097586</v>
      </c>
      <c r="M44" s="31">
        <f t="shared" si="8"/>
        <v>8.3229721769760907</v>
      </c>
      <c r="N44" s="40">
        <f t="shared" si="9"/>
        <v>15.241373110301108</v>
      </c>
      <c r="O44" s="40">
        <f t="shared" si="10"/>
        <v>4.5449885228450784</v>
      </c>
      <c r="P44" s="42">
        <f t="shared" si="11"/>
        <v>706.47839196986558</v>
      </c>
      <c r="Q44" s="41">
        <f t="shared" si="12"/>
        <v>14.228523569617257</v>
      </c>
      <c r="T44" s="41">
        <f t="shared" si="14"/>
        <v>-2.4198169336083768</v>
      </c>
      <c r="U44" s="40">
        <f t="shared" si="13"/>
        <v>-6.9007241673789625</v>
      </c>
    </row>
    <row r="45" spans="1:21" x14ac:dyDescent="0.3">
      <c r="A45" s="22">
        <v>36</v>
      </c>
      <c r="B45" s="22" cm="1">
        <f t="array" ref="B45">KCASConv($K$4,A45,2)</f>
        <v>35.994468688964844</v>
      </c>
      <c r="C45" s="33" cm="1">
        <f t="array" ref="C45">KCASConv($K$4,A45,1)</f>
        <v>40.270645141601563</v>
      </c>
      <c r="D45" s="33">
        <f t="shared" si="3"/>
        <v>20.715352439095454</v>
      </c>
      <c r="E45" s="33">
        <f t="shared" si="4"/>
        <v>74.575268780743642</v>
      </c>
      <c r="F45" s="32" cm="1">
        <f t="array" ref="F45">KCASConv($K$4,A45,0)</f>
        <v>6.3192330300807953E-2</v>
      </c>
      <c r="G45" s="32">
        <f t="shared" si="5"/>
        <v>195.06001332493651</v>
      </c>
      <c r="H45" s="32">
        <f t="shared" si="6"/>
        <v>3.1697759034727349</v>
      </c>
      <c r="I45" s="32">
        <f t="shared" si="0"/>
        <v>31.951196532409842</v>
      </c>
      <c r="J45" s="38">
        <f t="shared" si="1"/>
        <v>0.03</v>
      </c>
      <c r="K45" s="39">
        <f t="shared" si="2"/>
        <v>0.33073931407926604</v>
      </c>
      <c r="L45" s="31">
        <f t="shared" si="7"/>
        <v>0.36073931407926607</v>
      </c>
      <c r="M45" s="31">
        <f t="shared" si="8"/>
        <v>8.7868878709910518</v>
      </c>
      <c r="N45" s="40">
        <f t="shared" si="9"/>
        <v>15.644056083758949</v>
      </c>
      <c r="O45" s="40">
        <f t="shared" si="10"/>
        <v>4.9353823614532732</v>
      </c>
      <c r="P45" s="42">
        <f t="shared" si="11"/>
        <v>669.17890455984718</v>
      </c>
      <c r="Q45" s="41">
        <f t="shared" si="12"/>
        <v>13.862276852765055</v>
      </c>
      <c r="T45" s="41">
        <f t="shared" si="14"/>
        <v>-2.3575300770008596</v>
      </c>
      <c r="U45" s="40">
        <f t="shared" si="13"/>
        <v>-6.5347580742132445</v>
      </c>
    </row>
    <row r="46" spans="1:21" x14ac:dyDescent="0.3">
      <c r="A46" s="22">
        <v>37</v>
      </c>
      <c r="B46" s="22" cm="1">
        <f t="array" ref="B46">KCASConv($K$4,A46,2)</f>
        <v>36.993995666503906</v>
      </c>
      <c r="C46" s="33" cm="1">
        <f t="array" ref="C46">KCASConv($K$4,A46,1)</f>
        <v>41.38897705078125</v>
      </c>
      <c r="D46" s="33">
        <f t="shared" si="3"/>
        <v>21.290626054928627</v>
      </c>
      <c r="E46" s="33">
        <f t="shared" si="4"/>
        <v>76.646253797743057</v>
      </c>
      <c r="F46" s="32" cm="1">
        <f t="array" ref="F46">KCASConv($K$4,A46,0)</f>
        <v>6.4947202801704407E-2</v>
      </c>
      <c r="G46" s="32">
        <f t="shared" si="5"/>
        <v>206.04423169668001</v>
      </c>
      <c r="H46" s="32">
        <f t="shared" si="6"/>
        <v>3.0007951442127991</v>
      </c>
      <c r="I46" s="32">
        <f t="shared" si="0"/>
        <v>30.13316795894189</v>
      </c>
      <c r="J46" s="38">
        <f t="shared" si="1"/>
        <v>0.03</v>
      </c>
      <c r="K46" s="39">
        <f t="shared" si="2"/>
        <v>0.29417187784148974</v>
      </c>
      <c r="L46" s="31">
        <f t="shared" si="7"/>
        <v>0.32417187784148971</v>
      </c>
      <c r="M46" s="31">
        <f t="shared" si="8"/>
        <v>9.2568027929927279</v>
      </c>
      <c r="N46" s="40">
        <f t="shared" si="9"/>
        <v>16.035377403691086</v>
      </c>
      <c r="O46" s="40">
        <f t="shared" si="10"/>
        <v>5.3437094613460046</v>
      </c>
      <c r="P46" s="42">
        <f t="shared" si="11"/>
        <v>635.20851977651284</v>
      </c>
      <c r="Q46" s="41">
        <f t="shared" si="12"/>
        <v>13.523987061466471</v>
      </c>
      <c r="T46" s="41">
        <f t="shared" si="14"/>
        <v>-2.2999977995691276</v>
      </c>
      <c r="U46" s="40">
        <f t="shared" si="13"/>
        <v>-6.2016888834219221</v>
      </c>
    </row>
    <row r="47" spans="1:21" x14ac:dyDescent="0.3">
      <c r="A47" s="22">
        <v>38</v>
      </c>
      <c r="B47" s="22" cm="1">
        <f t="array" ref="B47">KCASConv($K$4,A47,2)</f>
        <v>37.993495941162109</v>
      </c>
      <c r="C47" s="33" cm="1">
        <f t="array" ref="C47">KCASConv($K$4,A47,1)</f>
        <v>42.507282257080078</v>
      </c>
      <c r="D47" s="33">
        <f t="shared" si="3"/>
        <v>21.865885934711976</v>
      </c>
      <c r="E47" s="33">
        <f t="shared" si="4"/>
        <v>78.717189364963119</v>
      </c>
      <c r="F47" s="32" cm="1">
        <f t="array" ref="F47">KCASConv($K$4,A47,0)</f>
        <v>6.6702038049697876E-2</v>
      </c>
      <c r="G47" s="32">
        <f t="shared" si="5"/>
        <v>217.32903566950009</v>
      </c>
      <c r="H47" s="32">
        <f t="shared" si="6"/>
        <v>2.8449789420163789</v>
      </c>
      <c r="I47" s="32">
        <f t="shared" si="0"/>
        <v>28.45677409585954</v>
      </c>
      <c r="J47" s="38">
        <f t="shared" si="1"/>
        <v>0.03</v>
      </c>
      <c r="K47" s="39">
        <f t="shared" si="2"/>
        <v>0.26235110677903678</v>
      </c>
      <c r="L47" s="31">
        <f t="shared" si="7"/>
        <v>0.29235110677903675</v>
      </c>
      <c r="M47" s="31">
        <f t="shared" si="8"/>
        <v>9.7313773611490237</v>
      </c>
      <c r="N47" s="40">
        <f t="shared" si="9"/>
        <v>16.413977809230737</v>
      </c>
      <c r="O47" s="40">
        <f t="shared" si="10"/>
        <v>5.7694549393034631</v>
      </c>
      <c r="P47" s="42">
        <f t="shared" si="11"/>
        <v>604.23101291652347</v>
      </c>
      <c r="Q47" s="41">
        <f t="shared" si="12"/>
        <v>13.212046406648181</v>
      </c>
      <c r="T47" s="41">
        <f t="shared" si="14"/>
        <v>-2.2469466677973093</v>
      </c>
      <c r="U47" s="40">
        <f t="shared" si="13"/>
        <v>-5.8981475326890322</v>
      </c>
    </row>
    <row r="48" spans="1:21" x14ac:dyDescent="0.3">
      <c r="A48" s="22">
        <v>39</v>
      </c>
      <c r="B48" s="22" cm="1">
        <f t="array" ref="B48">KCASConv($K$4,A48,2)</f>
        <v>38.992969512939453</v>
      </c>
      <c r="C48" s="33" cm="1">
        <f t="array" ref="C48">KCASConv($K$4,A48,1)</f>
        <v>43.625564575195313</v>
      </c>
      <c r="D48" s="33">
        <f t="shared" si="3"/>
        <v>22.44113404073833</v>
      </c>
      <c r="E48" s="33">
        <f t="shared" si="4"/>
        <v>80.788082546657989</v>
      </c>
      <c r="F48" s="32" cm="1">
        <f t="array" ref="F48">KCASConv($K$4,A48,0)</f>
        <v>6.8456836044788361E-2</v>
      </c>
      <c r="G48" s="32">
        <f t="shared" si="5"/>
        <v>228.91444372609965</v>
      </c>
      <c r="H48" s="32">
        <f t="shared" si="6"/>
        <v>2.7009939604696047</v>
      </c>
      <c r="I48" s="32">
        <f t="shared" si="0"/>
        <v>26.907669856129946</v>
      </c>
      <c r="J48" s="38">
        <f t="shared" si="1"/>
        <v>0.03</v>
      </c>
      <c r="K48" s="39">
        <f t="shared" si="2"/>
        <v>0.2345652909202483</v>
      </c>
      <c r="L48" s="31">
        <f t="shared" si="7"/>
        <v>0.26456529092024827</v>
      </c>
      <c r="M48" s="31">
        <f t="shared" si="8"/>
        <v>10.209177292586745</v>
      </c>
      <c r="N48" s="40">
        <f t="shared" si="9"/>
        <v>16.778477597625024</v>
      </c>
      <c r="O48" s="40">
        <f t="shared" si="10"/>
        <v>6.2119641299412089</v>
      </c>
      <c r="P48" s="42">
        <f t="shared" si="11"/>
        <v>575.95238396630475</v>
      </c>
      <c r="Q48" s="41">
        <f t="shared" si="12"/>
        <v>12.925024649670634</v>
      </c>
      <c r="T48" s="41">
        <f t="shared" si="14"/>
        <v>-2.1981334438215367</v>
      </c>
      <c r="U48" s="40">
        <f t="shared" si="13"/>
        <v>-5.6211970491189343</v>
      </c>
    </row>
    <row r="49" spans="1:21" x14ac:dyDescent="0.3">
      <c r="A49" s="22">
        <v>40</v>
      </c>
      <c r="B49" s="22" cm="1">
        <f t="array" ref="B49">KCASConv($K$4,A49,2)</f>
        <v>39.992412567138672</v>
      </c>
      <c r="C49" s="33" cm="1">
        <f t="array" ref="C49">KCASConv($K$4,A49,1)</f>
        <v>44.743816375732422</v>
      </c>
      <c r="D49" s="33">
        <f t="shared" si="3"/>
        <v>23.01636644842203</v>
      </c>
      <c r="E49" s="33">
        <f t="shared" si="4"/>
        <v>82.858919214319315</v>
      </c>
      <c r="F49" s="32" cm="1">
        <f t="array" ref="F49">KCASConv($K$4,A49,0)</f>
        <v>7.0211589336395264E-2</v>
      </c>
      <c r="G49" s="32">
        <f t="shared" si="5"/>
        <v>240.80035527574873</v>
      </c>
      <c r="H49" s="32">
        <f t="shared" si="6"/>
        <v>2.5676728311319215</v>
      </c>
      <c r="I49" s="32">
        <f t="shared" si="0"/>
        <v>25.473295767361179</v>
      </c>
      <c r="J49" s="38">
        <f t="shared" si="1"/>
        <v>0.03</v>
      </c>
      <c r="K49" s="39">
        <f t="shared" si="2"/>
        <v>0.2102237818160525</v>
      </c>
      <c r="L49" s="31">
        <f t="shared" si="7"/>
        <v>0.2402237818160525</v>
      </c>
      <c r="M49" s="31">
        <f t="shared" si="8"/>
        <v>10.68867042105796</v>
      </c>
      <c r="N49" s="40">
        <f t="shared" si="9"/>
        <v>17.127482362201601</v>
      </c>
      <c r="O49" s="40">
        <f t="shared" si="10"/>
        <v>6.6704301866414957</v>
      </c>
      <c r="P49" s="42">
        <f t="shared" si="11"/>
        <v>550.11519378646915</v>
      </c>
      <c r="Q49" s="41">
        <f t="shared" si="12"/>
        <v>12.661652889034073</v>
      </c>
      <c r="T49" s="41">
        <f t="shared" si="14"/>
        <v>-2.1533423280670192</v>
      </c>
      <c r="U49" s="40">
        <f t="shared" si="13"/>
        <v>-5.3682724198456437</v>
      </c>
    </row>
    <row r="50" spans="1:21" x14ac:dyDescent="0.3">
      <c r="A50" s="22">
        <v>41</v>
      </c>
      <c r="B50" s="22" cm="1">
        <f t="array" ref="B50">KCASConv($K$4,A50,2)</f>
        <v>40.991832733154297</v>
      </c>
      <c r="C50" s="33" cm="1">
        <f t="array" ref="C50">KCASConv($K$4,A50,1)</f>
        <v>45.862041473388672</v>
      </c>
      <c r="D50" s="33">
        <f t="shared" si="3"/>
        <v>23.591585120055903</v>
      </c>
      <c r="E50" s="33">
        <f t="shared" si="4"/>
        <v>84.929706432201257</v>
      </c>
      <c r="F50" s="32" cm="1">
        <f t="array" ref="F50">KCASConv($K$4,A50,0)</f>
        <v>7.1966297924518585E-2</v>
      </c>
      <c r="G50" s="32">
        <f t="shared" si="5"/>
        <v>252.98678777598153</v>
      </c>
      <c r="H50" s="32">
        <f t="shared" si="6"/>
        <v>2.4439874327190263</v>
      </c>
      <c r="I50" s="32">
        <f t="shared" si="0"/>
        <v>24.142590488131646</v>
      </c>
      <c r="J50" s="38">
        <f t="shared" si="1"/>
        <v>0.03</v>
      </c>
      <c r="K50" s="39">
        <f t="shared" si="2"/>
        <v>0.18883361353271774</v>
      </c>
      <c r="L50" s="31">
        <f t="shared" si="7"/>
        <v>0.21883361353271774</v>
      </c>
      <c r="M50" s="31">
        <f t="shared" si="8"/>
        <v>11.168245103047784</v>
      </c>
      <c r="N50" s="40">
        <f t="shared" si="9"/>
        <v>17.459605266586927</v>
      </c>
      <c r="O50" s="40">
        <f t="shared" si="10"/>
        <v>7.1439014099849407</v>
      </c>
      <c r="P50" s="42">
        <f t="shared" si="11"/>
        <v>526.49274310745238</v>
      </c>
      <c r="Q50" s="41">
        <f t="shared" si="12"/>
        <v>12.420798364111189</v>
      </c>
      <c r="T50" s="41">
        <f t="shared" si="14"/>
        <v>-2.1123806741685698</v>
      </c>
      <c r="U50" s="40">
        <f t="shared" si="13"/>
        <v>-5.1371201517156706</v>
      </c>
    </row>
    <row r="51" spans="1:21" x14ac:dyDescent="0.3">
      <c r="A51" s="22">
        <v>42</v>
      </c>
      <c r="B51" s="22" cm="1">
        <f t="array" ref="B51">KCASConv($K$4,A51,2)</f>
        <v>41.991218566894531</v>
      </c>
      <c r="C51" s="33" cm="1">
        <f t="array" ref="C51">KCASConv($K$4,A51,1)</f>
        <v>46.980243682861328</v>
      </c>
      <c r="D51" s="33">
        <f t="shared" si="3"/>
        <v>24.166792017932782</v>
      </c>
      <c r="E51" s="33">
        <f t="shared" si="4"/>
        <v>87.000451264558009</v>
      </c>
      <c r="F51" s="32" cm="1">
        <f t="array" ref="F51">KCASConv($K$4,A51,0)</f>
        <v>7.3720969259738922E-2</v>
      </c>
      <c r="G51" s="32">
        <f t="shared" si="5"/>
        <v>265.47376278949497</v>
      </c>
      <c r="H51" s="32">
        <f t="shared" si="6"/>
        <v>2.3290306487226271</v>
      </c>
      <c r="I51" s="32">
        <f t="shared" si="0"/>
        <v>22.905794542044376</v>
      </c>
      <c r="J51" s="38">
        <f t="shared" si="1"/>
        <v>0.03</v>
      </c>
      <c r="K51" s="39">
        <f t="shared" si="2"/>
        <v>0.16998174763199306</v>
      </c>
      <c r="L51" s="31">
        <f t="shared" si="7"/>
        <v>0.19998174763199306</v>
      </c>
      <c r="M51" s="31">
        <f t="shared" si="8"/>
        <v>11.646216098723746</v>
      </c>
      <c r="N51" s="40">
        <f t="shared" si="9"/>
        <v>17.773479029567536</v>
      </c>
      <c r="O51" s="40">
        <f t="shared" si="10"/>
        <v>7.6312774326587434</v>
      </c>
      <c r="P51" s="42">
        <f t="shared" si="11"/>
        <v>504.88501588463237</v>
      </c>
      <c r="Q51" s="41">
        <f t="shared" si="12"/>
        <v>12.201451171854599</v>
      </c>
      <c r="T51" s="41">
        <f t="shared" si="14"/>
        <v>-2.0750767299072446</v>
      </c>
      <c r="U51" s="40">
        <f t="shared" si="13"/>
        <v>-4.9257560007906012</v>
      </c>
    </row>
    <row r="52" spans="1:21" x14ac:dyDescent="0.3">
      <c r="A52" s="22">
        <v>43</v>
      </c>
      <c r="B52" s="22" cm="1">
        <f t="array" ref="B52">KCASConv($K$4,A52,2)</f>
        <v>42.990577697753906</v>
      </c>
      <c r="C52" s="33" cm="1">
        <f t="array" ref="C52">KCASConv($K$4,A52,1)</f>
        <v>48.098415374755859</v>
      </c>
      <c r="D52" s="33">
        <f t="shared" si="3"/>
        <v>24.741983217467006</v>
      </c>
      <c r="E52" s="33">
        <f t="shared" si="4"/>
        <v>89.071139582881216</v>
      </c>
      <c r="F52" s="32" cm="1">
        <f t="array" ref="F52">KCASConv($K$4,A52,0)</f>
        <v>7.5475595891475677E-2</v>
      </c>
      <c r="G52" s="32">
        <f t="shared" si="5"/>
        <v>278.26117357012885</v>
      </c>
      <c r="H52" s="32">
        <f t="shared" si="6"/>
        <v>2.2220007269991187</v>
      </c>
      <c r="I52" s="32">
        <f t="shared" si="0"/>
        <v>21.75428204581954</v>
      </c>
      <c r="J52" s="38">
        <f t="shared" si="1"/>
        <v>0.03</v>
      </c>
      <c r="K52" s="39">
        <f t="shared" si="2"/>
        <v>0.15332080047241572</v>
      </c>
      <c r="L52" s="31">
        <f t="shared" si="7"/>
        <v>0.18332080047241572</v>
      </c>
      <c r="M52" s="31">
        <f t="shared" si="8"/>
        <v>12.120832558406066</v>
      </c>
      <c r="N52" s="40">
        <f t="shared" si="9"/>
        <v>18.067769862614036</v>
      </c>
      <c r="O52" s="40">
        <f t="shared" si="10"/>
        <v>8.1313069087133574</v>
      </c>
      <c r="P52" s="42">
        <f t="shared" si="11"/>
        <v>485.11519086385607</v>
      </c>
      <c r="Q52" s="41">
        <f t="shared" si="12"/>
        <v>12.002711910891831</v>
      </c>
      <c r="T52" s="41">
        <f t="shared" si="14"/>
        <v>-2.0412775358659574</v>
      </c>
      <c r="U52" s="40">
        <f t="shared" si="13"/>
        <v>-4.732428907814012</v>
      </c>
    </row>
    <row r="53" spans="1:21" x14ac:dyDescent="0.3">
      <c r="A53" s="22">
        <v>44</v>
      </c>
      <c r="B53" s="22" cm="1">
        <f t="array" ref="B53">KCASConv($K$4,A53,2)</f>
        <v>43.989906311035156</v>
      </c>
      <c r="C53" s="33" cm="1">
        <f t="array" ref="C53">KCASConv($K$4,A53,1)</f>
        <v>49.216560363769531</v>
      </c>
      <c r="D53" s="33">
        <f t="shared" si="3"/>
        <v>25.317160680951407</v>
      </c>
      <c r="E53" s="33">
        <f t="shared" si="4"/>
        <v>91.141778451425068</v>
      </c>
      <c r="F53" s="32" cm="1">
        <f t="array" ref="F53">KCASConv($K$4,A53,0)</f>
        <v>7.7230177819728851E-2</v>
      </c>
      <c r="G53" s="32">
        <f t="shared" si="5"/>
        <v>291.34904065548506</v>
      </c>
      <c r="H53" s="32">
        <f t="shared" si="6"/>
        <v>2.1221848837305033</v>
      </c>
      <c r="I53" s="32">
        <f t="shared" si="0"/>
        <v>20.680384307746316</v>
      </c>
      <c r="J53" s="38">
        <f t="shared" si="1"/>
        <v>0.03</v>
      </c>
      <c r="K53" s="39">
        <f t="shared" si="2"/>
        <v>0.13855709788915097</v>
      </c>
      <c r="L53" s="31">
        <f t="shared" si="7"/>
        <v>0.16855709788915096</v>
      </c>
      <c r="M53" s="31">
        <f t="shared" si="8"/>
        <v>12.59030269449778</v>
      </c>
      <c r="N53" s="40">
        <f t="shared" si="9"/>
        <v>18.341201403745043</v>
      </c>
      <c r="O53" s="40">
        <f t="shared" si="10"/>
        <v>8.6426029816515246</v>
      </c>
      <c r="P53" s="42">
        <f t="shared" si="11"/>
        <v>467.02610276158657</v>
      </c>
      <c r="Q53" s="41">
        <f t="shared" si="12"/>
        <v>11.823774885813611</v>
      </c>
      <c r="T53" s="41">
        <f t="shared" si="14"/>
        <v>-2.0108460690159204</v>
      </c>
      <c r="U53" s="40">
        <f t="shared" si="13"/>
        <v>-4.5555849227145355</v>
      </c>
    </row>
    <row r="54" spans="1:21" x14ac:dyDescent="0.3">
      <c r="A54" s="22">
        <v>45</v>
      </c>
      <c r="B54" s="22" cm="1">
        <f t="array" ref="B54">KCASConv($K$4,A54,2)</f>
        <v>44.989204406738281</v>
      </c>
      <c r="C54" s="33" cm="1">
        <f t="array" ref="C54">KCASConv($K$4,A54,1)</f>
        <v>50.334671020507813</v>
      </c>
      <c r="D54" s="33">
        <f t="shared" si="3"/>
        <v>25.892320483800315</v>
      </c>
      <c r="E54" s="33">
        <f t="shared" si="4"/>
        <v>93.212353741681142</v>
      </c>
      <c r="F54" s="32" cm="1">
        <f t="array" ref="F54">KCASConv($K$4,A54,0)</f>
        <v>7.8984707593917847E-2</v>
      </c>
      <c r="G54" s="32">
        <f t="shared" si="5"/>
        <v>304.7372501178836</v>
      </c>
      <c r="H54" s="32">
        <f t="shared" si="6"/>
        <v>2.0289496270287741</v>
      </c>
      <c r="I54" s="32">
        <f t="shared" si="0"/>
        <v>19.677285721370442</v>
      </c>
      <c r="J54" s="38">
        <f t="shared" si="1"/>
        <v>0.03</v>
      </c>
      <c r="K54" s="39">
        <f t="shared" si="2"/>
        <v>0.12544170600424884</v>
      </c>
      <c r="L54" s="31">
        <f t="shared" si="7"/>
        <v>0.15544170600424884</v>
      </c>
      <c r="M54" s="31">
        <f t="shared" si="8"/>
        <v>13.052800816360797</v>
      </c>
      <c r="N54" s="40">
        <f t="shared" si="9"/>
        <v>18.592566488866375</v>
      </c>
      <c r="O54" s="40">
        <f t="shared" si="10"/>
        <v>9.1636412462805303</v>
      </c>
      <c r="P54" s="42">
        <f t="shared" si="11"/>
        <v>450.47803017340311</v>
      </c>
      <c r="Q54" s="41">
        <f t="shared" si="12"/>
        <v>11.663921528160822</v>
      </c>
      <c r="T54" s="41">
        <f t="shared" si="14"/>
        <v>-1.9836601238368743</v>
      </c>
      <c r="U54" s="40">
        <f t="shared" si="13"/>
        <v>-4.393844460774984</v>
      </c>
    </row>
    <row r="55" spans="1:21" x14ac:dyDescent="0.3">
      <c r="A55" s="22">
        <v>46</v>
      </c>
      <c r="B55" s="22" cm="1">
        <f t="array" ref="B55">KCASConv($K$4,A55,2)</f>
        <v>45.988468170166016</v>
      </c>
      <c r="C55" s="33" cm="1">
        <f t="array" ref="C55">KCASConv($K$4,A55,1)</f>
        <v>51.4527587890625</v>
      </c>
      <c r="D55" s="33">
        <f t="shared" si="3"/>
        <v>26.467468512892232</v>
      </c>
      <c r="E55" s="33">
        <f t="shared" si="4"/>
        <v>95.282886646412038</v>
      </c>
      <c r="F55" s="32" cm="1">
        <f t="array" ref="F55">KCASConv($K$4,A55,0)</f>
        <v>8.0739200115203857E-2</v>
      </c>
      <c r="G55" s="32">
        <f t="shared" si="5"/>
        <v>318.42591590232701</v>
      </c>
      <c r="H55" s="32">
        <f t="shared" si="6"/>
        <v>1.9417280412506019</v>
      </c>
      <c r="I55" s="32">
        <f t="shared" si="0"/>
        <v>18.738886960100938</v>
      </c>
      <c r="J55" s="38">
        <f t="shared" si="1"/>
        <v>0.03</v>
      </c>
      <c r="K55" s="39">
        <f t="shared" si="2"/>
        <v>0.11376250618308849</v>
      </c>
      <c r="L55" s="31">
        <f t="shared" si="7"/>
        <v>0.1437625061830885</v>
      </c>
      <c r="M55" s="31">
        <f t="shared" si="8"/>
        <v>13.506498271376248</v>
      </c>
      <c r="N55" s="40">
        <f t="shared" si="9"/>
        <v>18.820751848892161</v>
      </c>
      <c r="O55" s="40">
        <f t="shared" si="10"/>
        <v>9.6927846995351352</v>
      </c>
      <c r="P55" s="42">
        <f t="shared" si="11"/>
        <v>435.34600026279469</v>
      </c>
      <c r="Q55" s="41">
        <f t="shared" si="12"/>
        <v>11.522506554169091</v>
      </c>
      <c r="T55" s="41">
        <f t="shared" si="14"/>
        <v>-1.9596099581920223</v>
      </c>
      <c r="U55" s="40">
        <f t="shared" si="13"/>
        <v>-4.2459750997112113</v>
      </c>
    </row>
    <row r="56" spans="1:21" x14ac:dyDescent="0.3">
      <c r="A56" s="22">
        <v>47</v>
      </c>
      <c r="B56" s="22" cm="1">
        <f t="array" ref="B56">KCASConv($K$4,A56,2)</f>
        <v>46.987701416015625</v>
      </c>
      <c r="C56" s="33" cm="1">
        <f t="array" ref="C56">KCASConv($K$4,A56,1)</f>
        <v>52.570816040039063</v>
      </c>
      <c r="D56" s="33">
        <f t="shared" si="3"/>
        <v>27.042600843641495</v>
      </c>
      <c r="E56" s="33">
        <f t="shared" si="4"/>
        <v>97.353363037109389</v>
      </c>
      <c r="F56" s="32" cm="1">
        <f t="array" ref="F56">KCASConv($K$4,A56,0)</f>
        <v>8.249364048242569E-2</v>
      </c>
      <c r="G56" s="32">
        <f t="shared" si="5"/>
        <v>332.4149230562715</v>
      </c>
      <c r="H56" s="32">
        <f t="shared" si="6"/>
        <v>1.8600143588132128</v>
      </c>
      <c r="I56" s="32">
        <f t="shared" si="0"/>
        <v>17.859746576514784</v>
      </c>
      <c r="J56" s="38">
        <f t="shared" si="1"/>
        <v>0.03</v>
      </c>
      <c r="K56" s="39">
        <f t="shared" si="2"/>
        <v>0.10333849979490847</v>
      </c>
      <c r="L56" s="31">
        <f t="shared" si="7"/>
        <v>0.13333849979490847</v>
      </c>
      <c r="M56" s="31">
        <f t="shared" si="8"/>
        <v>13.949567166828416</v>
      </c>
      <c r="N56" s="40">
        <f t="shared" si="9"/>
        <v>19.024746594670003</v>
      </c>
      <c r="O56" s="40">
        <f t="shared" si="10"/>
        <v>10.228279424041004</v>
      </c>
      <c r="P56" s="42">
        <f t="shared" si="11"/>
        <v>421.51845499424775</v>
      </c>
      <c r="Q56" s="41">
        <f t="shared" si="12"/>
        <v>11.398955326637905</v>
      </c>
      <c r="T56" s="41">
        <f t="shared" si="14"/>
        <v>-1.9385978446663104</v>
      </c>
      <c r="U56" s="40">
        <f t="shared" si="13"/>
        <v>-4.1108778851081205</v>
      </c>
    </row>
    <row r="57" spans="1:21" x14ac:dyDescent="0.3">
      <c r="A57" s="22">
        <v>48</v>
      </c>
      <c r="B57" s="22" cm="1">
        <f t="array" ref="B57">KCASConv($K$4,A57,2)</f>
        <v>47.986900329589844</v>
      </c>
      <c r="C57" s="33" cm="1">
        <f t="array" ref="C57">KCASConv($K$4,A57,1)</f>
        <v>53.688835144042969</v>
      </c>
      <c r="D57" s="33">
        <f t="shared" si="3"/>
        <v>27.617713551462433</v>
      </c>
      <c r="E57" s="33">
        <f t="shared" si="4"/>
        <v>99.423768785264755</v>
      </c>
      <c r="F57" s="32" cm="1">
        <f t="array" ref="F57">KCASConv($K$4,A57,0)</f>
        <v>8.4248028695583344E-2</v>
      </c>
      <c r="G57" s="32">
        <f t="shared" si="5"/>
        <v>346.70414841978788</v>
      </c>
      <c r="H57" s="32">
        <f t="shared" si="6"/>
        <v>1.7833548654855538</v>
      </c>
      <c r="I57" s="32">
        <f t="shared" si="0"/>
        <v>17.034983154290632</v>
      </c>
      <c r="J57" s="38">
        <f t="shared" si="1"/>
        <v>0.03</v>
      </c>
      <c r="K57" s="39">
        <f t="shared" si="2"/>
        <v>9.4014531262309686E-2</v>
      </c>
      <c r="L57" s="31">
        <f t="shared" si="7"/>
        <v>0.12401453126230969</v>
      </c>
      <c r="M57" s="31">
        <f t="shared" si="8"/>
        <v>14.380208894339049</v>
      </c>
      <c r="N57" s="40">
        <f t="shared" si="9"/>
        <v>19.203663191324093</v>
      </c>
      <c r="O57" s="40">
        <f t="shared" si="10"/>
        <v>10.768279248838965</v>
      </c>
      <c r="P57" s="42">
        <f t="shared" si="11"/>
        <v>408.89531182782304</v>
      </c>
      <c r="Q57" s="41">
        <f t="shared" si="12"/>
        <v>11.292753594596725</v>
      </c>
      <c r="T57" s="41">
        <f t="shared" si="14"/>
        <v>-1.9205363256116879</v>
      </c>
      <c r="U57" s="40">
        <f t="shared" si="13"/>
        <v>-3.987567867695506</v>
      </c>
    </row>
    <row r="58" spans="1:21" x14ac:dyDescent="0.3">
      <c r="A58" s="22">
        <v>49</v>
      </c>
      <c r="B58" s="22" cm="1">
        <f t="array" ref="B58">KCASConv($K$4,A58,2)</f>
        <v>48.986064910888672</v>
      </c>
      <c r="C58" s="33" cm="1">
        <f t="array" ref="C58">KCASConv($K$4,A58,1)</f>
        <v>54.806827545166016</v>
      </c>
      <c r="D58" s="33">
        <f t="shared" si="3"/>
        <v>28.192812523233549</v>
      </c>
      <c r="E58" s="33">
        <f t="shared" si="4"/>
        <v>101.49412508364078</v>
      </c>
      <c r="F58" s="32" cm="1">
        <f t="array" ref="F58">KCASConv($K$4,A58,0)</f>
        <v>8.6002372205257416E-2</v>
      </c>
      <c r="G58" s="32">
        <f t="shared" si="5"/>
        <v>361.29371209593796</v>
      </c>
      <c r="H58" s="32">
        <f t="shared" si="6"/>
        <v>1.7113404116047051</v>
      </c>
      <c r="I58" s="32">
        <f t="shared" si="0"/>
        <v>16.260194737955739</v>
      </c>
      <c r="J58" s="38">
        <f t="shared" si="1"/>
        <v>0.03</v>
      </c>
      <c r="K58" s="39">
        <f t="shared" si="2"/>
        <v>8.5657038158624604E-2</v>
      </c>
      <c r="L58" s="31">
        <f t="shared" si="7"/>
        <v>0.1156570381586246</v>
      </c>
      <c r="M58" s="31">
        <f t="shared" si="8"/>
        <v>14.796681973280236</v>
      </c>
      <c r="N58" s="40">
        <f t="shared" si="9"/>
        <v>19.356754524234489</v>
      </c>
      <c r="O58" s="40">
        <f t="shared" si="10"/>
        <v>11.310873273940787</v>
      </c>
      <c r="P58" s="42">
        <f t="shared" si="11"/>
        <v>397.38638774679828</v>
      </c>
      <c r="Q58" s="41">
        <f t="shared" si="12"/>
        <v>11.203439929030477</v>
      </c>
      <c r="T58" s="41">
        <f t="shared" si="14"/>
        <v>-1.9053469267058636</v>
      </c>
      <c r="U58" s="40">
        <f t="shared" si="13"/>
        <v>-3.8751583085809522</v>
      </c>
    </row>
    <row r="59" spans="1:21" x14ac:dyDescent="0.3">
      <c r="A59" s="22">
        <v>50</v>
      </c>
      <c r="B59" s="22" cm="1">
        <f t="array" ref="B59">KCASConv($K$4,A59,2)</f>
        <v>49.985195159912109</v>
      </c>
      <c r="C59" s="33" cm="1">
        <f t="array" ref="C59">KCASConv($K$4,A59,1)</f>
        <v>55.924785614013672</v>
      </c>
      <c r="D59" s="33">
        <f t="shared" si="3"/>
        <v>28.767893834369172</v>
      </c>
      <c r="E59" s="33">
        <f t="shared" si="4"/>
        <v>103.56441780372901</v>
      </c>
      <c r="F59" s="32" cm="1">
        <f t="array" ref="F59">KCASConv($K$4,A59,0)</f>
        <v>8.775666356086731E-2</v>
      </c>
      <c r="G59" s="32">
        <f t="shared" si="5"/>
        <v>376.1834899003486</v>
      </c>
      <c r="H59" s="32">
        <f t="shared" si="6"/>
        <v>1.6436035779567084</v>
      </c>
      <c r="I59" s="32">
        <f t="shared" si="0"/>
        <v>15.53142834119177</v>
      </c>
      <c r="J59" s="38">
        <f t="shared" si="1"/>
        <v>0.03</v>
      </c>
      <c r="K59" s="39">
        <f t="shared" si="2"/>
        <v>7.8150968193111084E-2</v>
      </c>
      <c r="L59" s="31">
        <f t="shared" si="7"/>
        <v>0.10815096819311108</v>
      </c>
      <c r="M59" s="31">
        <f t="shared" si="8"/>
        <v>15.19730803539308</v>
      </c>
      <c r="N59" s="40">
        <f t="shared" si="9"/>
        <v>19.483420569112667</v>
      </c>
      <c r="O59" s="40">
        <f t="shared" si="10"/>
        <v>11.854087463921211</v>
      </c>
      <c r="P59" s="42">
        <f t="shared" si="11"/>
        <v>386.91062827087808</v>
      </c>
      <c r="Q59" s="41">
        <f t="shared" si="12"/>
        <v>11.130603877485695</v>
      </c>
      <c r="T59" s="41">
        <f t="shared" si="14"/>
        <v>-1.892959843109812</v>
      </c>
      <c r="U59" s="40">
        <f t="shared" si="13"/>
        <v>-3.7728528355458066</v>
      </c>
    </row>
    <row r="60" spans="1:21" x14ac:dyDescent="0.3">
      <c r="A60" s="22">
        <v>51</v>
      </c>
      <c r="B60" s="22" cm="1">
        <f t="array" ref="B60">KCASConv($K$4,A60,2)</f>
        <v>50.984291076660156</v>
      </c>
      <c r="C60" s="33" cm="1">
        <f t="array" ref="C60">KCASConv($K$4,A60,1)</f>
        <v>57.042713165283203</v>
      </c>
      <c r="D60" s="33">
        <f t="shared" si="3"/>
        <v>29.342959447162141</v>
      </c>
      <c r="E60" s="33">
        <f t="shared" si="4"/>
        <v>105.6346540097837</v>
      </c>
      <c r="F60" s="32" cm="1">
        <f t="array" ref="F60">KCASConv($K$4,A60,0)</f>
        <v>8.9510902762413025E-2</v>
      </c>
      <c r="G60" s="32">
        <f t="shared" si="5"/>
        <v>391.37350647935142</v>
      </c>
      <c r="H60" s="32">
        <f t="shared" si="6"/>
        <v>1.579811918109677</v>
      </c>
      <c r="I60" s="32">
        <f t="shared" si="0"/>
        <v>14.845107242512999</v>
      </c>
      <c r="J60" s="38">
        <f t="shared" si="1"/>
        <v>0.03</v>
      </c>
      <c r="K60" s="39">
        <f t="shared" si="2"/>
        <v>7.1396717753569053E-2</v>
      </c>
      <c r="L60" s="31">
        <f t="shared" si="7"/>
        <v>0.10139671775356905</v>
      </c>
      <c r="M60" s="31">
        <f t="shared" si="8"/>
        <v>15.58050352230528</v>
      </c>
      <c r="N60" s="40">
        <f t="shared" si="9"/>
        <v>19.583223558484125</v>
      </c>
      <c r="O60" s="40">
        <f t="shared" si="10"/>
        <v>12.395920890327513</v>
      </c>
      <c r="P60" s="42">
        <f t="shared" si="11"/>
        <v>377.39473513048563</v>
      </c>
      <c r="Q60" s="41">
        <f t="shared" si="12"/>
        <v>11.073878408506337</v>
      </c>
      <c r="T60" s="41">
        <f t="shared" si="14"/>
        <v>-1.8833126545078802</v>
      </c>
      <c r="U60" s="40">
        <f t="shared" si="13"/>
        <v>-3.6799317930587176</v>
      </c>
    </row>
    <row r="61" spans="1:21" x14ac:dyDescent="0.3">
      <c r="A61" s="22">
        <v>52</v>
      </c>
      <c r="B61" s="22" cm="1">
        <f t="array" ref="B61">KCASConv($K$4,A61,2)</f>
        <v>51.983352661132813</v>
      </c>
      <c r="C61" s="33" cm="1">
        <f t="array" ref="C61">KCASConv($K$4,A61,1)</f>
        <v>58.160606384277344</v>
      </c>
      <c r="D61" s="33">
        <f t="shared" si="3"/>
        <v>29.91800739931962</v>
      </c>
      <c r="E61" s="33">
        <f t="shared" si="4"/>
        <v>107.70482663755064</v>
      </c>
      <c r="F61" s="32" cm="1">
        <f t="array" ref="F61">KCASConv($K$4,A61,0)</f>
        <v>9.1265089809894562E-2</v>
      </c>
      <c r="G61" s="32">
        <f t="shared" si="5"/>
        <v>406.86368384034233</v>
      </c>
      <c r="H61" s="32">
        <f t="shared" si="6"/>
        <v>1.5196650734035051</v>
      </c>
      <c r="I61" s="32">
        <f t="shared" ref="I61:I92" si="15">(H61-$E$9)/$E$10*180/PI()</f>
        <v>14.197999946045277</v>
      </c>
      <c r="J61" s="38">
        <f t="shared" ref="J61:J92" si="16">$E$12</f>
        <v>0.03</v>
      </c>
      <c r="K61" s="39">
        <f t="shared" ref="K61:K92" si="17">$E$23*(H61-$E$11)^2</f>
        <v>6.5307928496985454E-2</v>
      </c>
      <c r="L61" s="31">
        <f t="shared" si="7"/>
        <v>9.5307928496985453E-2</v>
      </c>
      <c r="M61" s="31">
        <f t="shared" si="8"/>
        <v>15.944791764638673</v>
      </c>
      <c r="N61" s="40">
        <f t="shared" si="9"/>
        <v>19.655893614586681</v>
      </c>
      <c r="O61" s="40">
        <f t="shared" si="10"/>
        <v>12.93435899698907</v>
      </c>
      <c r="P61" s="42">
        <f t="shared" si="11"/>
        <v>368.77245477989146</v>
      </c>
      <c r="Q61" s="41">
        <f t="shared" si="12"/>
        <v>11.032937030770052</v>
      </c>
      <c r="T61" s="41">
        <f t="shared" si="14"/>
        <v>-1.8763498351649748</v>
      </c>
      <c r="U61" s="40">
        <f t="shared" si="13"/>
        <v>-3.5957450996045153</v>
      </c>
    </row>
    <row r="62" spans="1:21" x14ac:dyDescent="0.3">
      <c r="A62" s="22">
        <v>53</v>
      </c>
      <c r="B62" s="22" cm="1">
        <f t="array" ref="B62">KCASConv($K$4,A62,2)</f>
        <v>52.982372283935547</v>
      </c>
      <c r="C62" s="33" cm="1">
        <f t="array" ref="C62">KCASConv($K$4,A62,1)</f>
        <v>59.278465270996094</v>
      </c>
      <c r="D62" s="33">
        <f t="shared" si="3"/>
        <v>30.493037690841614</v>
      </c>
      <c r="E62" s="33">
        <f t="shared" si="4"/>
        <v>109.77493568702981</v>
      </c>
      <c r="F62" s="32" cm="1">
        <f t="array" ref="F62">KCASConv($K$4,A62,0)</f>
        <v>9.301922470331192E-2</v>
      </c>
      <c r="G62" s="32">
        <f t="shared" si="5"/>
        <v>422.65399428552388</v>
      </c>
      <c r="H62" s="32">
        <f t="shared" si="6"/>
        <v>1.4628905400826853</v>
      </c>
      <c r="I62" s="32">
        <f t="shared" si="15"/>
        <v>13.58717464099511</v>
      </c>
      <c r="J62" s="38">
        <f t="shared" si="16"/>
        <v>0.03</v>
      </c>
      <c r="K62" s="39">
        <f t="shared" si="17"/>
        <v>5.9809460283319349E-2</v>
      </c>
      <c r="L62" s="31">
        <f t="shared" si="7"/>
        <v>8.9809460283319348E-2</v>
      </c>
      <c r="M62" s="31">
        <f t="shared" si="8"/>
        <v>16.28882453438364</v>
      </c>
      <c r="N62" s="40">
        <f t="shared" si="9"/>
        <v>19.701335227667201</v>
      </c>
      <c r="O62" s="40">
        <f t="shared" si="10"/>
        <v>13.467402165683323</v>
      </c>
      <c r="P62" s="42">
        <f t="shared" si="11"/>
        <v>360.98369084816812</v>
      </c>
      <c r="Q62" s="41">
        <f t="shared" si="12"/>
        <v>11.007489290812307</v>
      </c>
      <c r="T62" s="41">
        <f t="shared" si="14"/>
        <v>-1.8720219882333857</v>
      </c>
      <c r="U62" s="40">
        <f t="shared" si="13"/>
        <v>-3.5197034263141371</v>
      </c>
    </row>
    <row r="63" spans="1:21" x14ac:dyDescent="0.3">
      <c r="A63" s="22">
        <v>54</v>
      </c>
      <c r="B63" s="22" cm="1">
        <f t="array" ref="B63">KCASConv($K$4,A63,2)</f>
        <v>53.981357574462891</v>
      </c>
      <c r="C63" s="33" cm="1">
        <f t="array" ref="C63">KCASConv($K$4,A63,1)</f>
        <v>60.396286010742188</v>
      </c>
      <c r="D63" s="33">
        <f t="shared" si="3"/>
        <v>31.068048359435281</v>
      </c>
      <c r="E63" s="33">
        <f t="shared" si="4"/>
        <v>111.84497409396701</v>
      </c>
      <c r="F63" s="32" cm="1">
        <f t="array" ref="F63">KCASConv($K$4,A63,0)</f>
        <v>9.4773299992084503E-2</v>
      </c>
      <c r="G63" s="32">
        <f t="shared" si="5"/>
        <v>438.74435469477481</v>
      </c>
      <c r="H63" s="32">
        <f t="shared" si="6"/>
        <v>1.4092409927384482</v>
      </c>
      <c r="I63" s="32">
        <f t="shared" si="15"/>
        <v>13.009970405124632</v>
      </c>
      <c r="J63" s="38">
        <f t="shared" si="16"/>
        <v>0.03</v>
      </c>
      <c r="K63" s="39">
        <f t="shared" si="17"/>
        <v>5.4835800215418389E-2</v>
      </c>
      <c r="L63" s="31">
        <f t="shared" si="7"/>
        <v>8.4835800215418394E-2</v>
      </c>
      <c r="M63" s="31">
        <f t="shared" si="8"/>
        <v>16.611395061519406</v>
      </c>
      <c r="N63" s="40">
        <f t="shared" si="9"/>
        <v>19.719629038613959</v>
      </c>
      <c r="O63" s="40">
        <f t="shared" si="10"/>
        <v>13.993085029619115</v>
      </c>
      <c r="P63" s="42">
        <f t="shared" si="11"/>
        <v>353.97388227922681</v>
      </c>
      <c r="Q63" s="41">
        <f t="shared" si="12"/>
        <v>10.997277692628069</v>
      </c>
      <c r="T63" s="41">
        <f t="shared" si="14"/>
        <v>-1.870285321875522</v>
      </c>
      <c r="U63" s="40">
        <f t="shared" si="13"/>
        <v>-3.4512720020166983</v>
      </c>
    </row>
    <row r="64" spans="1:21" x14ac:dyDescent="0.3">
      <c r="A64" s="22">
        <v>55</v>
      </c>
      <c r="B64" s="22" cm="1">
        <f t="array" ref="B64">KCASConv($K$4,A64,2)</f>
        <v>54.980304718017578</v>
      </c>
      <c r="C64" s="33" cm="1">
        <f t="array" ref="C64">KCASConv($K$4,A64,1)</f>
        <v>61.514068603515625</v>
      </c>
      <c r="D64" s="33">
        <f t="shared" si="3"/>
        <v>31.64303940510063</v>
      </c>
      <c r="E64" s="33">
        <f t="shared" si="4"/>
        <v>113.91494185836227</v>
      </c>
      <c r="F64" s="32" cm="1">
        <f t="array" ref="F64">KCASConv($K$4,A64,0)</f>
        <v>9.6527315676212311E-2</v>
      </c>
      <c r="G64" s="32">
        <f t="shared" si="5"/>
        <v>455.13473429476016</v>
      </c>
      <c r="H64" s="32">
        <f t="shared" si="6"/>
        <v>1.3584911969562514</v>
      </c>
      <c r="I64" s="32">
        <f t="shared" si="15"/>
        <v>12.463963988572967</v>
      </c>
      <c r="J64" s="38">
        <f t="shared" si="16"/>
        <v>0.03</v>
      </c>
      <c r="K64" s="39">
        <f t="shared" si="17"/>
        <v>5.0329653366438354E-2</v>
      </c>
      <c r="L64" s="31">
        <f t="shared" si="7"/>
        <v>8.0329653366438353E-2</v>
      </c>
      <c r="M64" s="31">
        <f t="shared" si="8"/>
        <v>16.91145349226451</v>
      </c>
      <c r="N64" s="40">
        <f t="shared" si="9"/>
        <v>19.711031403896097</v>
      </c>
      <c r="O64" s="40">
        <f t="shared" si="10"/>
        <v>14.50950248927588</v>
      </c>
      <c r="P64" s="42">
        <f t="shared" si="11"/>
        <v>347.69335484318827</v>
      </c>
      <c r="Q64" s="41">
        <f t="shared" si="12"/>
        <v>11.002074528194642</v>
      </c>
      <c r="T64" s="41">
        <f t="shared" si="14"/>
        <v>-1.871101110237184</v>
      </c>
      <c r="U64" s="40">
        <f t="shared" si="13"/>
        <v>-3.3899641833959597</v>
      </c>
    </row>
    <row r="65" spans="1:21" x14ac:dyDescent="0.3">
      <c r="A65" s="22">
        <v>56</v>
      </c>
      <c r="B65" s="22" cm="1">
        <f t="array" ref="B65">KCASConv($K$4,A65,2)</f>
        <v>55.979213714599609</v>
      </c>
      <c r="C65" s="33" cm="1">
        <f t="array" ref="C65">KCASConv($K$4,A65,1)</f>
        <v>62.631824493408203</v>
      </c>
      <c r="D65" s="33">
        <f t="shared" si="3"/>
        <v>32.218016714716157</v>
      </c>
      <c r="E65" s="33">
        <f t="shared" si="4"/>
        <v>115.98486017297817</v>
      </c>
      <c r="F65" s="32" cm="1">
        <f t="array" ref="F65">KCASConv($K$4,A65,0)</f>
        <v>9.8281286656856537E-2</v>
      </c>
      <c r="G65" s="32">
        <f t="shared" si="5"/>
        <v>471.82527473708035</v>
      </c>
      <c r="H65" s="32">
        <f t="shared" si="6"/>
        <v>1.3104353731643423</v>
      </c>
      <c r="I65" s="32">
        <f t="shared" si="15"/>
        <v>11.946941452055425</v>
      </c>
      <c r="J65" s="38">
        <f t="shared" si="16"/>
        <v>0.03</v>
      </c>
      <c r="K65" s="39">
        <f t="shared" si="17"/>
        <v>4.6240768042287168E-2</v>
      </c>
      <c r="L65" s="31">
        <f t="shared" si="7"/>
        <v>7.624076804228716E-2</v>
      </c>
      <c r="M65" s="31">
        <f t="shared" si="8"/>
        <v>17.188118729831075</v>
      </c>
      <c r="N65" s="40">
        <f t="shared" si="9"/>
        <v>19.675969868884781</v>
      </c>
      <c r="O65" s="40">
        <f t="shared" si="10"/>
        <v>15.014834208399536</v>
      </c>
      <c r="P65" s="42">
        <f t="shared" si="11"/>
        <v>342.0967758265997</v>
      </c>
      <c r="Q65" s="41">
        <f t="shared" si="12"/>
        <v>11.021679641631895</v>
      </c>
      <c r="T65" s="41">
        <f t="shared" si="14"/>
        <v>-1.8744353132027034</v>
      </c>
      <c r="U65" s="40">
        <f t="shared" si="13"/>
        <v>-3.3353360524049367</v>
      </c>
    </row>
    <row r="66" spans="1:21" x14ac:dyDescent="0.3">
      <c r="A66" s="22">
        <v>57</v>
      </c>
      <c r="B66" s="22" cm="1">
        <f t="array" ref="B66">KCASConv($K$4,A66,2)</f>
        <v>56.978084564208984</v>
      </c>
      <c r="C66" s="33" cm="1">
        <f t="array" ref="C66">KCASConv($K$4,A66,1)</f>
        <v>63.749538421630859</v>
      </c>
      <c r="D66" s="33">
        <f t="shared" si="3"/>
        <v>32.792972439110528</v>
      </c>
      <c r="E66" s="33">
        <f t="shared" si="4"/>
        <v>118.0547007807979</v>
      </c>
      <c r="F66" s="32" cm="1">
        <f t="array" ref="F66">KCASConv($K$4,A66,0)</f>
        <v>0.10003519058227539</v>
      </c>
      <c r="G66" s="32">
        <f t="shared" si="5"/>
        <v>488.8157204803681</v>
      </c>
      <c r="H66" s="32">
        <f t="shared" si="6"/>
        <v>1.2648867539710937</v>
      </c>
      <c r="I66" s="32">
        <f t="shared" si="15"/>
        <v>11.456893404348669</v>
      </c>
      <c r="J66" s="38">
        <f t="shared" si="16"/>
        <v>0.03</v>
      </c>
      <c r="K66" s="39">
        <f t="shared" si="17"/>
        <v>4.2525097011270885E-2</v>
      </c>
      <c r="L66" s="31">
        <f t="shared" si="7"/>
        <v>7.2525097011270884E-2</v>
      </c>
      <c r="M66" s="31">
        <f t="shared" si="8"/>
        <v>17.440676484369568</v>
      </c>
      <c r="N66" s="40">
        <f t="shared" si="9"/>
        <v>19.615037761230067</v>
      </c>
      <c r="O66" s="40">
        <f t="shared" si="10"/>
        <v>15.507346961812148</v>
      </c>
      <c r="P66" s="42">
        <f t="shared" si="11"/>
        <v>337.14288578597791</v>
      </c>
      <c r="Q66" s="41">
        <f t="shared" si="12"/>
        <v>11.055917361621763</v>
      </c>
      <c r="T66" s="41">
        <f t="shared" si="14"/>
        <v>-1.8802580546975787</v>
      </c>
      <c r="U66" s="40">
        <f t="shared" si="13"/>
        <v>-3.2869837337184951</v>
      </c>
    </row>
    <row r="67" spans="1:21" x14ac:dyDescent="0.3">
      <c r="A67" s="22">
        <v>58</v>
      </c>
      <c r="B67" s="22" cm="1">
        <f t="array" ref="B67">KCASConv($K$4,A67,2)</f>
        <v>57.976913452148438</v>
      </c>
      <c r="C67" s="33" cm="1">
        <f t="array" ref="C67">KCASConv($K$4,A67,1)</f>
        <v>64.867210388183594</v>
      </c>
      <c r="D67" s="33">
        <f t="shared" si="3"/>
        <v>33.367906578283744</v>
      </c>
      <c r="E67" s="33">
        <f t="shared" si="4"/>
        <v>120.12446368182148</v>
      </c>
      <c r="F67" s="32" cm="1">
        <f t="array" ref="F67">KCASConv($K$4,A67,0)</f>
        <v>0.10178903490304947</v>
      </c>
      <c r="G67" s="32">
        <f t="shared" si="5"/>
        <v>506.10603767718936</v>
      </c>
      <c r="H67" s="32">
        <f t="shared" si="6"/>
        <v>1.2216738863779837</v>
      </c>
      <c r="I67" s="32">
        <f t="shared" si="15"/>
        <v>10.991975218575147</v>
      </c>
      <c r="J67" s="38">
        <f t="shared" si="16"/>
        <v>0.03</v>
      </c>
      <c r="K67" s="39">
        <f t="shared" si="17"/>
        <v>3.9143805914587736E-2</v>
      </c>
      <c r="L67" s="31">
        <f t="shared" si="7"/>
        <v>6.9143805914587742E-2</v>
      </c>
      <c r="M67" s="31">
        <f t="shared" si="8"/>
        <v>17.668594752899462</v>
      </c>
      <c r="N67" s="40">
        <f t="shared" si="9"/>
        <v>19.528984255196178</v>
      </c>
      <c r="O67" s="40">
        <f t="shared" si="10"/>
        <v>15.985431523870638</v>
      </c>
      <c r="P67" s="42">
        <f t="shared" si="11"/>
        <v>332.79386856926334</v>
      </c>
      <c r="Q67" s="41">
        <f t="shared" si="12"/>
        <v>11.104634716244819</v>
      </c>
      <c r="T67" s="41">
        <f t="shared" si="14"/>
        <v>-1.8885433190892549</v>
      </c>
      <c r="U67" s="40">
        <f t="shared" si="13"/>
        <v>-3.2445371937834877</v>
      </c>
    </row>
    <row r="68" spans="1:21" x14ac:dyDescent="0.3">
      <c r="A68" s="22">
        <v>59</v>
      </c>
      <c r="B68" s="22" cm="1">
        <f t="array" ref="B68">KCASConv($K$4,A68,2)</f>
        <v>58.975700378417969</v>
      </c>
      <c r="C68" s="33" cm="1">
        <f t="array" ref="C68">KCASConv($K$4,A68,1)</f>
        <v>65.984855651855469</v>
      </c>
      <c r="D68" s="33">
        <f t="shared" si="3"/>
        <v>33.942826981407137</v>
      </c>
      <c r="E68" s="33">
        <f t="shared" si="4"/>
        <v>122.19417713306569</v>
      </c>
      <c r="F68" s="32" cm="1">
        <f t="array" ref="F68">KCASConv($K$4,A68,0)</f>
        <v>0.10354282706975937</v>
      </c>
      <c r="G68" s="32">
        <f t="shared" si="5"/>
        <v>523.69643468763945</v>
      </c>
      <c r="H68" s="32">
        <f t="shared" si="6"/>
        <v>1.1806391814319672</v>
      </c>
      <c r="I68" s="32">
        <f t="shared" si="15"/>
        <v>10.550491428216938</v>
      </c>
      <c r="J68" s="38">
        <f t="shared" si="16"/>
        <v>0.03</v>
      </c>
      <c r="K68" s="39">
        <f t="shared" si="17"/>
        <v>3.6062592641949165E-2</v>
      </c>
      <c r="L68" s="31">
        <f t="shared" si="7"/>
        <v>6.6062592641949164E-2</v>
      </c>
      <c r="M68" s="31">
        <f t="shared" si="8"/>
        <v>17.871523569032192</v>
      </c>
      <c r="N68" s="40">
        <f t="shared" si="9"/>
        <v>19.418700974680046</v>
      </c>
      <c r="O68" s="40">
        <f t="shared" si="10"/>
        <v>16.447616918089739</v>
      </c>
      <c r="P68" s="42">
        <f t="shared" si="11"/>
        <v>329.01503765402936</v>
      </c>
      <c r="Q68" s="41">
        <f t="shared" si="12"/>
        <v>11.167700497371872</v>
      </c>
      <c r="T68" s="41">
        <f t="shared" si="14"/>
        <v>-1.8992687920700464</v>
      </c>
      <c r="U68" s="40">
        <f t="shared" si="13"/>
        <v>-3.2076571375808447</v>
      </c>
    </row>
    <row r="69" spans="1:21" x14ac:dyDescent="0.3">
      <c r="A69" s="22">
        <v>60</v>
      </c>
      <c r="B69" s="22" cm="1">
        <f t="array" ref="B69">KCASConv($K$4,A69,2)</f>
        <v>59.974445343017578</v>
      </c>
      <c r="C69" s="33" cm="1">
        <f t="array" ref="C69">KCASConv($K$4,A69,1)</f>
        <v>67.102447509765625</v>
      </c>
      <c r="D69" s="33">
        <f t="shared" si="3"/>
        <v>34.517719912430877</v>
      </c>
      <c r="E69" s="33">
        <f t="shared" si="4"/>
        <v>124.26379168475115</v>
      </c>
      <c r="F69" s="32" cm="1">
        <f t="array" ref="F69">KCASConv($K$4,A69,0)</f>
        <v>0.1052965521812439</v>
      </c>
      <c r="G69" s="32">
        <f t="shared" si="5"/>
        <v>541.58645893370328</v>
      </c>
      <c r="H69" s="32">
        <f t="shared" si="6"/>
        <v>1.1416395660736807</v>
      </c>
      <c r="I69" s="32">
        <f t="shared" si="15"/>
        <v>10.130902740213951</v>
      </c>
      <c r="J69" s="38">
        <f t="shared" si="16"/>
        <v>0.03</v>
      </c>
      <c r="K69" s="39">
        <f t="shared" si="17"/>
        <v>3.3251241122249781E-2</v>
      </c>
      <c r="L69" s="31">
        <f t="shared" si="7"/>
        <v>6.3251241122249779E-2</v>
      </c>
      <c r="M69" s="31">
        <f t="shared" si="8"/>
        <v>18.049283236468984</v>
      </c>
      <c r="N69" s="40">
        <f t="shared" si="9"/>
        <v>19.285214160123868</v>
      </c>
      <c r="O69" s="40">
        <f t="shared" si="10"/>
        <v>16.892559379708125</v>
      </c>
      <c r="P69" s="42">
        <f t="shared" si="11"/>
        <v>325.77470933135601</v>
      </c>
      <c r="Q69" s="41">
        <f t="shared" si="12"/>
        <v>11.245000171253329</v>
      </c>
      <c r="T69" s="41">
        <f t="shared" si="14"/>
        <v>-1.9124149951111102</v>
      </c>
      <c r="U69" s="40">
        <f t="shared" si="13"/>
        <v>-3.1760337367119904</v>
      </c>
    </row>
    <row r="70" spans="1:21" x14ac:dyDescent="0.3">
      <c r="A70" s="22">
        <v>61</v>
      </c>
      <c r="B70" s="22" cm="1">
        <f t="array" ref="B70">KCASConv($K$4,A70,2)</f>
        <v>60.973148345947266</v>
      </c>
      <c r="C70" s="33" cm="1">
        <f t="array" ref="C70">KCASConv($K$4,A70,1)</f>
        <v>68.220008850097656</v>
      </c>
      <c r="D70" s="33">
        <f t="shared" si="3"/>
        <v>35.092597145111966</v>
      </c>
      <c r="E70" s="33">
        <f t="shared" si="4"/>
        <v>126.33334972240309</v>
      </c>
      <c r="F70" s="32" cm="1">
        <f t="array" ref="F70">KCASConv($K$4,A70,0)</f>
        <v>0.10705021023750305</v>
      </c>
      <c r="G70" s="32">
        <f t="shared" si="5"/>
        <v>559.77644295754567</v>
      </c>
      <c r="H70" s="32">
        <f t="shared" si="6"/>
        <v>1.1045418894402224</v>
      </c>
      <c r="I70" s="32">
        <f t="shared" si="15"/>
        <v>9.7317766123383258</v>
      </c>
      <c r="J70" s="38">
        <f t="shared" si="16"/>
        <v>0.03</v>
      </c>
      <c r="K70" s="39">
        <f t="shared" si="17"/>
        <v>3.0682859470110943E-2</v>
      </c>
      <c r="L70" s="31">
        <f t="shared" si="7"/>
        <v>6.0682859470110942E-2</v>
      </c>
      <c r="M70" s="31">
        <f t="shared" si="8"/>
        <v>18.201876099531191</v>
      </c>
      <c r="N70" s="40">
        <f t="shared" si="9"/>
        <v>19.129659916915745</v>
      </c>
      <c r="O70" s="40">
        <f t="shared" si="10"/>
        <v>17.319089569894526</v>
      </c>
      <c r="P70" s="42">
        <f t="shared" si="11"/>
        <v>323.04362296760422</v>
      </c>
      <c r="Q70" s="41">
        <f t="shared" si="12"/>
        <v>11.336439721099573</v>
      </c>
      <c r="T70" s="41">
        <f t="shared" si="14"/>
        <v>-1.9279659389625126</v>
      </c>
      <c r="U70" s="40">
        <f t="shared" si="13"/>
        <v>-3.1493809435826776</v>
      </c>
    </row>
    <row r="71" spans="1:21" x14ac:dyDescent="0.3">
      <c r="A71" s="22">
        <v>62</v>
      </c>
      <c r="B71" s="22" cm="1">
        <f t="array" ref="B71">KCASConv($K$4,A71,2)</f>
        <v>61.971809387207031</v>
      </c>
      <c r="C71" s="33" cm="1">
        <f t="array" ref="C71">KCASConv($K$4,A71,1)</f>
        <v>69.337532043457031</v>
      </c>
      <c r="D71" s="33">
        <f t="shared" si="3"/>
        <v>35.667454754864728</v>
      </c>
      <c r="E71" s="33">
        <f t="shared" si="4"/>
        <v>128.40283711751303</v>
      </c>
      <c r="F71" s="32" cm="1">
        <f t="array" ref="F71">KCASConv($K$4,A71,0)</f>
        <v>0.10880381613969803</v>
      </c>
      <c r="G71" s="32">
        <f t="shared" si="5"/>
        <v>578.26623488983637</v>
      </c>
      <c r="H71" s="32">
        <f t="shared" si="6"/>
        <v>1.0692246800234566</v>
      </c>
      <c r="I71" s="32">
        <f t="shared" si="15"/>
        <v>9.3518061580923248</v>
      </c>
      <c r="J71" s="38">
        <f t="shared" si="16"/>
        <v>0.03</v>
      </c>
      <c r="K71" s="39">
        <f t="shared" si="17"/>
        <v>2.8333652346253922E-2</v>
      </c>
      <c r="L71" s="31">
        <f t="shared" si="7"/>
        <v>5.8333652346253921E-2</v>
      </c>
      <c r="M71" s="31">
        <f t="shared" si="8"/>
        <v>18.32946570320691</v>
      </c>
      <c r="N71" s="40">
        <f t="shared" si="9"/>
        <v>18.953276264349228</v>
      </c>
      <c r="O71" s="40">
        <f t="shared" si="10"/>
        <v>17.726186664465537</v>
      </c>
      <c r="P71" s="42">
        <f t="shared" si="11"/>
        <v>320.79494815668517</v>
      </c>
      <c r="Q71" s="41">
        <f t="shared" si="12"/>
        <v>11.441939298967743</v>
      </c>
      <c r="T71" s="41">
        <f t="shared" si="14"/>
        <v>-1.9459080440421332</v>
      </c>
      <c r="U71" s="40">
        <f t="shared" si="13"/>
        <v>-3.1274365385481619</v>
      </c>
    </row>
    <row r="72" spans="1:21" x14ac:dyDescent="0.3">
      <c r="A72" s="22">
        <v>63</v>
      </c>
      <c r="B72" s="22" cm="1">
        <f t="array" ref="B72">KCASConv($K$4,A72,2)</f>
        <v>62.970428466796875</v>
      </c>
      <c r="C72" s="33" cm="1">
        <f t="array" ref="C72">KCASConv($K$4,A72,1)</f>
        <v>70.455001831054688</v>
      </c>
      <c r="D72" s="33">
        <f t="shared" si="3"/>
        <v>36.242284892517844</v>
      </c>
      <c r="E72" s="33">
        <f t="shared" si="4"/>
        <v>130.47222561306424</v>
      </c>
      <c r="F72" s="32" cm="1">
        <f t="array" ref="F72">KCASConv($K$4,A72,0)</f>
        <v>0.11055734753608704</v>
      </c>
      <c r="G72" s="32">
        <f t="shared" si="5"/>
        <v>597.05554535084423</v>
      </c>
      <c r="H72" s="32">
        <f t="shared" si="6"/>
        <v>1.0355762286825898</v>
      </c>
      <c r="I72" s="32">
        <f t="shared" si="15"/>
        <v>8.989789522242436</v>
      </c>
      <c r="J72" s="38">
        <f t="shared" si="16"/>
        <v>0.03</v>
      </c>
      <c r="K72" s="39">
        <f t="shared" si="17"/>
        <v>2.6182470064568069E-2</v>
      </c>
      <c r="L72" s="31">
        <f t="shared" si="7"/>
        <v>5.6182470064568071E-2</v>
      </c>
      <c r="M72" s="31">
        <f t="shared" si="8"/>
        <v>18.432372722175565</v>
      </c>
      <c r="N72" s="40">
        <f t="shared" si="9"/>
        <v>18.757384465120289</v>
      </c>
      <c r="O72" s="40">
        <f t="shared" si="10"/>
        <v>18.112992501751926</v>
      </c>
      <c r="P72" s="42">
        <f t="shared" si="11"/>
        <v>319.0039659368382</v>
      </c>
      <c r="Q72" s="41">
        <f t="shared" si="12"/>
        <v>11.561432615325948</v>
      </c>
      <c r="T72" s="41">
        <f t="shared" si="14"/>
        <v>-1.9662300366200591</v>
      </c>
      <c r="U72" s="40">
        <f t="shared" si="13"/>
        <v>-3.1099590002420139</v>
      </c>
    </row>
    <row r="73" spans="1:21" x14ac:dyDescent="0.3">
      <c r="A73" s="22">
        <v>64</v>
      </c>
      <c r="B73" s="22" cm="1">
        <f t="array" ref="B73">KCASConv($K$4,A73,2)</f>
        <v>63.969001770019531</v>
      </c>
      <c r="C73" s="33" cm="1">
        <f t="array" ref="C73">KCASConv($K$4,A73,1)</f>
        <v>71.572441101074219</v>
      </c>
      <c r="D73" s="33">
        <f t="shared" si="3"/>
        <v>36.817099331828302</v>
      </c>
      <c r="E73" s="33">
        <f t="shared" si="4"/>
        <v>132.54155759458189</v>
      </c>
      <c r="F73" s="32" cm="1">
        <f t="array" ref="F73">KCASConv($K$4,A73,0)</f>
        <v>0.11231081932783127</v>
      </c>
      <c r="G73" s="32">
        <f t="shared" si="5"/>
        <v>616.14472534576896</v>
      </c>
      <c r="H73" s="32">
        <f t="shared" si="6"/>
        <v>1.0034923688123401</v>
      </c>
      <c r="I73" s="32">
        <f t="shared" si="15"/>
        <v>8.644605998113926</v>
      </c>
      <c r="J73" s="38">
        <f t="shared" si="16"/>
        <v>0.03</v>
      </c>
      <c r="K73" s="39">
        <f t="shared" si="17"/>
        <v>2.421040062127985E-2</v>
      </c>
      <c r="L73" s="31">
        <f t="shared" si="7"/>
        <v>5.4210400621279853E-2</v>
      </c>
      <c r="M73" s="31">
        <f t="shared" si="8"/>
        <v>18.511067199500225</v>
      </c>
      <c r="N73" s="40">
        <f t="shared" si="9"/>
        <v>18.543362763955727</v>
      </c>
      <c r="O73" s="40">
        <f t="shared" si="10"/>
        <v>18.478827881772823</v>
      </c>
      <c r="P73" s="42">
        <f t="shared" si="11"/>
        <v>317.64781234000128</v>
      </c>
      <c r="Q73" s="41">
        <f t="shared" si="12"/>
        <v>11.694871059459784</v>
      </c>
      <c r="T73" s="41">
        <f t="shared" si="14"/>
        <v>-1.9889236495679903</v>
      </c>
      <c r="U73" s="40">
        <f t="shared" si="13"/>
        <v>-3.0967249877102359</v>
      </c>
    </row>
    <row r="74" spans="1:21" x14ac:dyDescent="0.3">
      <c r="A74" s="22">
        <v>65</v>
      </c>
      <c r="B74" s="22" cm="1">
        <f t="array" ref="B74">KCASConv($K$4,A74,2)</f>
        <v>64.967529296875</v>
      </c>
      <c r="C74" s="33" cm="1">
        <f t="array" ref="C74">KCASConv($K$4,A74,1)</f>
        <v>72.689842224121094</v>
      </c>
      <c r="D74" s="33">
        <f t="shared" si="3"/>
        <v>37.39189414821044</v>
      </c>
      <c r="E74" s="33">
        <f t="shared" si="4"/>
        <v>134.6108189335576</v>
      </c>
      <c r="F74" s="32" cm="1">
        <f t="array" ref="F74">KCASConv($K$4,A74,0)</f>
        <v>0.11406423151493073</v>
      </c>
      <c r="G74" s="32">
        <f t="shared" si="5"/>
        <v>635.5336168554162</v>
      </c>
      <c r="H74" s="32">
        <f t="shared" si="6"/>
        <v>0.97287777321324076</v>
      </c>
      <c r="I74" s="32">
        <f t="shared" si="15"/>
        <v>8.3152299803466487</v>
      </c>
      <c r="J74" s="38">
        <f t="shared" si="16"/>
        <v>0.03</v>
      </c>
      <c r="K74" s="39">
        <f t="shared" si="17"/>
        <v>2.2400623096366309E-2</v>
      </c>
      <c r="L74" s="31">
        <f t="shared" si="7"/>
        <v>5.2400623096366311E-2</v>
      </c>
      <c r="M74" s="31">
        <f t="shared" si="8"/>
        <v>18.566148944910243</v>
      </c>
      <c r="N74" s="40">
        <f t="shared" si="9"/>
        <v>18.312640549663868</v>
      </c>
      <c r="O74" s="40">
        <f t="shared" si="10"/>
        <v>18.823166747021574</v>
      </c>
      <c r="P74" s="42">
        <f t="shared" si="11"/>
        <v>316.70542003337493</v>
      </c>
      <c r="Q74" s="41">
        <f t="shared" si="12"/>
        <v>11.842215542052481</v>
      </c>
      <c r="T74" s="41">
        <f t="shared" si="14"/>
        <v>-2.0139822350429388</v>
      </c>
      <c r="U74" s="40">
        <f t="shared" si="13"/>
        <v>-3.0875287583915472</v>
      </c>
    </row>
    <row r="75" spans="1:21" x14ac:dyDescent="0.3">
      <c r="A75" s="22">
        <v>66</v>
      </c>
      <c r="B75" s="22" cm="1">
        <f t="array" ref="B75">KCASConv($K$4,A75,2)</f>
        <v>65.966011047363281</v>
      </c>
      <c r="C75" s="33" cm="1">
        <f t="array" ref="C75">KCASConv($K$4,A75,1)</f>
        <v>73.80718994140625</v>
      </c>
      <c r="D75" s="33">
        <f t="shared" si="3"/>
        <v>37.966661492492925</v>
      </c>
      <c r="E75" s="33">
        <f t="shared" si="4"/>
        <v>136.67998137297454</v>
      </c>
      <c r="F75" s="32" cm="1">
        <f t="array" ref="F75">KCASConv($K$4,A75,0)</f>
        <v>0.11581756919622421</v>
      </c>
      <c r="G75" s="32">
        <f t="shared" si="5"/>
        <v>655.22191819875775</v>
      </c>
      <c r="H75" s="32">
        <f t="shared" si="6"/>
        <v>0.94364445510032169</v>
      </c>
      <c r="I75" s="32">
        <f t="shared" si="15"/>
        <v>8.0007148375615973</v>
      </c>
      <c r="J75" s="38">
        <f t="shared" si="16"/>
        <v>0.03</v>
      </c>
      <c r="K75" s="39">
        <f t="shared" si="17"/>
        <v>2.0738108924578471E-2</v>
      </c>
      <c r="L75" s="31">
        <f t="shared" si="7"/>
        <v>5.0738108924578473E-2</v>
      </c>
      <c r="M75" s="31">
        <f t="shared" si="8"/>
        <v>18.598337129652126</v>
      </c>
      <c r="N75" s="40">
        <f t="shared" si="9"/>
        <v>18.066678322368908</v>
      </c>
      <c r="O75" s="40">
        <f t="shared" si="10"/>
        <v>19.145641374481649</v>
      </c>
      <c r="P75" s="42">
        <f t="shared" si="11"/>
        <v>316.15729723628164</v>
      </c>
      <c r="Q75" s="41">
        <f t="shared" si="12"/>
        <v>12.003437082551374</v>
      </c>
      <c r="T75" s="41">
        <f t="shared" si="14"/>
        <v>-2.0414008643794852</v>
      </c>
      <c r="U75" s="40">
        <f t="shared" si="13"/>
        <v>-3.0821800003677353</v>
      </c>
    </row>
    <row r="76" spans="1:21" x14ac:dyDescent="0.3">
      <c r="A76" s="22">
        <v>67</v>
      </c>
      <c r="B76" s="22" cm="1">
        <f t="array" ref="B76">KCASConv($K$4,A76,2)</f>
        <v>66.964447021484375</v>
      </c>
      <c r="C76" s="33" cm="1">
        <f t="array" ref="C76">KCASConv($K$4,A76,1)</f>
        <v>74.92449951171875</v>
      </c>
      <c r="D76" s="33">
        <f t="shared" si="3"/>
        <v>38.541409213847096</v>
      </c>
      <c r="E76" s="33">
        <f t="shared" si="4"/>
        <v>138.74907316984954</v>
      </c>
      <c r="F76" s="32" cm="1">
        <f t="array" ref="F76">KCASConv($K$4,A76,0)</f>
        <v>0.11757083982229233</v>
      </c>
      <c r="G76" s="32">
        <f t="shared" si="5"/>
        <v>675.20986133177985</v>
      </c>
      <c r="H76" s="32">
        <f t="shared" si="6"/>
        <v>0.91571015972564429</v>
      </c>
      <c r="I76" s="32">
        <f t="shared" si="15"/>
        <v>7.700175608164856</v>
      </c>
      <c r="J76" s="38">
        <f t="shared" si="16"/>
        <v>0.03</v>
      </c>
      <c r="K76" s="39">
        <f t="shared" si="17"/>
        <v>1.9209356988666427E-2</v>
      </c>
      <c r="L76" s="31">
        <f t="shared" si="7"/>
        <v>4.9209356988666422E-2</v>
      </c>
      <c r="M76" s="31">
        <f t="shared" si="8"/>
        <v>18.6084561100147</v>
      </c>
      <c r="N76" s="40">
        <f t="shared" si="9"/>
        <v>17.806942601215148</v>
      </c>
      <c r="O76" s="40">
        <f t="shared" si="10"/>
        <v>19.446046778109658</v>
      </c>
      <c r="P76" s="42">
        <f t="shared" si="11"/>
        <v>315.98537596224872</v>
      </c>
      <c r="Q76" s="41">
        <f t="shared" si="12"/>
        <v>12.178521680552352</v>
      </c>
      <c r="T76" s="41">
        <f t="shared" si="14"/>
        <v>-2.0711771565565225</v>
      </c>
      <c r="U76" s="40">
        <f t="shared" si="13"/>
        <v>-3.080502342986021</v>
      </c>
    </row>
    <row r="77" spans="1:21" x14ac:dyDescent="0.3">
      <c r="A77" s="22">
        <v>68</v>
      </c>
      <c r="B77" s="22" cm="1">
        <f t="array" ref="B77">KCASConv($K$4,A77,2)</f>
        <v>67.962837219238281</v>
      </c>
      <c r="C77" s="33" cm="1">
        <f t="array" ref="C77">KCASConv($K$4,A77,1)</f>
        <v>76.041763305664063</v>
      </c>
      <c r="D77" s="33">
        <f t="shared" si="3"/>
        <v>39.116133387687277</v>
      </c>
      <c r="E77" s="33">
        <f t="shared" si="4"/>
        <v>140.81808019567421</v>
      </c>
      <c r="F77" s="32" cm="1">
        <f t="array" ref="F77">KCASConv($K$4,A77,0)</f>
        <v>0.11932403594255447</v>
      </c>
      <c r="G77" s="32">
        <f t="shared" si="5"/>
        <v>695.49727593445255</v>
      </c>
      <c r="H77" s="32">
        <f t="shared" si="6"/>
        <v>0.88899921158961648</v>
      </c>
      <c r="I77" s="32">
        <f t="shared" si="15"/>
        <v>7.4127981153165736</v>
      </c>
      <c r="J77" s="38">
        <f t="shared" si="16"/>
        <v>0.03</v>
      </c>
      <c r="K77" s="39">
        <f t="shared" si="17"/>
        <v>1.7802291707745249E-2</v>
      </c>
      <c r="L77" s="31">
        <f t="shared" si="7"/>
        <v>4.7802291707745248E-2</v>
      </c>
      <c r="M77" s="31">
        <f t="shared" si="8"/>
        <v>18.597418237284529</v>
      </c>
      <c r="N77" s="40">
        <f t="shared" si="9"/>
        <v>17.534902117904057</v>
      </c>
      <c r="O77" s="40">
        <f t="shared" si="10"/>
        <v>19.724316837750575</v>
      </c>
      <c r="P77" s="42">
        <f t="shared" si="11"/>
        <v>316.17291846519004</v>
      </c>
      <c r="Q77" s="41">
        <f t="shared" si="12"/>
        <v>12.367462052258746</v>
      </c>
      <c r="T77" s="41">
        <f t="shared" si="14"/>
        <v>-2.1033098728331203</v>
      </c>
      <c r="U77" s="40">
        <f t="shared" si="13"/>
        <v>-3.0823324369563441</v>
      </c>
    </row>
    <row r="78" spans="1:21" x14ac:dyDescent="0.3">
      <c r="A78" s="22">
        <v>69</v>
      </c>
      <c r="B78" s="22" cm="1">
        <f t="array" ref="B78">KCASConv($K$4,A78,2)</f>
        <v>68.961174011230469</v>
      </c>
      <c r="C78" s="33" cm="1">
        <f t="array" ref="C78">KCASConv($K$4,A78,1)</f>
        <v>77.158981323242188</v>
      </c>
      <c r="D78" s="33">
        <f t="shared" si="3"/>
        <v>39.690834014013475</v>
      </c>
      <c r="E78" s="33">
        <f t="shared" si="4"/>
        <v>142.88700245044851</v>
      </c>
      <c r="F78" s="32" cm="1">
        <f t="array" ref="F78">KCASConv($K$4,A78,0)</f>
        <v>0.12107716500759125</v>
      </c>
      <c r="G78" s="32">
        <f t="shared" si="5"/>
        <v>716.08412509717334</v>
      </c>
      <c r="H78" s="32">
        <f t="shared" si="6"/>
        <v>0.86344119119321461</v>
      </c>
      <c r="I78" s="32">
        <f t="shared" si="15"/>
        <v>7.1378247303854536</v>
      </c>
      <c r="J78" s="38">
        <f t="shared" si="16"/>
        <v>0.03</v>
      </c>
      <c r="K78" s="39">
        <f t="shared" si="17"/>
        <v>1.6506056504215383E-2</v>
      </c>
      <c r="L78" s="31">
        <f t="shared" si="7"/>
        <v>4.6506056504215382E-2</v>
      </c>
      <c r="M78" s="31">
        <f t="shared" si="8"/>
        <v>18.566209567025982</v>
      </c>
      <c r="N78" s="40">
        <f t="shared" si="9"/>
        <v>17.252007165934565</v>
      </c>
      <c r="O78" s="40">
        <f t="shared" si="10"/>
        <v>19.980523678854738</v>
      </c>
      <c r="P78" s="42">
        <f t="shared" si="11"/>
        <v>316.70438593147281</v>
      </c>
      <c r="Q78" s="41">
        <f t="shared" si="12"/>
        <v>12.570261213516153</v>
      </c>
      <c r="T78" s="41">
        <f t="shared" si="14"/>
        <v>-2.1377995261081892</v>
      </c>
      <c r="U78" s="40">
        <f t="shared" si="13"/>
        <v>-3.0875186672682315</v>
      </c>
    </row>
    <row r="79" spans="1:21" x14ac:dyDescent="0.3">
      <c r="A79" s="22">
        <v>70</v>
      </c>
      <c r="B79" s="22" cm="1">
        <f t="array" ref="B79">KCASConv($K$4,A79,2)</f>
        <v>69.95947265625</v>
      </c>
      <c r="C79" s="33" cm="1">
        <f t="array" ref="C79">KCASConv($K$4,A79,1)</f>
        <v>78.276153564453125</v>
      </c>
      <c r="D79" s="33">
        <f t="shared" si="3"/>
        <v>40.265511092825683</v>
      </c>
      <c r="E79" s="33">
        <f t="shared" si="4"/>
        <v>144.95583993417247</v>
      </c>
      <c r="F79" s="32" cm="1">
        <f t="array" ref="F79">KCASConv($K$4,A79,0)</f>
        <v>0.12283022701740265</v>
      </c>
      <c r="G79" s="32">
        <f t="shared" si="5"/>
        <v>736.97037191185086</v>
      </c>
      <c r="H79" s="32">
        <f t="shared" si="6"/>
        <v>0.83897067444443851</v>
      </c>
      <c r="I79" s="32">
        <f t="shared" si="15"/>
        <v>6.8745515692774086</v>
      </c>
      <c r="J79" s="38">
        <f t="shared" si="16"/>
        <v>0.03</v>
      </c>
      <c r="K79" s="39">
        <f t="shared" si="17"/>
        <v>1.5310885776150007E-2</v>
      </c>
      <c r="L79" s="31">
        <f t="shared" si="7"/>
        <v>4.5310885776150008E-2</v>
      </c>
      <c r="M79" s="31">
        <f t="shared" si="8"/>
        <v>18.515874498442095</v>
      </c>
      <c r="N79" s="40">
        <f t="shared" si="9"/>
        <v>16.959678640220513</v>
      </c>
      <c r="O79" s="40">
        <f t="shared" si="10"/>
        <v>20.21486466311962</v>
      </c>
      <c r="P79" s="42">
        <f t="shared" si="11"/>
        <v>317.56534105341535</v>
      </c>
      <c r="Q79" s="41">
        <f t="shared" si="12"/>
        <v>12.786930762883266</v>
      </c>
      <c r="T79" s="41">
        <f t="shared" si="14"/>
        <v>-2.1746480889257258</v>
      </c>
      <c r="U79" s="40">
        <f t="shared" si="13"/>
        <v>-3.0959201977519824</v>
      </c>
    </row>
    <row r="80" spans="1:21" x14ac:dyDescent="0.3">
      <c r="A80" s="22">
        <v>71</v>
      </c>
      <c r="B80" s="22" cm="1">
        <f t="array" ref="B80">KCASConv($K$4,A80,2)</f>
        <v>70.957710266113281</v>
      </c>
      <c r="C80" s="33" cm="1">
        <f t="array" ref="C80">KCASConv($K$4,A80,1)</f>
        <v>79.393287658691406</v>
      </c>
      <c r="D80" s="33">
        <f t="shared" si="3"/>
        <v>40.84016854870957</v>
      </c>
      <c r="E80" s="33">
        <f t="shared" si="4"/>
        <v>147.02460677535447</v>
      </c>
      <c r="F80" s="32" cm="1">
        <f t="array" ref="F80">KCASConv($K$4,A80,0)</f>
        <v>0.12458321452140808</v>
      </c>
      <c r="G80" s="32">
        <f t="shared" si="5"/>
        <v>758.15612518376963</v>
      </c>
      <c r="H80" s="32">
        <f t="shared" si="6"/>
        <v>0.81552665662179447</v>
      </c>
      <c r="I80" s="32">
        <f t="shared" si="15"/>
        <v>6.6223222949794076</v>
      </c>
      <c r="J80" s="38">
        <f t="shared" si="16"/>
        <v>0.03</v>
      </c>
      <c r="K80" s="39">
        <f t="shared" si="17"/>
        <v>1.4207975336052262E-2</v>
      </c>
      <c r="L80" s="31">
        <f t="shared" si="7"/>
        <v>4.4207975336052259E-2</v>
      </c>
      <c r="M80" s="31">
        <f t="shared" si="8"/>
        <v>18.447500715028685</v>
      </c>
      <c r="N80" s="40">
        <f t="shared" si="9"/>
        <v>16.659294913292825</v>
      </c>
      <c r="O80" s="40">
        <f t="shared" si="10"/>
        <v>20.427652214707035</v>
      </c>
      <c r="P80" s="42">
        <f t="shared" si="11"/>
        <v>318.74236466133982</v>
      </c>
      <c r="Q80" s="41">
        <f t="shared" si="12"/>
        <v>13.017491896383367</v>
      </c>
      <c r="T80" s="41">
        <f t="shared" si="14"/>
        <v>-2.2138591660515932</v>
      </c>
      <c r="U80" s="40">
        <f t="shared" si="13"/>
        <v>-3.1074061536694049</v>
      </c>
    </row>
    <row r="81" spans="1:21" x14ac:dyDescent="0.3">
      <c r="A81" s="22">
        <v>72</v>
      </c>
      <c r="B81" s="22" cm="1">
        <f t="array" ref="B81">KCASConv($K$4,A81,2)</f>
        <v>71.955909729003906</v>
      </c>
      <c r="C81" s="33" cm="1">
        <f t="array" ref="C81">KCASConv($K$4,A81,1)</f>
        <v>80.510368347167969</v>
      </c>
      <c r="D81" s="33">
        <f t="shared" si="3"/>
        <v>41.414798532493812</v>
      </c>
      <c r="E81" s="33">
        <f t="shared" si="4"/>
        <v>149.09327471697773</v>
      </c>
      <c r="F81" s="32" cm="1">
        <f t="array" ref="F81">KCASConv($K$4,A81,0)</f>
        <v>0.12633612751960754</v>
      </c>
      <c r="G81" s="32">
        <f t="shared" si="5"/>
        <v>779.64105863433542</v>
      </c>
      <c r="H81" s="32">
        <f t="shared" si="6"/>
        <v>0.79305280695644531</v>
      </c>
      <c r="I81" s="32">
        <f t="shared" si="15"/>
        <v>6.3805308565554757</v>
      </c>
      <c r="J81" s="38">
        <f t="shared" si="16"/>
        <v>0.03</v>
      </c>
      <c r="K81" s="39">
        <f t="shared" si="17"/>
        <v>1.3189404716357231E-2</v>
      </c>
      <c r="L81" s="31">
        <f t="shared" si="7"/>
        <v>4.3189404716357231E-2</v>
      </c>
      <c r="M81" s="31">
        <f t="shared" si="8"/>
        <v>18.36220740167068</v>
      </c>
      <c r="N81" s="40">
        <f t="shared" si="9"/>
        <v>16.352190644110472</v>
      </c>
      <c r="O81" s="40">
        <f t="shared" si="10"/>
        <v>20.619296093114439</v>
      </c>
      <c r="P81" s="42">
        <f t="shared" si="11"/>
        <v>320.22293787319984</v>
      </c>
      <c r="Q81" s="41">
        <f t="shared" si="12"/>
        <v>13.261968457501855</v>
      </c>
      <c r="T81" s="41">
        <f t="shared" si="14"/>
        <v>-2.2554368125003155</v>
      </c>
      <c r="U81" s="40">
        <f t="shared" si="13"/>
        <v>-3.121854468500485</v>
      </c>
    </row>
    <row r="82" spans="1:21" x14ac:dyDescent="0.3">
      <c r="A82" s="22">
        <v>73</v>
      </c>
      <c r="B82" s="22" cm="1">
        <f t="array" ref="B82">KCASConv($K$4,A82,2)</f>
        <v>72.954048156738281</v>
      </c>
      <c r="C82" s="33" cm="1">
        <f t="array" ref="C82">KCASConv($K$4,A82,1)</f>
        <v>81.627395629882813</v>
      </c>
      <c r="D82" s="33">
        <f t="shared" si="3"/>
        <v>41.9894010441784</v>
      </c>
      <c r="E82" s="33">
        <f t="shared" si="4"/>
        <v>151.16184375904226</v>
      </c>
      <c r="F82" s="32" cm="1">
        <f t="array" ref="F82">KCASConv($K$4,A82,0)</f>
        <v>0.12808896601200104</v>
      </c>
      <c r="G82" s="32">
        <f t="shared" si="5"/>
        <v>801.42512920940135</v>
      </c>
      <c r="H82" s="32">
        <f t="shared" si="6"/>
        <v>0.77149631005256625</v>
      </c>
      <c r="I82" s="32">
        <f t="shared" si="15"/>
        <v>6.1486090242311171</v>
      </c>
      <c r="J82" s="38">
        <f t="shared" si="16"/>
        <v>0.03</v>
      </c>
      <c r="K82" s="39">
        <f t="shared" si="17"/>
        <v>1.2248004140387446E-2</v>
      </c>
      <c r="L82" s="31">
        <f t="shared" si="7"/>
        <v>4.2248004140387443E-2</v>
      </c>
      <c r="M82" s="31">
        <f t="shared" si="8"/>
        <v>18.261130336215004</v>
      </c>
      <c r="N82" s="40">
        <f t="shared" si="9"/>
        <v>16.039638753082649</v>
      </c>
      <c r="O82" s="40">
        <f t="shared" si="10"/>
        <v>20.790298727403869</v>
      </c>
      <c r="P82" s="42">
        <f t="shared" si="11"/>
        <v>321.99540180373913</v>
      </c>
      <c r="Q82" s="41">
        <f t="shared" si="12"/>
        <v>13.520394060718568</v>
      </c>
      <c r="T82" s="41">
        <f t="shared" si="14"/>
        <v>-2.2993867450201644</v>
      </c>
      <c r="U82" s="40">
        <f t="shared" si="13"/>
        <v>-3.1391514881610592</v>
      </c>
    </row>
    <row r="83" spans="1:21" x14ac:dyDescent="0.3">
      <c r="A83" s="22">
        <v>74</v>
      </c>
      <c r="B83" s="22" cm="1">
        <f t="array" ref="B83">KCASConv($K$4,A83,2)</f>
        <v>73.952140808105469</v>
      </c>
      <c r="C83" s="33" cm="1">
        <f t="array" ref="C83">KCASConv($K$4,A83,1)</f>
        <v>82.744384765625</v>
      </c>
      <c r="D83" s="33">
        <f t="shared" si="3"/>
        <v>42.563983932934669</v>
      </c>
      <c r="E83" s="33">
        <f t="shared" si="4"/>
        <v>153.23034215856481</v>
      </c>
      <c r="F83" s="32" cm="1">
        <f t="array" ref="F83">KCASConv($K$4,A83,0)</f>
        <v>0.12984172999858856</v>
      </c>
      <c r="G83" s="32">
        <f t="shared" si="5"/>
        <v>823.50859758124386</v>
      </c>
      <c r="H83" s="32">
        <f t="shared" si="6"/>
        <v>0.75080761971942345</v>
      </c>
      <c r="I83" s="32">
        <f t="shared" si="15"/>
        <v>5.92602374092424</v>
      </c>
      <c r="J83" s="38">
        <f t="shared" si="16"/>
        <v>0.03</v>
      </c>
      <c r="K83" s="39">
        <f t="shared" si="17"/>
        <v>1.1377277271810135E-2</v>
      </c>
      <c r="L83" s="31">
        <f t="shared" si="7"/>
        <v>4.1377277271810134E-2</v>
      </c>
      <c r="M83" s="31">
        <f t="shared" si="8"/>
        <v>18.145409007637632</v>
      </c>
      <c r="N83" s="40">
        <f t="shared" si="9"/>
        <v>15.722843717744553</v>
      </c>
      <c r="O83" s="40">
        <f t="shared" si="10"/>
        <v>20.941241544165699</v>
      </c>
      <c r="P83" s="42">
        <f t="shared" si="11"/>
        <v>324.04890942524543</v>
      </c>
      <c r="Q83" s="41">
        <f t="shared" si="12"/>
        <v>13.792812574261148</v>
      </c>
      <c r="T83" s="41">
        <f t="shared" si="14"/>
        <v>-2.3457164241940727</v>
      </c>
      <c r="U83" s="40">
        <f t="shared" si="13"/>
        <v>-3.1591914991293035</v>
      </c>
    </row>
    <row r="84" spans="1:21" x14ac:dyDescent="0.3">
      <c r="A84" s="22">
        <v>75</v>
      </c>
      <c r="B84" s="22" cm="1">
        <f t="array" ref="B84">KCASConv($K$4,A84,2)</f>
        <v>74.950180053710938</v>
      </c>
      <c r="C84" s="33" cm="1">
        <f t="array" ref="C84">KCASConv($K$4,A84,1)</f>
        <v>83.861320495605469</v>
      </c>
      <c r="D84" s="33">
        <f t="shared" si="3"/>
        <v>43.138539349591291</v>
      </c>
      <c r="E84" s="33">
        <f t="shared" si="4"/>
        <v>155.29874165852866</v>
      </c>
      <c r="F84" s="32" cm="1">
        <f t="array" ref="F84">KCASConv($K$4,A84,0)</f>
        <v>0.13159441947937012</v>
      </c>
      <c r="G84" s="32">
        <f t="shared" si="5"/>
        <v>845.89112517513877</v>
      </c>
      <c r="H84" s="32">
        <f t="shared" si="6"/>
        <v>0.73094102960406182</v>
      </c>
      <c r="I84" s="32">
        <f t="shared" si="15"/>
        <v>5.7122832615626535</v>
      </c>
      <c r="J84" s="38">
        <f t="shared" si="16"/>
        <v>0.03</v>
      </c>
      <c r="K84" s="39">
        <f t="shared" si="17"/>
        <v>1.0571364281024561E-2</v>
      </c>
      <c r="L84" s="31">
        <f t="shared" si="7"/>
        <v>4.0571364281024563E-2</v>
      </c>
      <c r="M84" s="31">
        <f t="shared" si="8"/>
        <v>18.016180686975979</v>
      </c>
      <c r="N84" s="40">
        <f t="shared" si="9"/>
        <v>15.402949768492308</v>
      </c>
      <c r="O84" s="40">
        <f t="shared" si="10"/>
        <v>21.072766672895376</v>
      </c>
      <c r="P84" s="42">
        <f t="shared" si="11"/>
        <v>326.37328089469554</v>
      </c>
      <c r="Q84" s="41">
        <f t="shared" si="12"/>
        <v>14.079266620531035</v>
      </c>
      <c r="T84" s="41">
        <f t="shared" si="14"/>
        <v>-2.3944330987297677</v>
      </c>
      <c r="U84" s="40">
        <f t="shared" si="13"/>
        <v>-3.1818753148998367</v>
      </c>
    </row>
    <row r="85" spans="1:21" x14ac:dyDescent="0.3">
      <c r="A85" s="22">
        <v>76</v>
      </c>
      <c r="B85" s="22" cm="1">
        <f t="array" ref="B85">KCASConv($K$4,A85,2)</f>
        <v>75.948173522949219</v>
      </c>
      <c r="C85" s="33" cm="1">
        <f t="array" ref="C85">KCASConv($K$4,A85,1)</f>
        <v>84.97821044921875</v>
      </c>
      <c r="D85" s="33">
        <f t="shared" si="3"/>
        <v>43.713071218733923</v>
      </c>
      <c r="E85" s="33">
        <f t="shared" si="4"/>
        <v>157.36705638744212</v>
      </c>
      <c r="F85" s="32" cm="1">
        <f t="array" ref="F85">KCASConv($K$4,A85,0)</f>
        <v>0.1333470344543457</v>
      </c>
      <c r="G85" s="32">
        <f t="shared" si="5"/>
        <v>868.57282490449393</v>
      </c>
      <c r="H85" s="32">
        <f t="shared" si="6"/>
        <v>0.71185341313946882</v>
      </c>
      <c r="I85" s="32">
        <f t="shared" si="15"/>
        <v>5.5069235964504424</v>
      </c>
      <c r="J85" s="38">
        <f t="shared" si="16"/>
        <v>0.03</v>
      </c>
      <c r="K85" s="39">
        <f t="shared" si="17"/>
        <v>9.824934650115514E-3</v>
      </c>
      <c r="L85" s="31">
        <f t="shared" si="7"/>
        <v>3.9824934650115509E-2</v>
      </c>
      <c r="M85" s="31">
        <f t="shared" si="8"/>
        <v>17.87456575619024</v>
      </c>
      <c r="N85" s="40">
        <f t="shared" si="9"/>
        <v>15.08102242474248</v>
      </c>
      <c r="O85" s="40">
        <f t="shared" si="10"/>
        <v>21.185572965410163</v>
      </c>
      <c r="P85" s="42">
        <f t="shared" si="11"/>
        <v>328.95904047143995</v>
      </c>
      <c r="Q85" s="41">
        <f t="shared" si="12"/>
        <v>14.379809964174429</v>
      </c>
      <c r="T85" s="41">
        <f t="shared" si="14"/>
        <v>-2.4455459122745626</v>
      </c>
      <c r="U85" s="40">
        <f t="shared" si="13"/>
        <v>-3.2071106348810021</v>
      </c>
    </row>
    <row r="86" spans="1:21" x14ac:dyDescent="0.3">
      <c r="A86" s="22">
        <v>77</v>
      </c>
      <c r="B86" s="22" cm="1">
        <f t="array" ref="B86">KCASConv($K$4,A86,2)</f>
        <v>76.94610595703125</v>
      </c>
      <c r="C86" s="33" cm="1">
        <f t="array" ref="C86">KCASConv($K$4,A86,1)</f>
        <v>86.095054626464844</v>
      </c>
      <c r="D86" s="33">
        <f t="shared" si="3"/>
        <v>44.287579540362572</v>
      </c>
      <c r="E86" s="33">
        <f t="shared" si="4"/>
        <v>159.43528634530526</v>
      </c>
      <c r="F86" s="32" cm="1">
        <f t="array" ref="F86">KCASConv($K$4,A86,0)</f>
        <v>0.13509957492351532</v>
      </c>
      <c r="G86" s="32">
        <f t="shared" si="5"/>
        <v>891.55365987205687</v>
      </c>
      <c r="H86" s="32">
        <f t="shared" si="6"/>
        <v>0.69350456152822415</v>
      </c>
      <c r="I86" s="32">
        <f t="shared" si="15"/>
        <v>5.3095121475632245</v>
      </c>
      <c r="J86" s="38">
        <f t="shared" si="16"/>
        <v>0.03</v>
      </c>
      <c r="K86" s="39">
        <f t="shared" si="17"/>
        <v>9.1331545276836304E-3</v>
      </c>
      <c r="L86" s="31">
        <f t="shared" si="7"/>
        <v>3.9133154527683629E-2</v>
      </c>
      <c r="M86" s="31">
        <f t="shared" si="8"/>
        <v>17.721662613158983</v>
      </c>
      <c r="N86" s="40">
        <f t="shared" si="9"/>
        <v>14.758055021108513</v>
      </c>
      <c r="O86" s="40">
        <f t="shared" si="10"/>
        <v>21.280400793020441</v>
      </c>
      <c r="P86" s="42">
        <f t="shared" si="11"/>
        <v>331.79731091561831</v>
      </c>
      <c r="Q86" s="41">
        <f t="shared" si="12"/>
        <v>14.694499798453856</v>
      </c>
      <c r="T86" s="41">
        <f t="shared" si="14"/>
        <v>-2.4990645915737852</v>
      </c>
      <c r="U86" s="40">
        <f t="shared" si="13"/>
        <v>-3.2348110127392302</v>
      </c>
    </row>
    <row r="87" spans="1:21" x14ac:dyDescent="0.3">
      <c r="A87" s="22">
        <v>78</v>
      </c>
      <c r="B87" s="22" cm="1">
        <f t="array" ref="B87">KCASConv($K$4,A87,2)</f>
        <v>77.943984985351563</v>
      </c>
      <c r="C87" s="33" cm="1">
        <f t="array" ref="C87">KCASConv($K$4,A87,1)</f>
        <v>87.211845397949219</v>
      </c>
      <c r="D87" s="33">
        <f t="shared" si="3"/>
        <v>44.862060389891575</v>
      </c>
      <c r="E87" s="33">
        <f t="shared" si="4"/>
        <v>161.50341740360966</v>
      </c>
      <c r="F87" s="32" cm="1">
        <f t="array" ref="F87">KCASConv($K$4,A87,0)</f>
        <v>0.13685202598571777</v>
      </c>
      <c r="G87" s="32">
        <f t="shared" si="5"/>
        <v>914.83343312067598</v>
      </c>
      <c r="H87" s="32">
        <f t="shared" si="6"/>
        <v>0.67585694573855237</v>
      </c>
      <c r="I87" s="32">
        <f t="shared" si="15"/>
        <v>5.1196451479135527</v>
      </c>
      <c r="J87" s="38">
        <f t="shared" si="16"/>
        <v>0.03</v>
      </c>
      <c r="K87" s="39">
        <f t="shared" si="17"/>
        <v>8.4916344199041319E-3</v>
      </c>
      <c r="L87" s="31">
        <f t="shared" si="7"/>
        <v>3.8491634419904129E-2</v>
      </c>
      <c r="M87" s="31">
        <f t="shared" si="8"/>
        <v>17.558541120017104</v>
      </c>
      <c r="N87" s="40">
        <f t="shared" si="9"/>
        <v>14.434967808301607</v>
      </c>
      <c r="O87" s="40">
        <f t="shared" si="10"/>
        <v>21.358022432583851</v>
      </c>
      <c r="P87" s="42">
        <f t="shared" si="11"/>
        <v>334.87975793710314</v>
      </c>
      <c r="Q87" s="41">
        <f t="shared" si="12"/>
        <v>15.023395923926593</v>
      </c>
      <c r="T87" s="41">
        <f t="shared" si="14"/>
        <v>-2.5549993067902368</v>
      </c>
      <c r="U87" s="40">
        <f t="shared" si="13"/>
        <v>-3.2648953133811709</v>
      </c>
    </row>
    <row r="88" spans="1:21" x14ac:dyDescent="0.3">
      <c r="A88" s="22">
        <v>79</v>
      </c>
      <c r="B88" s="22" cm="1">
        <f t="array" ref="B88">KCASConv($K$4,A88,2)</f>
        <v>78.941810607910156</v>
      </c>
      <c r="C88" s="33" cm="1">
        <f t="array" ref="C88">KCASConv($K$4,A88,1)</f>
        <v>88.328582763671875</v>
      </c>
      <c r="D88" s="33">
        <f t="shared" si="3"/>
        <v>45.436513767320925</v>
      </c>
      <c r="E88" s="33">
        <f t="shared" si="4"/>
        <v>163.57144956235533</v>
      </c>
      <c r="F88" s="32" cm="1">
        <f t="array" ref="F88">KCASConv($K$4,A88,0)</f>
        <v>0.13860440254211426</v>
      </c>
      <c r="G88" s="32">
        <f t="shared" si="5"/>
        <v>938.41210160737876</v>
      </c>
      <c r="H88" s="32">
        <f t="shared" si="6"/>
        <v>0.65887527335740037</v>
      </c>
      <c r="I88" s="32">
        <f t="shared" si="15"/>
        <v>4.9369428938260613</v>
      </c>
      <c r="J88" s="38">
        <f t="shared" si="16"/>
        <v>0.03</v>
      </c>
      <c r="K88" s="39">
        <f t="shared" si="17"/>
        <v>7.8963751960541475E-3</v>
      </c>
      <c r="L88" s="31">
        <f t="shared" si="7"/>
        <v>3.7896375196054148E-2</v>
      </c>
      <c r="M88" s="31">
        <f t="shared" si="8"/>
        <v>17.386234697876958</v>
      </c>
      <c r="N88" s="40">
        <f t="shared" si="9"/>
        <v>14.112603584355952</v>
      </c>
      <c r="O88" s="40">
        <f t="shared" si="10"/>
        <v>21.419233889963738</v>
      </c>
      <c r="P88" s="42">
        <f t="shared" si="11"/>
        <v>338.19858653570395</v>
      </c>
      <c r="Q88" s="41">
        <f t="shared" si="12"/>
        <v>15.36656473321799</v>
      </c>
      <c r="T88" s="41">
        <f t="shared" si="14"/>
        <v>-2.6133613491867331</v>
      </c>
      <c r="U88" s="40">
        <f t="shared" si="13"/>
        <v>-3.2972876765747969</v>
      </c>
    </row>
    <row r="89" spans="1:21" x14ac:dyDescent="0.3">
      <c r="A89" s="22">
        <v>80</v>
      </c>
      <c r="B89" s="22" cm="1">
        <f t="array" ref="B89">KCASConv($K$4,A89,2)</f>
        <v>79.939582824707031</v>
      </c>
      <c r="C89" s="33" cm="1">
        <f t="array" ref="C89">KCASConv($K$4,A89,1)</f>
        <v>89.445266723632813</v>
      </c>
      <c r="D89" s="33">
        <f t="shared" si="3"/>
        <v>46.010939672650622</v>
      </c>
      <c r="E89" s="33">
        <f t="shared" si="4"/>
        <v>165.63938282154226</v>
      </c>
      <c r="F89" s="32" cm="1">
        <f t="array" ref="F89">KCASConv($K$4,A89,0)</f>
        <v>0.14035668969154358</v>
      </c>
      <c r="G89" s="32">
        <f t="shared" si="5"/>
        <v>962.28962229125091</v>
      </c>
      <c r="H89" s="32">
        <f t="shared" si="6"/>
        <v>0.64252644489323807</v>
      </c>
      <c r="I89" s="32">
        <f t="shared" si="15"/>
        <v>4.7610492748084532</v>
      </c>
      <c r="J89" s="38">
        <f t="shared" si="16"/>
        <v>0.03</v>
      </c>
      <c r="K89" s="39">
        <f t="shared" si="17"/>
        <v>7.3437337122889976E-3</v>
      </c>
      <c r="L89" s="31">
        <f t="shared" si="7"/>
        <v>3.7343733712288996E-2</v>
      </c>
      <c r="M89" s="31">
        <f t="shared" si="8"/>
        <v>17.205736572660832</v>
      </c>
      <c r="N89" s="40">
        <f t="shared" si="9"/>
        <v>13.791730839498767</v>
      </c>
      <c r="O89" s="40">
        <f t="shared" si="10"/>
        <v>21.46484545362237</v>
      </c>
      <c r="P89" s="42">
        <f t="shared" si="11"/>
        <v>341.74648525905394</v>
      </c>
      <c r="Q89" s="41">
        <f t="shared" si="12"/>
        <v>15.724076916594717</v>
      </c>
      <c r="T89" s="41">
        <f t="shared" si="14"/>
        <v>-2.6741627409174686</v>
      </c>
      <c r="U89" s="40">
        <f t="shared" si="13"/>
        <v>-3.3319169724361863</v>
      </c>
    </row>
    <row r="90" spans="1:21" x14ac:dyDescent="0.3">
      <c r="A90" s="22">
        <v>81</v>
      </c>
      <c r="B90" s="22" cm="1">
        <f t="array" ref="B90">KCASConv($K$4,A90,2)</f>
        <v>80.937294006347656</v>
      </c>
      <c r="C90" s="33" cm="1">
        <f t="array" ref="C90">KCASConv($K$4,A90,1)</f>
        <v>90.561897277832031</v>
      </c>
      <c r="D90" s="33">
        <f t="shared" si="3"/>
        <v>46.585338105880673</v>
      </c>
      <c r="E90" s="33">
        <f t="shared" si="4"/>
        <v>167.70721718117042</v>
      </c>
      <c r="F90" s="32" cm="1">
        <f t="array" ref="F90">KCASConv($K$4,A90,0)</f>
        <v>0.14210890233516693</v>
      </c>
      <c r="G90" s="32">
        <f t="shared" si="5"/>
        <v>986.46595213343687</v>
      </c>
      <c r="H90" s="32">
        <f t="shared" si="6"/>
        <v>0.62677939226514612</v>
      </c>
      <c r="I90" s="32">
        <f t="shared" si="15"/>
        <v>4.5916300358894429</v>
      </c>
      <c r="J90" s="38">
        <f t="shared" si="16"/>
        <v>0.03</v>
      </c>
      <c r="K90" s="39">
        <f t="shared" si="17"/>
        <v>6.8303875283696495E-3</v>
      </c>
      <c r="L90" s="31">
        <f t="shared" si="7"/>
        <v>3.6830387528369646E-2</v>
      </c>
      <c r="M90" s="31">
        <f t="shared" si="8"/>
        <v>17.017996125681588</v>
      </c>
      <c r="N90" s="40">
        <f t="shared" si="9"/>
        <v>13.473045452982992</v>
      </c>
      <c r="O90" s="40">
        <f t="shared" si="10"/>
        <v>21.495673947243464</v>
      </c>
      <c r="P90" s="42">
        <f t="shared" si="11"/>
        <v>345.51659058886406</v>
      </c>
      <c r="Q90" s="41">
        <f t="shared" si="12"/>
        <v>16.096007193773382</v>
      </c>
      <c r="T90" s="41">
        <f t="shared" si="14"/>
        <v>-2.7374161894172415</v>
      </c>
      <c r="U90" s="40">
        <f t="shared" si="13"/>
        <v>-3.3687164534864089</v>
      </c>
    </row>
    <row r="91" spans="1:21" x14ac:dyDescent="0.3">
      <c r="A91" s="22">
        <v>82</v>
      </c>
      <c r="B91" s="22" cm="1">
        <f t="array" ref="B91">KCASConv($K$4,A91,2)</f>
        <v>81.934959411621094</v>
      </c>
      <c r="C91" s="33" cm="1">
        <f t="array" ref="C91">KCASConv($K$4,A91,1)</f>
        <v>91.678482055664063</v>
      </c>
      <c r="D91" s="33">
        <f t="shared" si="3"/>
        <v>47.159712991596741</v>
      </c>
      <c r="E91" s="33">
        <f t="shared" si="4"/>
        <v>169.77496676974826</v>
      </c>
      <c r="F91" s="32" cm="1">
        <f t="array" ref="F91">KCASConv($K$4,A91,0)</f>
        <v>0.14386104047298431</v>
      </c>
      <c r="G91" s="32">
        <f t="shared" si="5"/>
        <v>1010.9412163562309</v>
      </c>
      <c r="H91" s="32">
        <f t="shared" si="6"/>
        <v>0.61160482920757853</v>
      </c>
      <c r="I91" s="32">
        <f t="shared" si="15"/>
        <v>4.4283700922759097</v>
      </c>
      <c r="J91" s="38">
        <f t="shared" si="16"/>
        <v>0.03</v>
      </c>
      <c r="K91" s="39">
        <f t="shared" si="17"/>
        <v>6.3533003401565176E-3</v>
      </c>
      <c r="L91" s="31">
        <f t="shared" si="7"/>
        <v>3.6353300340156519E-2</v>
      </c>
      <c r="M91" s="31">
        <f t="shared" si="8"/>
        <v>16.823914843626692</v>
      </c>
      <c r="N91" s="40">
        <f t="shared" si="9"/>
        <v>13.157170857059157</v>
      </c>
      <c r="O91" s="40">
        <f t="shared" si="10"/>
        <v>21.512535919813047</v>
      </c>
      <c r="P91" s="42">
        <f t="shared" si="11"/>
        <v>349.50248230883591</v>
      </c>
      <c r="Q91" s="41">
        <f t="shared" si="12"/>
        <v>16.482436755535321</v>
      </c>
      <c r="T91" s="41">
        <f t="shared" si="14"/>
        <v>-2.8031355026420615</v>
      </c>
      <c r="U91" s="40">
        <f t="shared" si="13"/>
        <v>-3.4076237092388668</v>
      </c>
    </row>
    <row r="92" spans="1:21" x14ac:dyDescent="0.3">
      <c r="A92" s="22">
        <v>83</v>
      </c>
      <c r="B92" s="22" cm="1">
        <f t="array" ref="B92">KCASConv($K$4,A92,2)</f>
        <v>82.93255615234375</v>
      </c>
      <c r="C92" s="33" cm="1">
        <f t="array" ref="C92">KCASConv($K$4,A92,1)</f>
        <v>92.795005798339844</v>
      </c>
      <c r="D92" s="33">
        <f t="shared" si="3"/>
        <v>47.734056480627494</v>
      </c>
      <c r="E92" s="33">
        <f t="shared" si="4"/>
        <v>171.84260333025898</v>
      </c>
      <c r="F92" s="32" cm="1">
        <f t="array" ref="F92">KCASConv($K$4,A92,0)</f>
        <v>0.14561307430267334</v>
      </c>
      <c r="G92" s="32">
        <f t="shared" si="5"/>
        <v>1035.7150374558855</v>
      </c>
      <c r="H92" s="32">
        <f t="shared" si="6"/>
        <v>0.59697552667307829</v>
      </c>
      <c r="I92" s="32">
        <f t="shared" si="15"/>
        <v>4.2709764923529958</v>
      </c>
      <c r="J92" s="38">
        <f t="shared" si="16"/>
        <v>0.03</v>
      </c>
      <c r="K92" s="39">
        <f t="shared" si="17"/>
        <v>5.9097067413251218E-3</v>
      </c>
      <c r="L92" s="31">
        <f t="shared" si="7"/>
        <v>3.5909706741325119E-2</v>
      </c>
      <c r="M92" s="31">
        <f t="shared" si="8"/>
        <v>16.624349816426516</v>
      </c>
      <c r="N92" s="40">
        <f t="shared" si="9"/>
        <v>12.844669454752058</v>
      </c>
      <c r="O92" s="40">
        <f t="shared" si="10"/>
        <v>21.516241254201674</v>
      </c>
      <c r="P92" s="42">
        <f t="shared" si="11"/>
        <v>353.69804322752958</v>
      </c>
      <c r="Q92" s="41">
        <f t="shared" si="12"/>
        <v>16.883442372510324</v>
      </c>
      <c r="T92" s="41">
        <f t="shared" si="14"/>
        <v>-2.8713337368214833</v>
      </c>
      <c r="U92" s="40">
        <f t="shared" si="13"/>
        <v>-3.448579296795903</v>
      </c>
    </row>
    <row r="93" spans="1:21" x14ac:dyDescent="0.3">
      <c r="A93" s="22">
        <v>84</v>
      </c>
      <c r="B93" s="22" cm="1">
        <f t="array" ref="B93">KCASConv($K$4,A93,2)</f>
        <v>83.930099487304688</v>
      </c>
      <c r="C93" s="33" cm="1">
        <f t="array" ref="C93">KCASConv($K$4,A93,1)</f>
        <v>93.911476135253906</v>
      </c>
      <c r="D93" s="33">
        <f t="shared" si="3"/>
        <v>48.308372497558594</v>
      </c>
      <c r="E93" s="33">
        <f t="shared" si="4"/>
        <v>173.91014099121094</v>
      </c>
      <c r="F93" s="32" cm="1">
        <f t="array" ref="F93">KCASConv($K$4,A93,0)</f>
        <v>0.1473650336265564</v>
      </c>
      <c r="G93" s="32">
        <f t="shared" si="5"/>
        <v>1060.7875386095379</v>
      </c>
      <c r="H93" s="32">
        <f t="shared" si="6"/>
        <v>0.58286556682114377</v>
      </c>
      <c r="I93" s="32">
        <f t="shared" ref="I93:I124" si="18">(H93-$E$9)/$E$10*180/PI()</f>
        <v>4.1191703915066693</v>
      </c>
      <c r="J93" s="38">
        <f t="shared" ref="J93:J124" si="19">$E$12</f>
        <v>0.03</v>
      </c>
      <c r="K93" s="39">
        <f t="shared" ref="K93:K124" si="20">$E$23*(H93-$E$11)^2</f>
        <v>5.4970676602067187E-3</v>
      </c>
      <c r="L93" s="31">
        <f t="shared" si="7"/>
        <v>3.5497067660206716E-2</v>
      </c>
      <c r="M93" s="31">
        <f t="shared" si="8"/>
        <v>16.420104680211477</v>
      </c>
      <c r="N93" s="40">
        <f t="shared" si="9"/>
        <v>12.536032846660103</v>
      </c>
      <c r="O93" s="40">
        <f t="shared" si="10"/>
        <v>21.507588645233646</v>
      </c>
      <c r="P93" s="42">
        <f t="shared" si="11"/>
        <v>358.09759526601692</v>
      </c>
      <c r="Q93" s="41">
        <f t="shared" si="12"/>
        <v>17.299112022590723</v>
      </c>
      <c r="T93" s="41">
        <f t="shared" si="14"/>
        <v>-2.9420258541820954</v>
      </c>
      <c r="U93" s="40">
        <f t="shared" si="13"/>
        <v>-3.4915280691899313</v>
      </c>
    </row>
    <row r="94" spans="1:21" x14ac:dyDescent="0.3">
      <c r="A94" s="22">
        <v>85</v>
      </c>
      <c r="B94" s="22" cm="1">
        <f t="array" ref="B94">KCASConv($K$4,A94,2)</f>
        <v>84.927589416503906</v>
      </c>
      <c r="C94" s="33" cm="1">
        <f t="array" ref="C94">KCASConv($K$4,A94,1)</f>
        <v>95.027908325195313</v>
      </c>
      <c r="D94" s="33">
        <f t="shared" ref="D94:D157" si="21">C94/1.944</f>
        <v>48.882668891561373</v>
      </c>
      <c r="E94" s="33">
        <f t="shared" ref="E94:E157" si="22">3.6*D94</f>
        <v>175.97760800962095</v>
      </c>
      <c r="F94" s="32" cm="1">
        <f t="array" ref="F94">KCASConv($K$4,A94,0)</f>
        <v>0.14911691844463348</v>
      </c>
      <c r="G94" s="32">
        <f t="shared" ref="G94:G157" si="23">0.5*$K$6*D94^2</f>
        <v>1086.1590255992555</v>
      </c>
      <c r="H94" s="32">
        <f t="shared" ref="H94:H157" si="24">$E$4/(G94*$E$5)</f>
        <v>0.5692504646152784</v>
      </c>
      <c r="I94" s="32">
        <f t="shared" si="18"/>
        <v>3.9726883603608991</v>
      </c>
      <c r="J94" s="38">
        <f t="shared" si="19"/>
        <v>0.03</v>
      </c>
      <c r="K94" s="39">
        <f t="shared" si="20"/>
        <v>5.1130561739441251E-3</v>
      </c>
      <c r="L94" s="31">
        <f t="shared" ref="L94:L157" si="25">J94+K94</f>
        <v>3.5113056173944127E-2</v>
      </c>
      <c r="M94" s="31">
        <f t="shared" ref="M94:M157" si="26">H94/L94</f>
        <v>16.211931590212714</v>
      </c>
      <c r="N94" s="40">
        <f t="shared" ref="N94:N157" si="27">H94^1.5/L94</f>
        <v>12.231689818817683</v>
      </c>
      <c r="O94" s="40">
        <f t="shared" ref="O94:O157" si="28">H94^0.5/L94</f>
        <v>21.487360273099359</v>
      </c>
      <c r="P94" s="42">
        <f t="shared" ref="P94:P157" si="29">G94*$E$5*L94</f>
        <v>362.69583098597627</v>
      </c>
      <c r="Q94" s="41">
        <f t="shared" ref="Q94:Q157" si="30">P94*D94/1000</f>
        <v>17.729540214437183</v>
      </c>
      <c r="T94" s="41">
        <f t="shared" si="14"/>
        <v>-3.0152279276253715</v>
      </c>
      <c r="U94" s="40">
        <f t="shared" ref="U94:U157" si="31">ASIN(T94/D94)*180/PI()</f>
        <v>-3.5364185071440719</v>
      </c>
    </row>
    <row r="95" spans="1:21" x14ac:dyDescent="0.3">
      <c r="A95" s="22">
        <v>86</v>
      </c>
      <c r="B95" s="22" cm="1">
        <f t="array" ref="B95">KCASConv($K$4,A95,2)</f>
        <v>85.925010681152344</v>
      </c>
      <c r="C95" s="33" cm="1">
        <f t="array" ref="C95">KCASConv($K$4,A95,1)</f>
        <v>96.144264221191406</v>
      </c>
      <c r="D95" s="33">
        <f t="shared" si="21"/>
        <v>49.456926039707511</v>
      </c>
      <c r="E95" s="33">
        <f t="shared" si="22"/>
        <v>178.04493374294705</v>
      </c>
      <c r="F95" s="32" cm="1">
        <f t="array" ref="F95">KCASConv($K$4,A95,0)</f>
        <v>0.15086869895458221</v>
      </c>
      <c r="G95" s="32">
        <f t="shared" si="23"/>
        <v>1111.828585413625</v>
      </c>
      <c r="H95" s="32">
        <f t="shared" si="24"/>
        <v>0.55610778323210153</v>
      </c>
      <c r="I95" s="32">
        <f t="shared" si="18"/>
        <v>3.831289005835298</v>
      </c>
      <c r="J95" s="38">
        <f t="shared" si="19"/>
        <v>0.03</v>
      </c>
      <c r="K95" s="39">
        <f t="shared" si="20"/>
        <v>4.7555570381348066E-3</v>
      </c>
      <c r="L95" s="31">
        <f t="shared" si="25"/>
        <v>3.4755557038134807E-2</v>
      </c>
      <c r="M95" s="31">
        <f t="shared" si="26"/>
        <v>16.000542952654275</v>
      </c>
      <c r="N95" s="40">
        <f t="shared" si="27"/>
        <v>11.93202643131753</v>
      </c>
      <c r="O95" s="40">
        <f t="shared" si="28"/>
        <v>21.456319783852923</v>
      </c>
      <c r="P95" s="42">
        <f t="shared" si="29"/>
        <v>367.48752947940352</v>
      </c>
      <c r="Q95" s="41">
        <f t="shared" si="30"/>
        <v>18.174803565977694</v>
      </c>
      <c r="T95" s="41">
        <f t="shared" ref="T95:T158" si="32">-1000*Q95/$E$4</f>
        <v>-3.0909529874111725</v>
      </c>
      <c r="U95" s="40">
        <f t="shared" si="31"/>
        <v>-3.5831999454487575</v>
      </c>
    </row>
    <row r="96" spans="1:21" x14ac:dyDescent="0.3">
      <c r="A96" s="22">
        <v>87</v>
      </c>
      <c r="B96" s="22" cm="1">
        <f t="array" ref="B96">KCASConv($K$4,A96,2)</f>
        <v>86.922378540039063</v>
      </c>
      <c r="C96" s="33" cm="1">
        <f t="array" ref="C96">KCASConv($K$4,A96,1)</f>
        <v>97.260574340820313</v>
      </c>
      <c r="D96" s="33">
        <f t="shared" si="21"/>
        <v>50.031159640339666</v>
      </c>
      <c r="E96" s="33">
        <f t="shared" si="22"/>
        <v>180.1121747052228</v>
      </c>
      <c r="F96" s="32" cm="1">
        <f t="array" ref="F96">KCASConv($K$4,A96,0)</f>
        <v>0.15262040495872498</v>
      </c>
      <c r="G96" s="32">
        <f t="shared" si="23"/>
        <v>1137.7968706025545</v>
      </c>
      <c r="H96" s="32">
        <f t="shared" si="24"/>
        <v>0.54341556559301907</v>
      </c>
      <c r="I96" s="32">
        <f t="shared" si="18"/>
        <v>3.6947360963230915</v>
      </c>
      <c r="J96" s="38">
        <f t="shared" si="19"/>
        <v>0.03</v>
      </c>
      <c r="K96" s="39">
        <f t="shared" si="20"/>
        <v>4.4226076748121032E-3</v>
      </c>
      <c r="L96" s="31">
        <f t="shared" si="25"/>
        <v>3.4422607674812103E-2</v>
      </c>
      <c r="M96" s="31">
        <f t="shared" si="26"/>
        <v>15.786589172053054</v>
      </c>
      <c r="N96" s="40">
        <f t="shared" si="27"/>
        <v>11.637356645915565</v>
      </c>
      <c r="O96" s="40">
        <f t="shared" si="28"/>
        <v>21.415206671925084</v>
      </c>
      <c r="P96" s="42">
        <f t="shared" si="29"/>
        <v>372.46804461152027</v>
      </c>
      <c r="Q96" s="41">
        <f t="shared" si="30"/>
        <v>18.635008200884126</v>
      </c>
      <c r="T96" s="41">
        <f t="shared" si="32"/>
        <v>-3.169219081783015</v>
      </c>
      <c r="U96" s="40">
        <f t="shared" si="31"/>
        <v>-3.6318273396683152</v>
      </c>
    </row>
    <row r="97" spans="1:21" x14ac:dyDescent="0.3">
      <c r="A97" s="22">
        <v>88</v>
      </c>
      <c r="B97" s="22" cm="1">
        <f t="array" ref="B97">KCASConv($K$4,A97,2)</f>
        <v>87.919685363769531</v>
      </c>
      <c r="C97" s="33" cm="1">
        <f t="array" ref="C97">KCASConv($K$4,A97,1)</f>
        <v>98.376823425292969</v>
      </c>
      <c r="D97" s="33">
        <f t="shared" si="21"/>
        <v>50.605361844286506</v>
      </c>
      <c r="E97" s="33">
        <f t="shared" si="22"/>
        <v>182.17930263943143</v>
      </c>
      <c r="F97" s="32" cm="1">
        <f t="array" ref="F97">KCASConv($K$4,A97,0)</f>
        <v>0.15437200665473938</v>
      </c>
      <c r="G97" s="32">
        <f t="shared" si="23"/>
        <v>1164.0634831825566</v>
      </c>
      <c r="H97" s="32">
        <f t="shared" si="24"/>
        <v>0.53115361739381073</v>
      </c>
      <c r="I97" s="32">
        <f t="shared" si="18"/>
        <v>3.562812365537547</v>
      </c>
      <c r="J97" s="38">
        <f t="shared" si="19"/>
        <v>0.03</v>
      </c>
      <c r="K97" s="39">
        <f t="shared" si="20"/>
        <v>4.1124200714196292E-3</v>
      </c>
      <c r="L97" s="31">
        <f t="shared" si="25"/>
        <v>3.4112420071419625E-2</v>
      </c>
      <c r="M97" s="31">
        <f t="shared" si="26"/>
        <v>15.570681185379359</v>
      </c>
      <c r="N97" s="40">
        <f t="shared" si="27"/>
        <v>11.347957072451212</v>
      </c>
      <c r="O97" s="40">
        <f t="shared" si="28"/>
        <v>21.364736492112694</v>
      </c>
      <c r="P97" s="42">
        <f t="shared" si="29"/>
        <v>377.63280424245244</v>
      </c>
      <c r="Q97" s="41">
        <f t="shared" si="30"/>
        <v>19.110244702961918</v>
      </c>
      <c r="T97" s="41">
        <f t="shared" si="32"/>
        <v>-3.2500416161499861</v>
      </c>
      <c r="U97" s="40">
        <f t="shared" si="31"/>
        <v>-3.6822563773315307</v>
      </c>
    </row>
    <row r="98" spans="1:21" x14ac:dyDescent="0.3">
      <c r="A98" s="22">
        <v>89</v>
      </c>
      <c r="B98" s="22" cm="1">
        <f t="array" ref="B98">KCASConv($K$4,A98,2)</f>
        <v>88.91693115234375</v>
      </c>
      <c r="C98" s="33" cm="1">
        <f t="array" ref="C98">KCASConv($K$4,A98,1)</f>
        <v>99.493019104003906</v>
      </c>
      <c r="D98" s="33">
        <f t="shared" si="21"/>
        <v>51.1795365761337</v>
      </c>
      <c r="E98" s="33">
        <f t="shared" si="22"/>
        <v>184.24633167408132</v>
      </c>
      <c r="F98" s="32" cm="1">
        <f t="array" ref="F98">KCASConv($K$4,A98,0)</f>
        <v>0.15612353384494781</v>
      </c>
      <c r="G98" s="32">
        <f t="shared" si="23"/>
        <v>1190.6285565867702</v>
      </c>
      <c r="H98" s="32">
        <f t="shared" si="24"/>
        <v>0.51930262091222934</v>
      </c>
      <c r="I98" s="32">
        <f t="shared" si="18"/>
        <v>3.4353099781536631</v>
      </c>
      <c r="J98" s="38">
        <f t="shared" si="19"/>
        <v>0.03</v>
      </c>
      <c r="K98" s="39">
        <f t="shared" si="20"/>
        <v>3.8233444848233154E-3</v>
      </c>
      <c r="L98" s="31">
        <f t="shared" si="25"/>
        <v>3.3823344484823312E-2</v>
      </c>
      <c r="M98" s="31">
        <f t="shared" si="26"/>
        <v>15.353378822287748</v>
      </c>
      <c r="N98" s="40">
        <f t="shared" si="27"/>
        <v>11.064052372637093</v>
      </c>
      <c r="O98" s="40">
        <f t="shared" si="28"/>
        <v>21.305597020098801</v>
      </c>
      <c r="P98" s="42">
        <f t="shared" si="29"/>
        <v>382.97758871580061</v>
      </c>
      <c r="Q98" s="41">
        <f t="shared" si="30"/>
        <v>19.600615509519805</v>
      </c>
      <c r="T98" s="41">
        <f t="shared" si="32"/>
        <v>-3.333438011823096</v>
      </c>
      <c r="U98" s="40">
        <f t="shared" si="31"/>
        <v>-3.7344461970740301</v>
      </c>
    </row>
    <row r="99" spans="1:21" x14ac:dyDescent="0.3">
      <c r="A99" s="22">
        <v>90</v>
      </c>
      <c r="B99" s="22" cm="1">
        <f t="array" ref="B99">KCASConv($K$4,A99,2)</f>
        <v>89.914108276367188</v>
      </c>
      <c r="C99" s="33" cm="1">
        <f t="array" ref="C99">KCASConv($K$4,A99,1)</f>
        <v>100.60914611816406</v>
      </c>
      <c r="D99" s="33">
        <f t="shared" si="21"/>
        <v>51.753675986709908</v>
      </c>
      <c r="E99" s="33">
        <f t="shared" si="22"/>
        <v>186.31323355215568</v>
      </c>
      <c r="F99" s="32" cm="1">
        <f t="array" ref="F99">KCASConv($K$4,A99,0)</f>
        <v>0.15787495672702789</v>
      </c>
      <c r="G99" s="32">
        <f t="shared" si="23"/>
        <v>1217.4916784957284</v>
      </c>
      <c r="H99" s="32">
        <f t="shared" si="24"/>
        <v>0.50784456344900075</v>
      </c>
      <c r="I99" s="32">
        <f t="shared" si="18"/>
        <v>3.3120351393150957</v>
      </c>
      <c r="J99" s="38">
        <f t="shared" si="19"/>
        <v>0.03</v>
      </c>
      <c r="K99" s="39">
        <f t="shared" si="20"/>
        <v>3.5538692022881418E-3</v>
      </c>
      <c r="L99" s="31">
        <f t="shared" si="25"/>
        <v>3.3553869202288138E-2</v>
      </c>
      <c r="M99" s="31">
        <f t="shared" si="26"/>
        <v>15.135201260615551</v>
      </c>
      <c r="N99" s="40">
        <f t="shared" si="27"/>
        <v>10.785830826388668</v>
      </c>
      <c r="O99" s="40">
        <f t="shared" si="28"/>
        <v>21.2384489323608</v>
      </c>
      <c r="P99" s="42">
        <f t="shared" si="29"/>
        <v>388.49830264899032</v>
      </c>
      <c r="Q99" s="41">
        <f t="shared" si="30"/>
        <v>20.106215276682608</v>
      </c>
      <c r="T99" s="41">
        <f t="shared" si="32"/>
        <v>-3.4194243667827564</v>
      </c>
      <c r="U99" s="40">
        <f t="shared" si="31"/>
        <v>-3.7883571606254756</v>
      </c>
    </row>
    <row r="100" spans="1:21" x14ac:dyDescent="0.3">
      <c r="A100" s="22">
        <v>91</v>
      </c>
      <c r="B100" s="22" cm="1">
        <f t="array" ref="B100">KCASConv($K$4,A100,2)</f>
        <v>90.911231994628906</v>
      </c>
      <c r="C100" s="33" cm="1">
        <f t="array" ref="C100">KCASConv($K$4,A100,1)</f>
        <v>101.72522735595703</v>
      </c>
      <c r="D100" s="33">
        <f t="shared" si="21"/>
        <v>52.32779184977214</v>
      </c>
      <c r="E100" s="33">
        <f t="shared" si="22"/>
        <v>188.38005065917972</v>
      </c>
      <c r="F100" s="32" cm="1">
        <f t="array" ref="F100">KCASConv($K$4,A100,0)</f>
        <v>0.15962629020214081</v>
      </c>
      <c r="G100" s="32">
        <f t="shared" si="23"/>
        <v>1244.6533536954873</v>
      </c>
      <c r="H100" s="32">
        <f t="shared" si="24"/>
        <v>0.49676203268378016</v>
      </c>
      <c r="I100" s="32">
        <f t="shared" si="18"/>
        <v>3.1928005135165733</v>
      </c>
      <c r="J100" s="38">
        <f t="shared" si="19"/>
        <v>0.03</v>
      </c>
      <c r="K100" s="39">
        <f t="shared" si="20"/>
        <v>3.3025936190541616E-3</v>
      </c>
      <c r="L100" s="31">
        <f t="shared" si="25"/>
        <v>3.330259361905416E-2</v>
      </c>
      <c r="M100" s="31">
        <f t="shared" si="26"/>
        <v>14.916616956811332</v>
      </c>
      <c r="N100" s="40">
        <f t="shared" si="27"/>
        <v>10.513432612915002</v>
      </c>
      <c r="O100" s="40">
        <f t="shared" si="28"/>
        <v>21.163921397365435</v>
      </c>
      <c r="P100" s="42">
        <f t="shared" si="29"/>
        <v>394.19125777812729</v>
      </c>
      <c r="Q100" s="41">
        <f t="shared" si="30"/>
        <v>20.627158086013718</v>
      </c>
      <c r="T100" s="41">
        <f t="shared" si="32"/>
        <v>-3.5080200826553942</v>
      </c>
      <c r="U100" s="40">
        <f t="shared" si="31"/>
        <v>-3.8439536150883287</v>
      </c>
    </row>
    <row r="101" spans="1:21" x14ac:dyDescent="0.3">
      <c r="A101" s="22">
        <v>92</v>
      </c>
      <c r="B101" s="22" cm="1">
        <f t="array" ref="B101">KCASConv($K$4,A101,2)</f>
        <v>91.908287048339844</v>
      </c>
      <c r="C101" s="33" cm="1">
        <f t="array" ref="C101">KCASConv($K$4,A101,1)</f>
        <v>102.84123992919922</v>
      </c>
      <c r="D101" s="33">
        <f t="shared" si="21"/>
        <v>52.901872391563387</v>
      </c>
      <c r="E101" s="33">
        <f t="shared" si="22"/>
        <v>190.44674060962819</v>
      </c>
      <c r="F101" s="32" cm="1">
        <f t="array" ref="F101">KCASConv($K$4,A101,0)</f>
        <v>0.16137753427028656</v>
      </c>
      <c r="G101" s="32">
        <f t="shared" si="23"/>
        <v>1272.1129790765442</v>
      </c>
      <c r="H101" s="32">
        <f t="shared" si="24"/>
        <v>0.48603900764953267</v>
      </c>
      <c r="I101" s="32">
        <f t="shared" si="18"/>
        <v>3.0774337345314806</v>
      </c>
      <c r="J101" s="38">
        <f t="shared" si="19"/>
        <v>0.03</v>
      </c>
      <c r="K101" s="39">
        <f t="shared" si="20"/>
        <v>3.0682376057822001E-3</v>
      </c>
      <c r="L101" s="31">
        <f t="shared" si="25"/>
        <v>3.3068237605782203E-2</v>
      </c>
      <c r="M101" s="31">
        <f t="shared" si="26"/>
        <v>14.698062032932336</v>
      </c>
      <c r="N101" s="40">
        <f t="shared" si="27"/>
        <v>10.246974105425156</v>
      </c>
      <c r="O101" s="40">
        <f t="shared" si="28"/>
        <v>21.082616712142421</v>
      </c>
      <c r="P101" s="42">
        <f t="shared" si="29"/>
        <v>400.05274075080979</v>
      </c>
      <c r="Q101" s="41">
        <f t="shared" si="30"/>
        <v>21.163539041094531</v>
      </c>
      <c r="T101" s="41">
        <f t="shared" si="32"/>
        <v>-3.5992413335194779</v>
      </c>
      <c r="U101" s="40">
        <f t="shared" si="31"/>
        <v>-3.901199672586356</v>
      </c>
    </row>
    <row r="102" spans="1:21" x14ac:dyDescent="0.3">
      <c r="A102" s="22">
        <v>93</v>
      </c>
      <c r="B102" s="22" cm="1">
        <f t="array" ref="B102">KCASConv($K$4,A102,2)</f>
        <v>92.905281066894531</v>
      </c>
      <c r="C102" s="33" cm="1">
        <f t="array" ref="C102">KCASConv($K$4,A102,1)</f>
        <v>103.95719909667969</v>
      </c>
      <c r="D102" s="33">
        <f t="shared" si="21"/>
        <v>53.475925461254988</v>
      </c>
      <c r="E102" s="33">
        <f t="shared" si="22"/>
        <v>192.51333166051796</v>
      </c>
      <c r="F102" s="32" cm="1">
        <f t="array" ref="F102">KCASConv($K$4,A102,0)</f>
        <v>0.16312868893146515</v>
      </c>
      <c r="G102" s="32">
        <f t="shared" si="23"/>
        <v>1299.870880925349</v>
      </c>
      <c r="H102" s="32">
        <f t="shared" si="24"/>
        <v>0.47565995903247166</v>
      </c>
      <c r="I102" s="32">
        <f t="shared" si="18"/>
        <v>2.9657677257274604</v>
      </c>
      <c r="J102" s="38">
        <f t="shared" si="19"/>
        <v>0.03</v>
      </c>
      <c r="K102" s="39">
        <f t="shared" si="20"/>
        <v>2.8496127004736713E-3</v>
      </c>
      <c r="L102" s="31">
        <f t="shared" si="25"/>
        <v>3.2849612700473672E-2</v>
      </c>
      <c r="M102" s="31">
        <f t="shared" si="26"/>
        <v>14.479925939145485</v>
      </c>
      <c r="N102" s="40">
        <f t="shared" si="27"/>
        <v>9.9865306127971483</v>
      </c>
      <c r="O102" s="40">
        <f t="shared" si="28"/>
        <v>20.995104639689465</v>
      </c>
      <c r="P102" s="42">
        <f t="shared" si="29"/>
        <v>406.079425040692</v>
      </c>
      <c r="Q102" s="41">
        <f t="shared" si="30"/>
        <v>21.715473064825328</v>
      </c>
      <c r="T102" s="41">
        <f t="shared" si="32"/>
        <v>-3.6931076640859399</v>
      </c>
      <c r="U102" s="40">
        <f t="shared" si="31"/>
        <v>-3.960063233234695</v>
      </c>
    </row>
    <row r="103" spans="1:21" x14ac:dyDescent="0.3">
      <c r="A103" s="22">
        <v>94</v>
      </c>
      <c r="B103" s="22" cm="1">
        <f t="array" ref="B103">KCASConv($K$4,A103,2)</f>
        <v>93.902206420898438</v>
      </c>
      <c r="C103" s="33" cm="1">
        <f t="array" ref="C103">KCASConv($K$4,A103,1)</f>
        <v>105.07309722900391</v>
      </c>
      <c r="D103" s="33">
        <f t="shared" si="21"/>
        <v>54.049947134261267</v>
      </c>
      <c r="E103" s="33">
        <f t="shared" si="22"/>
        <v>194.57980968334056</v>
      </c>
      <c r="F103" s="32" cm="1">
        <f t="array" ref="F103">KCASConv($K$4,A103,0)</f>
        <v>0.16487973928451538</v>
      </c>
      <c r="G103" s="32">
        <f t="shared" si="23"/>
        <v>1327.9268233885061</v>
      </c>
      <c r="H103" s="32">
        <f t="shared" si="24"/>
        <v>0.4656103928910259</v>
      </c>
      <c r="I103" s="32">
        <f t="shared" si="18"/>
        <v>2.8576465498248247</v>
      </c>
      <c r="J103" s="38">
        <f t="shared" si="19"/>
        <v>0.03</v>
      </c>
      <c r="K103" s="39">
        <f t="shared" si="20"/>
        <v>2.6456268632538498E-3</v>
      </c>
      <c r="L103" s="31">
        <f t="shared" si="25"/>
        <v>3.2645626863253847E-2</v>
      </c>
      <c r="M103" s="31">
        <f t="shared" si="26"/>
        <v>14.262565544885287</v>
      </c>
      <c r="N103" s="40">
        <f t="shared" si="27"/>
        <v>9.7321543041255314</v>
      </c>
      <c r="O103" s="40">
        <f t="shared" si="28"/>
        <v>20.901926702489437</v>
      </c>
      <c r="P103" s="42">
        <f t="shared" si="29"/>
        <v>412.26804402722848</v>
      </c>
      <c r="Q103" s="41">
        <f t="shared" si="30"/>
        <v>22.283065984816997</v>
      </c>
      <c r="T103" s="41">
        <f t="shared" si="32"/>
        <v>-3.7896370722477886</v>
      </c>
      <c r="U103" s="40">
        <f t="shared" si="31"/>
        <v>-4.0205127927496482</v>
      </c>
    </row>
    <row r="104" spans="1:21" x14ac:dyDescent="0.3">
      <c r="A104" s="22">
        <v>95</v>
      </c>
      <c r="B104" s="22" cm="1">
        <f t="array" ref="B104">KCASConv($K$4,A104,2)</f>
        <v>94.899070739746094</v>
      </c>
      <c r="C104" s="33" cm="1">
        <f t="array" ref="C104">KCASConv($K$4,A104,1)</f>
        <v>106.18893432617188</v>
      </c>
      <c r="D104" s="33">
        <f t="shared" si="21"/>
        <v>54.623937410582244</v>
      </c>
      <c r="E104" s="33">
        <f t="shared" si="22"/>
        <v>196.64617467809609</v>
      </c>
      <c r="F104" s="32" cm="1">
        <f t="array" ref="F104">KCASConv($K$4,A104,0)</f>
        <v>0.16663070023059845</v>
      </c>
      <c r="G104" s="32">
        <f t="shared" si="23"/>
        <v>1356.2807573133664</v>
      </c>
      <c r="H104" s="32">
        <f t="shared" si="24"/>
        <v>0.45587650391297113</v>
      </c>
      <c r="I104" s="32">
        <f t="shared" si="18"/>
        <v>2.752921678362704</v>
      </c>
      <c r="J104" s="38">
        <f t="shared" si="19"/>
        <v>0.03</v>
      </c>
      <c r="K104" s="39">
        <f t="shared" si="20"/>
        <v>2.4552701260309984E-3</v>
      </c>
      <c r="L104" s="31">
        <f t="shared" si="25"/>
        <v>3.2455270126030999E-2</v>
      </c>
      <c r="M104" s="31">
        <f t="shared" si="26"/>
        <v>14.046301329266456</v>
      </c>
      <c r="N104" s="40">
        <f t="shared" si="27"/>
        <v>9.4838698508631012</v>
      </c>
      <c r="O104" s="40">
        <f t="shared" si="28"/>
        <v>20.803594327540985</v>
      </c>
      <c r="P104" s="42">
        <f t="shared" si="29"/>
        <v>418.61553886421382</v>
      </c>
      <c r="Q104" s="41">
        <f t="shared" si="30"/>
        <v>22.866428994015976</v>
      </c>
      <c r="T104" s="41">
        <f t="shared" si="32"/>
        <v>-3.8888484683700639</v>
      </c>
      <c r="U104" s="40">
        <f t="shared" si="31"/>
        <v>-4.0825188869330082</v>
      </c>
    </row>
    <row r="105" spans="1:21" x14ac:dyDescent="0.3">
      <c r="A105" s="22">
        <v>96</v>
      </c>
      <c r="B105" s="22" cm="1">
        <f t="array" ref="B105">KCASConv($K$4,A105,2)</f>
        <v>95.895866394042969</v>
      </c>
      <c r="C105" s="33" cm="1">
        <f t="array" ref="C105">KCASConv($K$4,A105,1)</f>
        <v>107.30471038818359</v>
      </c>
      <c r="D105" s="33">
        <f t="shared" si="21"/>
        <v>55.197896290217898</v>
      </c>
      <c r="E105" s="33">
        <f t="shared" si="22"/>
        <v>198.71242664478444</v>
      </c>
      <c r="F105" s="32" cm="1">
        <f t="array" ref="F105">KCASConv($K$4,A105,0)</f>
        <v>0.16838157176971436</v>
      </c>
      <c r="G105" s="32">
        <f t="shared" si="23"/>
        <v>1384.9326335499672</v>
      </c>
      <c r="H105" s="32">
        <f t="shared" si="24"/>
        <v>0.44644520245261926</v>
      </c>
      <c r="I105" s="32">
        <f t="shared" si="18"/>
        <v>2.6514522825865003</v>
      </c>
      <c r="J105" s="38">
        <f t="shared" si="19"/>
        <v>0.03</v>
      </c>
      <c r="K105" s="39">
        <f t="shared" si="20"/>
        <v>2.2776091534339599E-3</v>
      </c>
      <c r="L105" s="31">
        <f t="shared" si="25"/>
        <v>3.2277609153433959E-2</v>
      </c>
      <c r="M105" s="31">
        <f t="shared" si="26"/>
        <v>13.831421042692771</v>
      </c>
      <c r="N105" s="40">
        <f t="shared" si="27"/>
        <v>9.2416790508166642</v>
      </c>
      <c r="O105" s="40">
        <f t="shared" si="28"/>
        <v>20.700589904530275</v>
      </c>
      <c r="P105" s="42">
        <f t="shared" si="29"/>
        <v>425.11900851333291</v>
      </c>
      <c r="Q105" s="41">
        <f t="shared" si="30"/>
        <v>23.465674942919211</v>
      </c>
      <c r="T105" s="41">
        <f t="shared" si="32"/>
        <v>-3.9907610447141515</v>
      </c>
      <c r="U105" s="40">
        <f t="shared" si="31"/>
        <v>-4.1460536040525193</v>
      </c>
    </row>
    <row r="106" spans="1:21" x14ac:dyDescent="0.3">
      <c r="A106" s="22">
        <v>97</v>
      </c>
      <c r="B106" s="22" cm="1">
        <f t="array" ref="B106">KCASConv($K$4,A106,2)</f>
        <v>96.892601013183594</v>
      </c>
      <c r="C106" s="33" cm="1">
        <f t="array" ref="C106">KCASConv($K$4,A106,1)</f>
        <v>108.42042541503906</v>
      </c>
      <c r="D106" s="33">
        <f t="shared" si="21"/>
        <v>55.771823773168244</v>
      </c>
      <c r="E106" s="33">
        <f t="shared" si="22"/>
        <v>200.77856558340568</v>
      </c>
      <c r="F106" s="32" cm="1">
        <f t="array" ref="F106">KCASConv($K$4,A106,0)</f>
        <v>0.1701323390007019</v>
      </c>
      <c r="G106" s="32">
        <f t="shared" si="23"/>
        <v>1413.8824029510367</v>
      </c>
      <c r="H106" s="32">
        <f t="shared" si="24"/>
        <v>0.43730407046438508</v>
      </c>
      <c r="I106" s="32">
        <f t="shared" si="18"/>
        <v>2.5531047593463683</v>
      </c>
      <c r="J106" s="38">
        <f t="shared" si="19"/>
        <v>0.03</v>
      </c>
      <c r="K106" s="39">
        <f t="shared" si="20"/>
        <v>2.1117808077501491E-3</v>
      </c>
      <c r="L106" s="31">
        <f t="shared" si="25"/>
        <v>3.2111780807750151E-2</v>
      </c>
      <c r="M106" s="31">
        <f t="shared" si="26"/>
        <v>13.618181846795682</v>
      </c>
      <c r="N106" s="40">
        <f t="shared" si="27"/>
        <v>9.0055634203269932</v>
      </c>
      <c r="O106" s="40">
        <f t="shared" si="28"/>
        <v>20.593367472577469</v>
      </c>
      <c r="P106" s="42">
        <f t="shared" si="29"/>
        <v>431.77570002735325</v>
      </c>
      <c r="Q106" s="41">
        <f t="shared" si="30"/>
        <v>24.080918251461899</v>
      </c>
      <c r="T106" s="41">
        <f t="shared" si="32"/>
        <v>-4.0953942604527036</v>
      </c>
      <c r="U106" s="40">
        <f t="shared" si="31"/>
        <v>-4.2110904903120794</v>
      </c>
    </row>
    <row r="107" spans="1:21" x14ac:dyDescent="0.3">
      <c r="A107" s="22">
        <v>98</v>
      </c>
      <c r="B107" s="22" cm="1">
        <f t="array" ref="B107">KCASConv($K$4,A107,2)</f>
        <v>97.889259338378906</v>
      </c>
      <c r="C107" s="33" cm="1">
        <f t="array" ref="C107">KCASConv($K$4,A107,1)</f>
        <v>109.53607177734375</v>
      </c>
      <c r="D107" s="33">
        <f t="shared" si="21"/>
        <v>56.345715934847611</v>
      </c>
      <c r="E107" s="33">
        <f t="shared" si="22"/>
        <v>202.84457736545141</v>
      </c>
      <c r="F107" s="32" cm="1">
        <f t="array" ref="F107">KCASConv($K$4,A107,0)</f>
        <v>0.1718830019235611</v>
      </c>
      <c r="G107" s="32">
        <f t="shared" si="23"/>
        <v>1443.1298153385414</v>
      </c>
      <c r="H107" s="32">
        <f t="shared" si="24"/>
        <v>0.42844138025338291</v>
      </c>
      <c r="I107" s="32">
        <f t="shared" si="18"/>
        <v>2.4577529328309526</v>
      </c>
      <c r="J107" s="38">
        <f t="shared" si="19"/>
        <v>0.03</v>
      </c>
      <c r="K107" s="39">
        <f t="shared" si="20"/>
        <v>1.9569873313692687E-3</v>
      </c>
      <c r="L107" s="31">
        <f t="shared" si="25"/>
        <v>3.1956987331369265E-2</v>
      </c>
      <c r="M107" s="31">
        <f t="shared" si="26"/>
        <v>13.406813846711421</v>
      </c>
      <c r="N107" s="40">
        <f t="shared" si="27"/>
        <v>8.7754881504358337</v>
      </c>
      <c r="O107" s="40">
        <f t="shared" si="28"/>
        <v>20.482354307714058</v>
      </c>
      <c r="P107" s="42">
        <f t="shared" si="29"/>
        <v>438.58295246206575</v>
      </c>
      <c r="Q107" s="41">
        <f t="shared" si="30"/>
        <v>24.71227045329433</v>
      </c>
      <c r="T107" s="41">
        <f t="shared" si="32"/>
        <v>-4.202767083893594</v>
      </c>
      <c r="U107" s="40">
        <f t="shared" si="31"/>
        <v>-4.2776040022111728</v>
      </c>
    </row>
    <row r="108" spans="1:21" x14ac:dyDescent="0.3">
      <c r="A108" s="22">
        <v>99</v>
      </c>
      <c r="B108" s="22" cm="1">
        <f t="array" ref="B108">KCASConv($K$4,A108,2)</f>
        <v>98.885856628417969</v>
      </c>
      <c r="C108" s="33" cm="1">
        <f t="array" ref="C108">KCASConv($K$4,A108,1)</f>
        <v>110.65166473388672</v>
      </c>
      <c r="D108" s="33">
        <f t="shared" si="21"/>
        <v>56.919580624427326</v>
      </c>
      <c r="E108" s="33">
        <f t="shared" si="22"/>
        <v>204.91049024793838</v>
      </c>
      <c r="F108" s="32" cm="1">
        <f t="array" ref="F108">KCASConv($K$4,A108,0)</f>
        <v>0.17363357543945313</v>
      </c>
      <c r="G108" s="32">
        <f t="shared" si="23"/>
        <v>1472.6752215900144</v>
      </c>
      <c r="H108" s="32">
        <f t="shared" si="24"/>
        <v>0.4198458159029072</v>
      </c>
      <c r="I108" s="32">
        <f t="shared" si="18"/>
        <v>2.3652750574640353</v>
      </c>
      <c r="J108" s="38">
        <f t="shared" si="19"/>
        <v>0.03</v>
      </c>
      <c r="K108" s="39">
        <f t="shared" si="20"/>
        <v>1.8124868832050244E-3</v>
      </c>
      <c r="L108" s="31">
        <f t="shared" si="25"/>
        <v>3.1812486883205024E-2</v>
      </c>
      <c r="M108" s="31">
        <f t="shared" si="26"/>
        <v>13.197516354012524</v>
      </c>
      <c r="N108" s="40">
        <f t="shared" si="27"/>
        <v>8.5513980725734715</v>
      </c>
      <c r="O108" s="40">
        <f t="shared" si="28"/>
        <v>20.367948777060228</v>
      </c>
      <c r="P108" s="42">
        <f t="shared" si="29"/>
        <v>445.53837572720772</v>
      </c>
      <c r="Q108" s="41">
        <f t="shared" si="30"/>
        <v>25.359857498481194</v>
      </c>
      <c r="T108" s="41">
        <f t="shared" si="32"/>
        <v>-4.3129009351158496</v>
      </c>
      <c r="U108" s="40">
        <f t="shared" si="31"/>
        <v>-4.3455712545459049</v>
      </c>
    </row>
    <row r="109" spans="1:21" x14ac:dyDescent="0.3">
      <c r="A109" s="22">
        <v>100</v>
      </c>
      <c r="B109" s="22" cm="1">
        <f t="array" ref="B109">KCASConv($K$4,A109,2)</f>
        <v>99.88238525390625</v>
      </c>
      <c r="C109" s="33" cm="1">
        <f t="array" ref="C109">KCASConv($K$4,A109,1)</f>
        <v>111.76718902587891</v>
      </c>
      <c r="D109" s="33">
        <f t="shared" si="21"/>
        <v>57.493409992736062</v>
      </c>
      <c r="E109" s="33">
        <f t="shared" si="22"/>
        <v>206.97627597384982</v>
      </c>
      <c r="F109" s="32" cm="1">
        <f t="array" ref="F109">KCASConv($K$4,A109,0)</f>
        <v>0.1753840446472168</v>
      </c>
      <c r="G109" s="32">
        <f t="shared" si="23"/>
        <v>1502.5181684521228</v>
      </c>
      <c r="H109" s="32">
        <f t="shared" si="24"/>
        <v>0.41150685758789612</v>
      </c>
      <c r="I109" s="32">
        <f t="shared" si="18"/>
        <v>2.2755579526525485</v>
      </c>
      <c r="J109" s="38">
        <f t="shared" si="19"/>
        <v>0.03</v>
      </c>
      <c r="K109" s="39">
        <f t="shared" si="20"/>
        <v>1.6775959497044917E-3</v>
      </c>
      <c r="L109" s="31">
        <f t="shared" si="25"/>
        <v>3.1677595949704491E-2</v>
      </c>
      <c r="M109" s="31">
        <f t="shared" si="26"/>
        <v>12.990469928376459</v>
      </c>
      <c r="N109" s="40">
        <f t="shared" si="27"/>
        <v>8.3332306082847136</v>
      </c>
      <c r="O109" s="40">
        <f t="shared" si="28"/>
        <v>20.250526703567196</v>
      </c>
      <c r="P109" s="42">
        <f t="shared" si="29"/>
        <v>452.63951438397874</v>
      </c>
      <c r="Q109" s="41">
        <f t="shared" si="30"/>
        <v>26.023789179391041</v>
      </c>
      <c r="T109" s="41">
        <f t="shared" si="32"/>
        <v>-4.4258144862909932</v>
      </c>
      <c r="U109" s="40">
        <f t="shared" si="31"/>
        <v>-4.4149687356953367</v>
      </c>
    </row>
    <row r="110" spans="1:21" x14ac:dyDescent="0.3">
      <c r="A110" s="22">
        <v>101</v>
      </c>
      <c r="B110" s="22" cm="1">
        <f t="array" ref="B110">KCASConv($K$4,A110,2)</f>
        <v>100.87884521484375</v>
      </c>
      <c r="C110" s="33" cm="1">
        <f t="array" ref="C110">KCASConv($K$4,A110,1)</f>
        <v>112.88264465332031</v>
      </c>
      <c r="D110" s="33">
        <f t="shared" si="21"/>
        <v>58.067204039773827</v>
      </c>
      <c r="E110" s="33">
        <f t="shared" si="22"/>
        <v>209.04193454318579</v>
      </c>
      <c r="F110" s="32" cm="1">
        <f t="array" ref="F110">KCASConv($K$4,A110,0)</f>
        <v>0.17713440954685211</v>
      </c>
      <c r="G110" s="32">
        <f t="shared" si="23"/>
        <v>1532.6586006466609</v>
      </c>
      <c r="H110" s="32">
        <f t="shared" si="24"/>
        <v>0.40341438707066396</v>
      </c>
      <c r="I110" s="32">
        <f t="shared" si="18"/>
        <v>2.1884927583978362</v>
      </c>
      <c r="J110" s="38">
        <f t="shared" si="19"/>
        <v>0.03</v>
      </c>
      <c r="K110" s="39">
        <f t="shared" si="20"/>
        <v>1.5516786907776206E-3</v>
      </c>
      <c r="L110" s="31">
        <f t="shared" si="25"/>
        <v>3.1551678690777622E-2</v>
      </c>
      <c r="M110" s="31">
        <f t="shared" si="26"/>
        <v>12.78582959164641</v>
      </c>
      <c r="N110" s="40">
        <f t="shared" si="27"/>
        <v>8.1209082367974315</v>
      </c>
      <c r="O110" s="40">
        <f t="shared" si="28"/>
        <v>20.13043782539896</v>
      </c>
      <c r="P110" s="42">
        <f t="shared" si="29"/>
        <v>459.88412076457547</v>
      </c>
      <c r="Q110" s="41">
        <f t="shared" si="30"/>
        <v>26.704185075088589</v>
      </c>
      <c r="T110" s="41">
        <f t="shared" si="32"/>
        <v>-4.541528073994658</v>
      </c>
      <c r="U110" s="40">
        <f t="shared" si="31"/>
        <v>-4.4857749767109896</v>
      </c>
    </row>
    <row r="111" spans="1:21" x14ac:dyDescent="0.3">
      <c r="A111" s="22">
        <v>102</v>
      </c>
      <c r="B111" s="22" cm="1">
        <f t="array" ref="B111">KCASConv($K$4,A111,2)</f>
        <v>101.87522888183594</v>
      </c>
      <c r="C111" s="33" cm="1">
        <f t="array" ref="C111">KCASConv($K$4,A111,1)</f>
        <v>113.99803161621094</v>
      </c>
      <c r="D111" s="33">
        <f t="shared" si="21"/>
        <v>58.640962765540607</v>
      </c>
      <c r="E111" s="33">
        <f t="shared" si="22"/>
        <v>211.1074659559462</v>
      </c>
      <c r="F111" s="32" cm="1">
        <f t="array" ref="F111">KCASConv($K$4,A111,0)</f>
        <v>0.17888467013835907</v>
      </c>
      <c r="G111" s="32">
        <f t="shared" si="23"/>
        <v>1563.0964628988243</v>
      </c>
      <c r="H111" s="32">
        <f t="shared" si="24"/>
        <v>0.39555878005238326</v>
      </c>
      <c r="I111" s="32">
        <f t="shared" si="18"/>
        <v>2.103975928885899</v>
      </c>
      <c r="J111" s="38">
        <f t="shared" si="19"/>
        <v>0.03</v>
      </c>
      <c r="K111" s="39">
        <f t="shared" si="20"/>
        <v>1.4341451280376137E-3</v>
      </c>
      <c r="L111" s="31">
        <f t="shared" si="25"/>
        <v>3.1434145128037612E-2</v>
      </c>
      <c r="M111" s="31">
        <f t="shared" si="26"/>
        <v>12.583729522186545</v>
      </c>
      <c r="N111" s="40">
        <f t="shared" si="27"/>
        <v>7.9143433834929393</v>
      </c>
      <c r="O111" s="40">
        <f t="shared" si="28"/>
        <v>20.008008373483342</v>
      </c>
      <c r="P111" s="42">
        <f t="shared" si="29"/>
        <v>467.27005611753583</v>
      </c>
      <c r="Q111" s="41">
        <f t="shared" si="30"/>
        <v>27.401165962240487</v>
      </c>
      <c r="T111" s="41">
        <f t="shared" si="32"/>
        <v>-4.6600622384762733</v>
      </c>
      <c r="U111" s="40">
        <f t="shared" si="31"/>
        <v>-4.557969585866001</v>
      </c>
    </row>
    <row r="112" spans="1:21" x14ac:dyDescent="0.3">
      <c r="A112" s="22">
        <v>103</v>
      </c>
      <c r="B112" s="22" cm="1">
        <f t="array" ref="B112">KCASConv($K$4,A112,2)</f>
        <v>102.87155151367188</v>
      </c>
      <c r="C112" s="33" cm="1">
        <f t="array" ref="C112">KCASConv($K$4,A112,1)</f>
        <v>115.11335754394531</v>
      </c>
      <c r="D112" s="33">
        <f t="shared" si="21"/>
        <v>59.214690094622078</v>
      </c>
      <c r="E112" s="33">
        <f t="shared" si="22"/>
        <v>213.17288434063948</v>
      </c>
      <c r="F112" s="32" cm="1">
        <f t="array" ref="F112">KCASConv($K$4,A112,0)</f>
        <v>0.18063482642173767</v>
      </c>
      <c r="G112" s="32">
        <f t="shared" si="23"/>
        <v>1593.8319112067359</v>
      </c>
      <c r="H112" s="32">
        <f t="shared" si="24"/>
        <v>0.38793082609340163</v>
      </c>
      <c r="I112" s="32">
        <f t="shared" si="18"/>
        <v>2.0219083709268637</v>
      </c>
      <c r="J112" s="38">
        <f t="shared" si="19"/>
        <v>0.03</v>
      </c>
      <c r="K112" s="39">
        <f t="shared" si="20"/>
        <v>1.3244467708238481E-3</v>
      </c>
      <c r="L112" s="31">
        <f t="shared" si="25"/>
        <v>3.1324446770823848E-2</v>
      </c>
      <c r="M112" s="31">
        <f t="shared" si="26"/>
        <v>12.384283397934656</v>
      </c>
      <c r="N112" s="40">
        <f t="shared" si="27"/>
        <v>7.7134386089374996</v>
      </c>
      <c r="O112" s="40">
        <f t="shared" si="28"/>
        <v>19.88354131744185</v>
      </c>
      <c r="P112" s="42">
        <f t="shared" si="29"/>
        <v>474.79533623888284</v>
      </c>
      <c r="Q112" s="41">
        <f t="shared" si="30"/>
        <v>28.114858693757334</v>
      </c>
      <c r="T112" s="41">
        <f t="shared" si="32"/>
        <v>-4.7814385533600907</v>
      </c>
      <c r="U112" s="40">
        <f t="shared" si="31"/>
        <v>-4.6315336952000479</v>
      </c>
    </row>
    <row r="113" spans="1:21" x14ac:dyDescent="0.3">
      <c r="A113" s="22">
        <v>104</v>
      </c>
      <c r="B113" s="22" cm="1">
        <f t="array" ref="B113">KCASConv($K$4,A113,2)</f>
        <v>103.8677978515625</v>
      </c>
      <c r="C113" s="33" cm="1">
        <f t="array" ref="C113">KCASConv($K$4,A113,1)</f>
        <v>116.22862243652344</v>
      </c>
      <c r="D113" s="33">
        <f t="shared" si="21"/>
        <v>59.788386027018234</v>
      </c>
      <c r="E113" s="33">
        <f t="shared" si="22"/>
        <v>215.23818969726565</v>
      </c>
      <c r="F113" s="32" cm="1">
        <f t="array" ref="F113">KCASConv($K$4,A113,0)</f>
        <v>0.18238489329814911</v>
      </c>
      <c r="G113" s="32">
        <f t="shared" si="23"/>
        <v>1624.8648964429492</v>
      </c>
      <c r="H113" s="32">
        <f t="shared" si="24"/>
        <v>0.3805218091190164</v>
      </c>
      <c r="I113" s="32">
        <f t="shared" si="18"/>
        <v>1.9421963100997404</v>
      </c>
      <c r="J113" s="38">
        <f t="shared" si="19"/>
        <v>0.03</v>
      </c>
      <c r="K113" s="39">
        <f t="shared" si="20"/>
        <v>1.2220748811532711E-3</v>
      </c>
      <c r="L113" s="31">
        <f t="shared" si="25"/>
        <v>3.1222074881153271E-2</v>
      </c>
      <c r="M113" s="31">
        <f t="shared" si="26"/>
        <v>12.187588767481708</v>
      </c>
      <c r="N113" s="40">
        <f t="shared" si="27"/>
        <v>7.5180908291178365</v>
      </c>
      <c r="O113" s="40">
        <f t="shared" si="28"/>
        <v>19.757319157405746</v>
      </c>
      <c r="P113" s="42">
        <f t="shared" si="29"/>
        <v>482.45802448542656</v>
      </c>
      <c r="Q113" s="41">
        <f t="shared" si="30"/>
        <v>28.845386609767299</v>
      </c>
      <c r="T113" s="41">
        <f t="shared" si="32"/>
        <v>-4.905677994858384</v>
      </c>
      <c r="U113" s="40">
        <f t="shared" si="31"/>
        <v>-4.7064489152206486</v>
      </c>
    </row>
    <row r="114" spans="1:21" x14ac:dyDescent="0.3">
      <c r="A114" s="22">
        <v>105</v>
      </c>
      <c r="B114" s="22" cm="1">
        <f t="array" ref="B114">KCASConv($K$4,A114,2)</f>
        <v>104.86397552490234</v>
      </c>
      <c r="C114" s="33" cm="1">
        <f t="array" ref="C114">KCASConv($K$4,A114,1)</f>
        <v>117.34381866455078</v>
      </c>
      <c r="D114" s="33">
        <f t="shared" si="21"/>
        <v>60.362046638143404</v>
      </c>
      <c r="E114" s="33">
        <f t="shared" si="22"/>
        <v>217.30336789731626</v>
      </c>
      <c r="F114" s="32" cm="1">
        <f t="array" ref="F114">KCASConv($K$4,A114,0)</f>
        <v>0.184134840965271</v>
      </c>
      <c r="G114" s="32">
        <f t="shared" si="23"/>
        <v>1656.1951541195663</v>
      </c>
      <c r="H114" s="32">
        <f t="shared" si="24"/>
        <v>0.37332347485169454</v>
      </c>
      <c r="I114" s="32">
        <f t="shared" si="18"/>
        <v>1.8647509403625038</v>
      </c>
      <c r="J114" s="38">
        <f t="shared" si="19"/>
        <v>0.03</v>
      </c>
      <c r="K114" s="39">
        <f t="shared" si="20"/>
        <v>1.1265571748783256E-3</v>
      </c>
      <c r="L114" s="31">
        <f t="shared" si="25"/>
        <v>3.1126557174878326E-2</v>
      </c>
      <c r="M114" s="31">
        <f t="shared" si="26"/>
        <v>11.993728466474829</v>
      </c>
      <c r="N114" s="40">
        <f t="shared" si="27"/>
        <v>7.3281923832370905</v>
      </c>
      <c r="O114" s="40">
        <f t="shared" si="28"/>
        <v>19.629605092870918</v>
      </c>
      <c r="P114" s="42">
        <f t="shared" si="29"/>
        <v>490.25622152743603</v>
      </c>
      <c r="Q114" s="41">
        <f t="shared" si="30"/>
        <v>29.592868908479058</v>
      </c>
      <c r="T114" s="41">
        <f t="shared" si="32"/>
        <v>-5.0328008347753501</v>
      </c>
      <c r="U114" s="40">
        <f t="shared" si="31"/>
        <v>-4.7826972349148669</v>
      </c>
    </row>
    <row r="115" spans="1:21" x14ac:dyDescent="0.3">
      <c r="A115" s="22">
        <v>106</v>
      </c>
      <c r="B115" s="22" cm="1">
        <f t="array" ref="B115">KCASConv($K$4,A115,2)</f>
        <v>105.86007690429688</v>
      </c>
      <c r="C115" s="33" cm="1">
        <f t="array" ref="C115">KCASConv($K$4,A115,1)</f>
        <v>118.45893859863281</v>
      </c>
      <c r="D115" s="33">
        <f t="shared" si="21"/>
        <v>60.935668003411941</v>
      </c>
      <c r="E115" s="33">
        <f t="shared" si="22"/>
        <v>219.36840481228299</v>
      </c>
      <c r="F115" s="32" cm="1">
        <f t="array" ref="F115">KCASConv($K$4,A115,0)</f>
        <v>0.18588468432426453</v>
      </c>
      <c r="G115" s="32">
        <f t="shared" si="23"/>
        <v>1687.8224115648989</v>
      </c>
      <c r="H115" s="32">
        <f t="shared" si="24"/>
        <v>0.36632795354055531</v>
      </c>
      <c r="I115" s="32">
        <f t="shared" si="18"/>
        <v>1.7894875927147904</v>
      </c>
      <c r="J115" s="38">
        <f t="shared" si="19"/>
        <v>0.03</v>
      </c>
      <c r="K115" s="39">
        <f t="shared" si="20"/>
        <v>1.0374542434057746E-3</v>
      </c>
      <c r="L115" s="31">
        <f t="shared" si="25"/>
        <v>3.1037454243405774E-2</v>
      </c>
      <c r="M115" s="31">
        <f t="shared" si="26"/>
        <v>11.802770635365027</v>
      </c>
      <c r="N115" s="40">
        <f t="shared" si="27"/>
        <v>7.1436307398268859</v>
      </c>
      <c r="O115" s="40">
        <f t="shared" si="28"/>
        <v>19.500643264549645</v>
      </c>
      <c r="P115" s="42">
        <f t="shared" si="29"/>
        <v>498.18811037313259</v>
      </c>
      <c r="Q115" s="41">
        <f t="shared" si="30"/>
        <v>30.357425296944353</v>
      </c>
      <c r="T115" s="41">
        <f t="shared" si="32"/>
        <v>-5.1628274314531213</v>
      </c>
      <c r="U115" s="40">
        <f t="shared" si="31"/>
        <v>-4.8602614622229057</v>
      </c>
    </row>
    <row r="116" spans="1:21" x14ac:dyDescent="0.3">
      <c r="A116" s="22">
        <v>107</v>
      </c>
      <c r="B116" s="22" cm="1">
        <f t="array" ref="B116">KCASConv($K$4,A116,2)</f>
        <v>106.85610961914063</v>
      </c>
      <c r="C116" s="33" cm="1">
        <f t="array" ref="C116">KCASConv($K$4,A116,1)</f>
        <v>119.57399749755859</v>
      </c>
      <c r="D116" s="33">
        <f t="shared" si="21"/>
        <v>61.509257971995162</v>
      </c>
      <c r="E116" s="33">
        <f t="shared" si="22"/>
        <v>221.4333286991826</v>
      </c>
      <c r="F116" s="32" cm="1">
        <f t="array" ref="F116">KCASConv($K$4,A116,0)</f>
        <v>0.1876344233751297</v>
      </c>
      <c r="G116" s="32">
        <f t="shared" si="23"/>
        <v>1719.7470462933918</v>
      </c>
      <c r="H116" s="32">
        <f t="shared" si="24"/>
        <v>0.35952760105102799</v>
      </c>
      <c r="I116" s="32">
        <f t="shared" si="18"/>
        <v>1.71632402551483</v>
      </c>
      <c r="J116" s="38">
        <f t="shared" si="19"/>
        <v>0.03</v>
      </c>
      <c r="K116" s="39">
        <f t="shared" si="20"/>
        <v>9.543553929258809E-4</v>
      </c>
      <c r="L116" s="31">
        <f t="shared" si="25"/>
        <v>3.0954355392925879E-2</v>
      </c>
      <c r="M116" s="31">
        <f t="shared" si="26"/>
        <v>11.614766209384294</v>
      </c>
      <c r="N116" s="40">
        <f t="shared" si="27"/>
        <v>6.9642858885437997</v>
      </c>
      <c r="O116" s="40">
        <f t="shared" si="28"/>
        <v>19.370657129479618</v>
      </c>
      <c r="P116" s="42">
        <f t="shared" si="29"/>
        <v>506.25211855312091</v>
      </c>
      <c r="Q116" s="41">
        <f t="shared" si="30"/>
        <v>31.139192158952991</v>
      </c>
      <c r="T116" s="41">
        <f t="shared" si="32"/>
        <v>-5.2957809794137738</v>
      </c>
      <c r="U116" s="40">
        <f t="shared" si="31"/>
        <v>-4.9391268107091992</v>
      </c>
    </row>
    <row r="117" spans="1:21" x14ac:dyDescent="0.3">
      <c r="A117" s="22">
        <v>108</v>
      </c>
      <c r="B117" s="22" cm="1">
        <f t="array" ref="B117">KCASConv($K$4,A117,2)</f>
        <v>107.85206604003906</v>
      </c>
      <c r="C117" s="33" cm="1">
        <f t="array" ref="C117">KCASConv($K$4,A117,1)</f>
        <v>120.68898773193359</v>
      </c>
      <c r="D117" s="33">
        <f t="shared" si="21"/>
        <v>62.082812619307404</v>
      </c>
      <c r="E117" s="33">
        <f t="shared" si="22"/>
        <v>223.49812542950667</v>
      </c>
      <c r="F117" s="32" cm="1">
        <f t="array" ref="F117">KCASConv($K$4,A117,0)</f>
        <v>0.18938405811786652</v>
      </c>
      <c r="G117" s="32">
        <f t="shared" si="23"/>
        <v>1751.9687876867747</v>
      </c>
      <c r="H117" s="32">
        <f t="shared" si="24"/>
        <v>0.35291526556521979</v>
      </c>
      <c r="I117" s="32">
        <f t="shared" si="18"/>
        <v>1.6451832938528104</v>
      </c>
      <c r="J117" s="38">
        <f t="shared" si="19"/>
        <v>0.03</v>
      </c>
      <c r="K117" s="39">
        <f t="shared" si="20"/>
        <v>8.7687996977803598E-4</v>
      </c>
      <c r="L117" s="31">
        <f t="shared" si="25"/>
        <v>3.0876879969778035E-2</v>
      </c>
      <c r="M117" s="31">
        <f t="shared" si="26"/>
        <v>11.429757990789534</v>
      </c>
      <c r="N117" s="40">
        <f t="shared" si="27"/>
        <v>6.7900388183725129</v>
      </c>
      <c r="O117" s="40">
        <f t="shared" si="28"/>
        <v>19.239855797956956</v>
      </c>
      <c r="P117" s="42">
        <f t="shared" si="29"/>
        <v>514.4465879976018</v>
      </c>
      <c r="Q117" s="41">
        <f t="shared" si="30"/>
        <v>31.938291125297148</v>
      </c>
      <c r="T117" s="41">
        <f t="shared" si="32"/>
        <v>-5.4316821641661823</v>
      </c>
      <c r="U117" s="40">
        <f t="shared" si="31"/>
        <v>-5.0192776718263534</v>
      </c>
    </row>
    <row r="118" spans="1:21" x14ac:dyDescent="0.3">
      <c r="A118" s="22">
        <v>109</v>
      </c>
      <c r="B118" s="22" cm="1">
        <f t="array" ref="B118">KCASConv($K$4,A118,2)</f>
        <v>108.84794616699219</v>
      </c>
      <c r="C118" s="33" cm="1">
        <f t="array" ref="C118">KCASConv($K$4,A118,1)</f>
        <v>121.80390167236328</v>
      </c>
      <c r="D118" s="33">
        <f t="shared" si="21"/>
        <v>62.656328020763006</v>
      </c>
      <c r="E118" s="33">
        <f t="shared" si="22"/>
        <v>225.56278087474684</v>
      </c>
      <c r="F118" s="32" cm="1">
        <f t="array" ref="F118">KCASConv($K$4,A118,0)</f>
        <v>0.19113357365131378</v>
      </c>
      <c r="G118" s="32">
        <f t="shared" si="23"/>
        <v>1784.4873569444974</v>
      </c>
      <c r="H118" s="32">
        <f t="shared" si="24"/>
        <v>0.34648411912939375</v>
      </c>
      <c r="I118" s="32">
        <f t="shared" si="18"/>
        <v>1.5759919372054954</v>
      </c>
      <c r="J118" s="38">
        <f t="shared" si="19"/>
        <v>0.03</v>
      </c>
      <c r="K118" s="39">
        <f t="shared" si="20"/>
        <v>8.04673225238556E-4</v>
      </c>
      <c r="L118" s="31">
        <f t="shared" si="25"/>
        <v>3.0804673225238555E-2</v>
      </c>
      <c r="M118" s="31">
        <f t="shared" si="26"/>
        <v>11.247777783453847</v>
      </c>
      <c r="N118" s="40">
        <f t="shared" si="27"/>
        <v>6.6207683750929842</v>
      </c>
      <c r="O118" s="40">
        <f t="shared" si="28"/>
        <v>19.108432420305164</v>
      </c>
      <c r="P118" s="42">
        <f t="shared" si="29"/>
        <v>522.76992959887878</v>
      </c>
      <c r="Q118" s="41">
        <f t="shared" si="30"/>
        <v>32.754844188338531</v>
      </c>
      <c r="T118" s="41">
        <f t="shared" si="32"/>
        <v>-5.5705517327106344</v>
      </c>
      <c r="U118" s="40">
        <f t="shared" si="31"/>
        <v>-5.1006991265041686</v>
      </c>
    </row>
    <row r="119" spans="1:21" x14ac:dyDescent="0.3">
      <c r="A119" s="22">
        <v>110</v>
      </c>
      <c r="B119" s="22" cm="1">
        <f t="array" ref="B119">KCASConv($K$4,A119,2)</f>
        <v>109.84375762939453</v>
      </c>
      <c r="C119" s="33" cm="1">
        <f t="array" ref="C119">KCASConv($K$4,A119,1)</f>
        <v>122.91875457763672</v>
      </c>
      <c r="D119" s="33">
        <f t="shared" si="21"/>
        <v>63.229812025533292</v>
      </c>
      <c r="E119" s="33">
        <f t="shared" si="22"/>
        <v>227.62732329191985</v>
      </c>
      <c r="F119" s="32" cm="1">
        <f t="array" ref="F119">KCASConv($K$4,A119,0)</f>
        <v>0.19288298487663269</v>
      </c>
      <c r="G119" s="32">
        <f t="shared" si="23"/>
        <v>1817.3031438697285</v>
      </c>
      <c r="H119" s="32">
        <f t="shared" si="24"/>
        <v>0.34022751352967245</v>
      </c>
      <c r="I119" s="32">
        <f t="shared" si="18"/>
        <v>1.5086784288331265</v>
      </c>
      <c r="J119" s="38">
        <f t="shared" si="19"/>
        <v>0.03</v>
      </c>
      <c r="K119" s="39">
        <f t="shared" si="20"/>
        <v>7.3740305046456588E-4</v>
      </c>
      <c r="L119" s="31">
        <f t="shared" si="25"/>
        <v>3.0737403050464567E-2</v>
      </c>
      <c r="M119" s="31">
        <f t="shared" si="26"/>
        <v>11.068843811270849</v>
      </c>
      <c r="N119" s="40">
        <f t="shared" si="27"/>
        <v>6.4563486528668825</v>
      </c>
      <c r="O119" s="40">
        <f t="shared" si="28"/>
        <v>18.976562435782554</v>
      </c>
      <c r="P119" s="42">
        <f t="shared" si="29"/>
        <v>531.22079417298221</v>
      </c>
      <c r="Q119" s="41">
        <f t="shared" si="30"/>
        <v>33.588990959612183</v>
      </c>
      <c r="T119" s="41">
        <f t="shared" si="32"/>
        <v>-5.7124134285054726</v>
      </c>
      <c r="U119" s="40">
        <f t="shared" si="31"/>
        <v>-5.1833786183042916</v>
      </c>
    </row>
    <row r="120" spans="1:21" x14ac:dyDescent="0.3">
      <c r="A120" s="22">
        <v>111</v>
      </c>
      <c r="B120" s="22" cm="1">
        <f t="array" ref="B120">KCASConv($K$4,A120,2)</f>
        <v>110.83948516845703</v>
      </c>
      <c r="C120" s="33" cm="1">
        <f t="array" ref="C120">KCASConv($K$4,A120,1)</f>
        <v>124.03353118896484</v>
      </c>
      <c r="D120" s="33">
        <f t="shared" si="21"/>
        <v>63.803256784446937</v>
      </c>
      <c r="E120" s="33">
        <f t="shared" si="22"/>
        <v>229.69172442400898</v>
      </c>
      <c r="F120" s="32" cm="1">
        <f t="array" ref="F120">KCASConv($K$4,A120,0)</f>
        <v>0.19463227689266205</v>
      </c>
      <c r="G120" s="32">
        <f t="shared" si="23"/>
        <v>1850.4156440740724</v>
      </c>
      <c r="H120" s="32">
        <f t="shared" si="24"/>
        <v>0.33413926862785631</v>
      </c>
      <c r="I120" s="32">
        <f t="shared" si="18"/>
        <v>1.4431762779240638</v>
      </c>
      <c r="J120" s="38">
        <f t="shared" si="19"/>
        <v>0.03</v>
      </c>
      <c r="K120" s="39">
        <f t="shared" si="20"/>
        <v>6.7476155651749199E-4</v>
      </c>
      <c r="L120" s="31">
        <f t="shared" si="25"/>
        <v>3.067476155651749E-2</v>
      </c>
      <c r="M120" s="31">
        <f t="shared" si="26"/>
        <v>10.892970366280206</v>
      </c>
      <c r="N120" s="40">
        <f t="shared" si="27"/>
        <v>6.2966576456097272</v>
      </c>
      <c r="O120" s="40">
        <f t="shared" si="28"/>
        <v>18.844410809501582</v>
      </c>
      <c r="P120" s="42">
        <f t="shared" si="29"/>
        <v>539.7976678796324</v>
      </c>
      <c r="Q120" s="41">
        <f t="shared" si="30"/>
        <v>34.440849215369788</v>
      </c>
      <c r="T120" s="41">
        <f t="shared" si="32"/>
        <v>-5.8572872815254744</v>
      </c>
      <c r="U120" s="40">
        <f t="shared" si="31"/>
        <v>-5.26730199598145</v>
      </c>
    </row>
    <row r="121" spans="1:21" x14ac:dyDescent="0.3">
      <c r="A121" s="22">
        <v>112</v>
      </c>
      <c r="B121" s="22" cm="1">
        <f t="array" ref="B121">KCASConv($K$4,A121,2)</f>
        <v>111.83514404296875</v>
      </c>
      <c r="C121" s="33" cm="1">
        <f t="array" ref="C121">KCASConv($K$4,A121,1)</f>
        <v>125.14824676513672</v>
      </c>
      <c r="D121" s="33">
        <f t="shared" si="21"/>
        <v>64.376670146675266</v>
      </c>
      <c r="E121" s="33">
        <f t="shared" si="22"/>
        <v>231.75601252803096</v>
      </c>
      <c r="F121" s="32" cm="1">
        <f t="array" ref="F121">KCASConv($K$4,A121,0)</f>
        <v>0.19638147950172424</v>
      </c>
      <c r="G121" s="32">
        <f t="shared" si="23"/>
        <v>1883.8252555519095</v>
      </c>
      <c r="H121" s="32">
        <f t="shared" si="24"/>
        <v>0.32821331391871073</v>
      </c>
      <c r="I121" s="32">
        <f t="shared" si="18"/>
        <v>1.3794201731847591</v>
      </c>
      <c r="J121" s="38">
        <f t="shared" si="19"/>
        <v>0.03</v>
      </c>
      <c r="K121" s="39">
        <f t="shared" si="20"/>
        <v>6.1645973349644585E-4</v>
      </c>
      <c r="L121" s="31">
        <f t="shared" si="25"/>
        <v>3.0616459733496446E-2</v>
      </c>
      <c r="M121" s="31">
        <f t="shared" si="26"/>
        <v>10.720158920256331</v>
      </c>
      <c r="N121" s="40">
        <f t="shared" si="27"/>
        <v>6.1415687904179759</v>
      </c>
      <c r="O121" s="40">
        <f t="shared" si="28"/>
        <v>18.712125712057713</v>
      </c>
      <c r="P121" s="42">
        <f t="shared" si="29"/>
        <v>548.49933137552807</v>
      </c>
      <c r="Q121" s="41">
        <f t="shared" si="30"/>
        <v>35.310560531634302</v>
      </c>
      <c r="T121" s="41">
        <f t="shared" si="32"/>
        <v>-6.0051973693255611</v>
      </c>
      <c r="U121" s="40">
        <f t="shared" si="31"/>
        <v>-5.3524580061278222</v>
      </c>
    </row>
    <row r="122" spans="1:21" x14ac:dyDescent="0.3">
      <c r="A122" s="22">
        <v>113</v>
      </c>
      <c r="B122" s="22" cm="1">
        <f t="array" ref="B122">KCASConv($K$4,A122,2)</f>
        <v>112.83071899414063</v>
      </c>
      <c r="C122" s="33" cm="1">
        <f t="array" ref="C122">KCASConv($K$4,A122,1)</f>
        <v>126.26287841796875</v>
      </c>
      <c r="D122" s="33">
        <f t="shared" si="21"/>
        <v>64.950040338461292</v>
      </c>
      <c r="E122" s="33">
        <f t="shared" si="22"/>
        <v>233.82014521846065</v>
      </c>
      <c r="F122" s="32" cm="1">
        <f t="array" ref="F122">KCASConv($K$4,A122,0)</f>
        <v>0.19813054800033569</v>
      </c>
      <c r="G122" s="32">
        <f t="shared" si="23"/>
        <v>1917.5312340053024</v>
      </c>
      <c r="H122" s="32">
        <f t="shared" si="24"/>
        <v>0.32244404628391282</v>
      </c>
      <c r="I122" s="32">
        <f t="shared" si="18"/>
        <v>1.3173498318394929</v>
      </c>
      <c r="J122" s="38">
        <f t="shared" si="19"/>
        <v>0.03</v>
      </c>
      <c r="K122" s="39">
        <f t="shared" si="20"/>
        <v>5.6222973267585957E-4</v>
      </c>
      <c r="L122" s="31">
        <f t="shared" si="25"/>
        <v>3.0562229732675857E-2</v>
      </c>
      <c r="M122" s="31">
        <f t="shared" si="26"/>
        <v>10.550409741183548</v>
      </c>
      <c r="N122" s="40">
        <f t="shared" si="27"/>
        <v>5.9909612098742837</v>
      </c>
      <c r="O122" s="40">
        <f t="shared" si="28"/>
        <v>18.579847508175817</v>
      </c>
      <c r="P122" s="42">
        <f t="shared" si="29"/>
        <v>557.32432618682162</v>
      </c>
      <c r="Q122" s="41">
        <f t="shared" si="30"/>
        <v>36.198237467439824</v>
      </c>
      <c r="T122" s="41">
        <f t="shared" si="32"/>
        <v>-6.156162834598609</v>
      </c>
      <c r="U122" s="40">
        <f t="shared" si="31"/>
        <v>-5.4388330719576263</v>
      </c>
    </row>
    <row r="123" spans="1:21" x14ac:dyDescent="0.3">
      <c r="A123" s="22">
        <v>114</v>
      </c>
      <c r="B123" s="22" cm="1">
        <f t="array" ref="B123">KCASConv($K$4,A123,2)</f>
        <v>113.82622528076172</v>
      </c>
      <c r="C123" s="33" cm="1">
        <f t="array" ref="C123">KCASConv($K$4,A123,1)</f>
        <v>127.37744140625</v>
      </c>
      <c r="D123" s="33">
        <f t="shared" si="21"/>
        <v>65.523375208976333</v>
      </c>
      <c r="E123" s="33">
        <f t="shared" si="22"/>
        <v>235.88415075231481</v>
      </c>
      <c r="F123" s="32" cm="1">
        <f t="array" ref="F123">KCASConv($K$4,A123,0)</f>
        <v>0.19987951219081879</v>
      </c>
      <c r="G123" s="32">
        <f t="shared" si="23"/>
        <v>1951.5339794820623</v>
      </c>
      <c r="H123" s="32">
        <f t="shared" si="24"/>
        <v>0.31682591052426889</v>
      </c>
      <c r="I123" s="32">
        <f t="shared" si="18"/>
        <v>1.2569054866644125</v>
      </c>
      <c r="J123" s="38">
        <f t="shared" si="19"/>
        <v>0.03</v>
      </c>
      <c r="K123" s="39">
        <f t="shared" si="20"/>
        <v>5.1181948120679322E-4</v>
      </c>
      <c r="L123" s="31">
        <f t="shared" si="25"/>
        <v>3.0511819481206792E-2</v>
      </c>
      <c r="M123" s="31">
        <f t="shared" si="26"/>
        <v>10.383710834400162</v>
      </c>
      <c r="N123" s="40">
        <f t="shared" si="27"/>
        <v>5.8447095128568742</v>
      </c>
      <c r="O123" s="40">
        <f t="shared" si="28"/>
        <v>18.447700515356587</v>
      </c>
      <c r="P123" s="42">
        <f t="shared" si="29"/>
        <v>566.27154721221314</v>
      </c>
      <c r="Q123" s="41">
        <f t="shared" si="30"/>
        <v>37.104023058153395</v>
      </c>
      <c r="T123" s="41">
        <f t="shared" si="32"/>
        <v>-6.3102080030873129</v>
      </c>
      <c r="U123" s="40">
        <f t="shared" si="31"/>
        <v>-5.5264170921294289</v>
      </c>
    </row>
    <row r="124" spans="1:21" x14ac:dyDescent="0.3">
      <c r="A124" s="22">
        <v>115</v>
      </c>
      <c r="B124" s="22" cm="1">
        <f t="array" ref="B124">KCASConv($K$4,A124,2)</f>
        <v>114.82164764404297</v>
      </c>
      <c r="C124" s="33" cm="1">
        <f t="array" ref="C124">KCASConv($K$4,A124,1)</f>
        <v>128.49192810058594</v>
      </c>
      <c r="D124" s="33">
        <f t="shared" si="21"/>
        <v>66.096670833634747</v>
      </c>
      <c r="E124" s="33">
        <f t="shared" si="22"/>
        <v>237.94801500108508</v>
      </c>
      <c r="F124" s="32" cm="1">
        <f t="array" ref="F124">KCASConv($K$4,A124,0)</f>
        <v>0.20162835717201233</v>
      </c>
      <c r="G124" s="32">
        <f t="shared" si="23"/>
        <v>1985.8332009281626</v>
      </c>
      <c r="H124" s="32">
        <f t="shared" si="24"/>
        <v>0.3113537076928049</v>
      </c>
      <c r="I124" s="32">
        <f t="shared" si="18"/>
        <v>1.198031203278632</v>
      </c>
      <c r="J124" s="38">
        <f t="shared" si="19"/>
        <v>0.03</v>
      </c>
      <c r="K124" s="39">
        <f t="shared" si="20"/>
        <v>4.6499451217612864E-4</v>
      </c>
      <c r="L124" s="31">
        <f t="shared" si="25"/>
        <v>3.0464994512176127E-2</v>
      </c>
      <c r="M124" s="31">
        <f t="shared" si="26"/>
        <v>10.22004804787883</v>
      </c>
      <c r="N124" s="40">
        <f t="shared" si="27"/>
        <v>5.7026925555700334</v>
      </c>
      <c r="O124" s="40">
        <f t="shared" si="28"/>
        <v>18.315801015597849</v>
      </c>
      <c r="P124" s="42">
        <f t="shared" si="29"/>
        <v>575.3397608752332</v>
      </c>
      <c r="Q124" s="41">
        <f t="shared" si="30"/>
        <v>38.028042792072419</v>
      </c>
      <c r="T124" s="41">
        <f t="shared" si="32"/>
        <v>-6.4673542163388467</v>
      </c>
      <c r="U124" s="40">
        <f t="shared" si="31"/>
        <v>-5.6151987255185976</v>
      </c>
    </row>
    <row r="125" spans="1:21" x14ac:dyDescent="0.3">
      <c r="A125" s="22">
        <v>116</v>
      </c>
      <c r="B125" s="22" cm="1">
        <f t="array" ref="B125">KCASConv($K$4,A125,2)</f>
        <v>115.81699371337891</v>
      </c>
      <c r="C125" s="33" cm="1">
        <f t="array" ref="C125">KCASConv($K$4,A125,1)</f>
        <v>129.60635375976563</v>
      </c>
      <c r="D125" s="33">
        <f t="shared" si="21"/>
        <v>66.669935061607831</v>
      </c>
      <c r="E125" s="33">
        <f t="shared" si="22"/>
        <v>240.01176622178821</v>
      </c>
      <c r="F125" s="32" cm="1">
        <f t="array" ref="F125">KCASConv($K$4,A125,0)</f>
        <v>0.20337709784507751</v>
      </c>
      <c r="G125" s="32">
        <f t="shared" si="23"/>
        <v>2020.4293127180258</v>
      </c>
      <c r="H125" s="32">
        <f t="shared" si="24"/>
        <v>0.30602235182218657</v>
      </c>
      <c r="I125" s="32">
        <f t="shared" ref="I125:I156" si="33">(H125-$E$9)/$E$10*180/PI()</f>
        <v>1.1406722628255321</v>
      </c>
      <c r="J125" s="38">
        <f t="shared" ref="J125:J159" si="34">$E$12</f>
        <v>0.03</v>
      </c>
      <c r="K125" s="39">
        <f t="shared" ref="K125:K159" si="35">$E$23*(H125-$E$11)^2</f>
        <v>4.2153469971931666E-4</v>
      </c>
      <c r="L125" s="31">
        <f t="shared" si="25"/>
        <v>3.0421534699719317E-2</v>
      </c>
      <c r="M125" s="31">
        <f t="shared" si="26"/>
        <v>10.059398871320258</v>
      </c>
      <c r="N125" s="40">
        <f t="shared" si="27"/>
        <v>5.5647877357677205</v>
      </c>
      <c r="O125" s="40">
        <f t="shared" si="28"/>
        <v>18.184252564012464</v>
      </c>
      <c r="P125" s="42">
        <f t="shared" si="29"/>
        <v>584.5279698336758</v>
      </c>
      <c r="Q125" s="41">
        <f t="shared" si="30"/>
        <v>38.97044179050463</v>
      </c>
      <c r="T125" s="41">
        <f t="shared" si="32"/>
        <v>-6.627626154847726</v>
      </c>
      <c r="U125" s="40">
        <f t="shared" si="31"/>
        <v>-5.7051689618735555</v>
      </c>
    </row>
    <row r="126" spans="1:21" x14ac:dyDescent="0.3">
      <c r="A126" s="22">
        <v>117</v>
      </c>
      <c r="B126" s="22" cm="1">
        <f t="array" ref="B126">KCASConv($K$4,A126,2)</f>
        <v>116.812255859375</v>
      </c>
      <c r="C126" s="33" cm="1">
        <f t="array" ref="C126">KCASConv($K$4,A126,1)</f>
        <v>130.72068786621094</v>
      </c>
      <c r="D126" s="33">
        <f t="shared" si="21"/>
        <v>67.243152194552948</v>
      </c>
      <c r="E126" s="33">
        <f t="shared" si="22"/>
        <v>242.07534790039063</v>
      </c>
      <c r="F126" s="32" cm="1">
        <f t="array" ref="F126">KCASConv($K$4,A126,0)</f>
        <v>0.20512570440769196</v>
      </c>
      <c r="G126" s="32">
        <f t="shared" si="23"/>
        <v>2055.3213061080201</v>
      </c>
      <c r="H126" s="32">
        <f t="shared" si="24"/>
        <v>0.30082718849407913</v>
      </c>
      <c r="I126" s="32">
        <f t="shared" si="33"/>
        <v>1.0847785893937336</v>
      </c>
      <c r="J126" s="38">
        <f t="shared" si="34"/>
        <v>0.03</v>
      </c>
      <c r="K126" s="39">
        <f t="shared" si="35"/>
        <v>3.8123588906182118E-4</v>
      </c>
      <c r="L126" s="31">
        <f t="shared" si="25"/>
        <v>3.038123588906182E-2</v>
      </c>
      <c r="M126" s="31">
        <f t="shared" si="26"/>
        <v>9.901742957151594</v>
      </c>
      <c r="N126" s="40">
        <f t="shared" si="27"/>
        <v>5.4308797970862113</v>
      </c>
      <c r="O126" s="40">
        <f t="shared" si="28"/>
        <v>18.053154783890495</v>
      </c>
      <c r="P126" s="42">
        <f t="shared" si="29"/>
        <v>593.83484558676957</v>
      </c>
      <c r="Q126" s="41">
        <f t="shared" si="30"/>
        <v>39.931326900219993</v>
      </c>
      <c r="T126" s="41">
        <f t="shared" si="32"/>
        <v>-6.7910419898333325</v>
      </c>
      <c r="U126" s="40">
        <f t="shared" si="31"/>
        <v>-5.7963155665613399</v>
      </c>
    </row>
    <row r="127" spans="1:21" x14ac:dyDescent="0.3">
      <c r="A127" s="22">
        <v>118</v>
      </c>
      <c r="B127" s="22" cm="1">
        <f t="array" ref="B127">KCASConv($K$4,A127,2)</f>
        <v>117.80744171142578</v>
      </c>
      <c r="C127" s="33" cm="1">
        <f t="array" ref="C127">KCASConv($K$4,A127,1)</f>
        <v>131.8349609375</v>
      </c>
      <c r="D127" s="33">
        <f t="shared" si="21"/>
        <v>67.816337930812765</v>
      </c>
      <c r="E127" s="33">
        <f t="shared" si="22"/>
        <v>244.13881655092595</v>
      </c>
      <c r="F127" s="32" cm="1">
        <f t="array" ref="F127">KCASConv($K$4,A127,0)</f>
        <v>0.20687420666217804</v>
      </c>
      <c r="G127" s="32">
        <f t="shared" si="23"/>
        <v>2090.5100753083043</v>
      </c>
      <c r="H127" s="32">
        <f t="shared" si="24"/>
        <v>0.29576347766574101</v>
      </c>
      <c r="I127" s="32">
        <f t="shared" si="33"/>
        <v>1.03029918585681</v>
      </c>
      <c r="J127" s="38">
        <f t="shared" si="34"/>
        <v>0.03</v>
      </c>
      <c r="K127" s="39">
        <f t="shared" si="35"/>
        <v>3.4390483487306366E-4</v>
      </c>
      <c r="L127" s="31">
        <f t="shared" si="25"/>
        <v>3.0343904834873061E-2</v>
      </c>
      <c r="M127" s="31">
        <f t="shared" si="26"/>
        <v>9.7470473650389131</v>
      </c>
      <c r="N127" s="40">
        <f t="shared" si="27"/>
        <v>5.3008479683146961</v>
      </c>
      <c r="O127" s="40">
        <f t="shared" si="28"/>
        <v>17.92259142389949</v>
      </c>
      <c r="P127" s="42">
        <f t="shared" si="29"/>
        <v>603.25961081205082</v>
      </c>
      <c r="Q127" s="41">
        <f t="shared" si="30"/>
        <v>40.910857626840624</v>
      </c>
      <c r="T127" s="41">
        <f t="shared" si="32"/>
        <v>-6.9576288481021473</v>
      </c>
      <c r="U127" s="40">
        <f t="shared" si="31"/>
        <v>-5.8886317213322608</v>
      </c>
    </row>
    <row r="128" spans="1:21" x14ac:dyDescent="0.3">
      <c r="A128" s="22">
        <v>119</v>
      </c>
      <c r="B128" s="22" cm="1">
        <f t="array" ref="B128">KCASConv($K$4,A128,2)</f>
        <v>118.80255126953125</v>
      </c>
      <c r="C128" s="33" cm="1">
        <f t="array" ref="C128">KCASConv($K$4,A128,1)</f>
        <v>132.94915771484375</v>
      </c>
      <c r="D128" s="33">
        <f t="shared" si="21"/>
        <v>68.389484421215926</v>
      </c>
      <c r="E128" s="33">
        <f t="shared" si="22"/>
        <v>246.20214391637734</v>
      </c>
      <c r="F128" s="32" cm="1">
        <f t="array" ref="F128">KCASConv($K$4,A128,0)</f>
        <v>0.20862258970737457</v>
      </c>
      <c r="G128" s="32">
        <f t="shared" si="23"/>
        <v>2125.9950832300169</v>
      </c>
      <c r="H128" s="32">
        <f t="shared" si="24"/>
        <v>0.29082688612293428</v>
      </c>
      <c r="I128" s="32">
        <f t="shared" si="33"/>
        <v>0.97718743207094116</v>
      </c>
      <c r="J128" s="38">
        <f t="shared" si="34"/>
        <v>0.03</v>
      </c>
      <c r="K128" s="39">
        <f t="shared" si="35"/>
        <v>3.0936224712626301E-4</v>
      </c>
      <c r="L128" s="31">
        <f t="shared" si="25"/>
        <v>3.0309362247126263E-2</v>
      </c>
      <c r="M128" s="31">
        <f t="shared" si="26"/>
        <v>9.5952822679569447</v>
      </c>
      <c r="N128" s="40">
        <f t="shared" si="27"/>
        <v>5.1745791197241537</v>
      </c>
      <c r="O128" s="40">
        <f t="shared" si="28"/>
        <v>17.792643550626977</v>
      </c>
      <c r="P128" s="42">
        <f t="shared" si="29"/>
        <v>612.80114912679767</v>
      </c>
      <c r="Q128" s="41">
        <f t="shared" si="30"/>
        <v>41.909154641510341</v>
      </c>
      <c r="T128" s="41">
        <f t="shared" si="32"/>
        <v>-7.1274072519575418</v>
      </c>
      <c r="U128" s="40">
        <f t="shared" si="31"/>
        <v>-5.9821073067757533</v>
      </c>
    </row>
    <row r="129" spans="1:21" x14ac:dyDescent="0.3">
      <c r="A129" s="22">
        <v>120</v>
      </c>
      <c r="B129" s="22" cm="1">
        <f t="array" ref="B129">KCASConv($K$4,A129,2)</f>
        <v>119.79757690429688</v>
      </c>
      <c r="C129" s="33" cm="1">
        <f t="array" ref="C129">KCASConv($K$4,A129,1)</f>
        <v>134.06326293945313</v>
      </c>
      <c r="D129" s="33">
        <f t="shared" si="21"/>
        <v>68.96258381659112</v>
      </c>
      <c r="E129" s="33">
        <f t="shared" si="22"/>
        <v>248.26530173972805</v>
      </c>
      <c r="F129" s="32" cm="1">
        <f t="array" ref="F129">KCASConv($K$4,A129,0)</f>
        <v>0.21037085354328156</v>
      </c>
      <c r="G129" s="32">
        <f t="shared" si="23"/>
        <v>2161.7757764287567</v>
      </c>
      <c r="H129" s="32">
        <f t="shared" si="24"/>
        <v>0.2860132566523052</v>
      </c>
      <c r="I129" s="32">
        <f t="shared" si="33"/>
        <v>0.92539860144893338</v>
      </c>
      <c r="J129" s="38">
        <f t="shared" si="34"/>
        <v>0.03</v>
      </c>
      <c r="K129" s="39">
        <f t="shared" si="35"/>
        <v>2.7744010863245552E-4</v>
      </c>
      <c r="L129" s="31">
        <f t="shared" si="25"/>
        <v>3.0277440108632453E-2</v>
      </c>
      <c r="M129" s="31">
        <f t="shared" si="26"/>
        <v>9.446414743984894</v>
      </c>
      <c r="N129" s="40">
        <f t="shared" si="27"/>
        <v>5.05196218191226</v>
      </c>
      <c r="O129" s="40">
        <f t="shared" si="28"/>
        <v>17.663384701268331</v>
      </c>
      <c r="P129" s="42">
        <f t="shared" si="29"/>
        <v>622.45837805757503</v>
      </c>
      <c r="Q129" s="41">
        <f t="shared" si="30"/>
        <v>42.926338069134879</v>
      </c>
      <c r="T129" s="41">
        <f t="shared" si="32"/>
        <v>-7.3003976308052518</v>
      </c>
      <c r="U129" s="40">
        <f t="shared" si="31"/>
        <v>-6.0767325545086432</v>
      </c>
    </row>
    <row r="130" spans="1:21" x14ac:dyDescent="0.3">
      <c r="A130" s="22">
        <v>121</v>
      </c>
      <c r="B130" s="22" cm="1">
        <f t="array" ref="B130">KCASConv($K$4,A130,2)</f>
        <v>120.79251861572266</v>
      </c>
      <c r="C130" s="33" cm="1">
        <f t="array" ref="C130">KCASConv($K$4,A130,1)</f>
        <v>135.17730712890625</v>
      </c>
      <c r="D130" s="33">
        <f t="shared" si="21"/>
        <v>69.535651815281</v>
      </c>
      <c r="E130" s="33">
        <f t="shared" si="22"/>
        <v>250.3283465350116</v>
      </c>
      <c r="F130" s="32" cm="1">
        <f t="array" ref="F130">KCASConv($K$4,A130,0)</f>
        <v>0.21211898326873779</v>
      </c>
      <c r="G130" s="32">
        <f t="shared" si="23"/>
        <v>2197.8530736668667</v>
      </c>
      <c r="H130" s="32">
        <f t="shared" si="24"/>
        <v>0.28131840903127209</v>
      </c>
      <c r="I130" s="32">
        <f t="shared" si="33"/>
        <v>0.87488771985213176</v>
      </c>
      <c r="J130" s="38">
        <f t="shared" si="34"/>
        <v>0.03</v>
      </c>
      <c r="K130" s="39">
        <f t="shared" si="35"/>
        <v>2.4797974531146863E-4</v>
      </c>
      <c r="L130" s="31">
        <f t="shared" si="25"/>
        <v>3.0247979745311467E-2</v>
      </c>
      <c r="M130" s="31">
        <f t="shared" si="26"/>
        <v>9.3004032467615403</v>
      </c>
      <c r="N130" s="40">
        <f t="shared" si="27"/>
        <v>4.9328834610778145</v>
      </c>
      <c r="O130" s="40">
        <f t="shared" si="28"/>
        <v>17.534876149997931</v>
      </c>
      <c r="P130" s="42">
        <f t="shared" si="29"/>
        <v>632.23065107929085</v>
      </c>
      <c r="Q130" s="41">
        <f t="shared" si="30"/>
        <v>43.962570420397974</v>
      </c>
      <c r="T130" s="41">
        <f t="shared" si="32"/>
        <v>-7.4766276225166628</v>
      </c>
      <c r="U130" s="40">
        <f t="shared" si="31"/>
        <v>-6.1725019879565979</v>
      </c>
    </row>
    <row r="131" spans="1:21" x14ac:dyDescent="0.3">
      <c r="A131" s="22">
        <v>122</v>
      </c>
      <c r="B131" s="22" cm="1">
        <f t="array" ref="B131">KCASConv($K$4,A131,2)</f>
        <v>121.78737640380859</v>
      </c>
      <c r="C131" s="33" cm="1">
        <f t="array" ref="C131">KCASConv($K$4,A131,1)</f>
        <v>136.291259765625</v>
      </c>
      <c r="D131" s="33">
        <f t="shared" si="21"/>
        <v>70.108672718942898</v>
      </c>
      <c r="E131" s="33">
        <f t="shared" si="22"/>
        <v>252.39122178819443</v>
      </c>
      <c r="F131" s="32" cm="1">
        <f t="array" ref="F131">KCASConv($K$4,A131,0)</f>
        <v>0.21386700868606567</v>
      </c>
      <c r="G131" s="32">
        <f t="shared" si="23"/>
        <v>2234.2259253224511</v>
      </c>
      <c r="H131" s="32">
        <f t="shared" si="24"/>
        <v>0.27673858894964687</v>
      </c>
      <c r="I131" s="32">
        <f t="shared" si="33"/>
        <v>0.82561439544406068</v>
      </c>
      <c r="J131" s="38">
        <f t="shared" si="34"/>
        <v>0.03</v>
      </c>
      <c r="K131" s="39">
        <f t="shared" si="35"/>
        <v>2.2083407255897149E-4</v>
      </c>
      <c r="L131" s="31">
        <f t="shared" si="25"/>
        <v>3.0220834072558971E-2</v>
      </c>
      <c r="M131" s="31">
        <f t="shared" si="26"/>
        <v>9.15721214990986</v>
      </c>
      <c r="N131" s="40">
        <f t="shared" si="27"/>
        <v>4.817238370206419</v>
      </c>
      <c r="O131" s="40">
        <f t="shared" si="28"/>
        <v>17.407179781071033</v>
      </c>
      <c r="P131" s="42">
        <f t="shared" si="29"/>
        <v>642.11682592260138</v>
      </c>
      <c r="Q131" s="41">
        <f t="shared" si="30"/>
        <v>45.017958395934087</v>
      </c>
      <c r="T131" s="41">
        <f t="shared" si="32"/>
        <v>-7.6561153734581788</v>
      </c>
      <c r="U131" s="40">
        <f t="shared" si="31"/>
        <v>-6.2694052931959892</v>
      </c>
    </row>
    <row r="132" spans="1:21" x14ac:dyDescent="0.3">
      <c r="A132" s="22">
        <v>123</v>
      </c>
      <c r="B132" s="22" cm="1">
        <f t="array" ref="B132">KCASConv($K$4,A132,2)</f>
        <v>122.78215789794922</v>
      </c>
      <c r="C132" s="33" cm="1">
        <f t="array" ref="C132">KCASConv($K$4,A132,1)</f>
        <v>137.4051513671875</v>
      </c>
      <c r="D132" s="33">
        <f t="shared" si="21"/>
        <v>70.681662225919496</v>
      </c>
      <c r="E132" s="33">
        <f t="shared" si="22"/>
        <v>254.45398401331019</v>
      </c>
      <c r="F132" s="32" cm="1">
        <f t="array" ref="F132">KCASConv($K$4,A132,0)</f>
        <v>0.215614914894104</v>
      </c>
      <c r="G132" s="32">
        <f t="shared" si="23"/>
        <v>2270.8952665231391</v>
      </c>
      <c r="H132" s="32">
        <f t="shared" si="24"/>
        <v>0.27226994528686432</v>
      </c>
      <c r="I132" s="32">
        <f t="shared" si="33"/>
        <v>0.77753719482568628</v>
      </c>
      <c r="J132" s="38">
        <f t="shared" si="34"/>
        <v>0.03</v>
      </c>
      <c r="K132" s="39">
        <f t="shared" si="35"/>
        <v>1.958636822657818E-4</v>
      </c>
      <c r="L132" s="31">
        <f t="shared" si="25"/>
        <v>3.0195863682265782E-2</v>
      </c>
      <c r="M132" s="31">
        <f t="shared" si="26"/>
        <v>9.0167960801455784</v>
      </c>
      <c r="N132" s="40">
        <f t="shared" si="27"/>
        <v>4.7049184476088977</v>
      </c>
      <c r="O132" s="40">
        <f t="shared" si="28"/>
        <v>17.280344485513393</v>
      </c>
      <c r="P132" s="42">
        <f t="shared" si="29"/>
        <v>652.11633353308196</v>
      </c>
      <c r="Q132" s="41">
        <f t="shared" si="30"/>
        <v>46.092666418790358</v>
      </c>
      <c r="T132" s="41">
        <f t="shared" si="32"/>
        <v>-7.8388888467330542</v>
      </c>
      <c r="U132" s="40">
        <f t="shared" si="31"/>
        <v>-6.3674377954504662</v>
      </c>
    </row>
    <row r="133" spans="1:21" x14ac:dyDescent="0.3">
      <c r="A133" s="22">
        <v>124</v>
      </c>
      <c r="B133" s="22" cm="1">
        <f t="array" ref="B133">KCASConv($K$4,A133,2)</f>
        <v>123.77684783935547</v>
      </c>
      <c r="C133" s="33" cm="1">
        <f t="array" ref="C133">KCASConv($K$4,A133,1)</f>
        <v>138.51896667480469</v>
      </c>
      <c r="D133" s="33">
        <f t="shared" si="21"/>
        <v>71.254612487039452</v>
      </c>
      <c r="E133" s="33">
        <f t="shared" si="22"/>
        <v>256.51660495334204</v>
      </c>
      <c r="F133" s="32" cm="1">
        <f t="array" ref="F133">KCASConv($K$4,A133,0)</f>
        <v>0.21736268699169159</v>
      </c>
      <c r="G133" s="32">
        <f t="shared" si="23"/>
        <v>2307.8605397521387</v>
      </c>
      <c r="H133" s="32">
        <f t="shared" si="24"/>
        <v>0.26790896560624</v>
      </c>
      <c r="I133" s="32">
        <f t="shared" si="33"/>
        <v>0.73061832842686569</v>
      </c>
      <c r="J133" s="38">
        <f t="shared" si="34"/>
        <v>0.03</v>
      </c>
      <c r="K133" s="39">
        <f t="shared" si="35"/>
        <v>1.7293890062027495E-4</v>
      </c>
      <c r="L133" s="31">
        <f t="shared" si="25"/>
        <v>3.0172938900620273E-2</v>
      </c>
      <c r="M133" s="31">
        <f t="shared" si="26"/>
        <v>8.8791140461538713</v>
      </c>
      <c r="N133" s="40">
        <f t="shared" si="27"/>
        <v>4.5958226166126384</v>
      </c>
      <c r="O133" s="40">
        <f t="shared" si="28"/>
        <v>17.154418875878022</v>
      </c>
      <c r="P133" s="42">
        <f t="shared" si="29"/>
        <v>662.22823239296213</v>
      </c>
      <c r="Q133" s="41">
        <f t="shared" si="30"/>
        <v>47.186816077137621</v>
      </c>
      <c r="T133" s="41">
        <f t="shared" si="32"/>
        <v>-8.0249687206016365</v>
      </c>
      <c r="U133" s="40">
        <f t="shared" si="31"/>
        <v>-6.466591190757387</v>
      </c>
    </row>
    <row r="134" spans="1:21" x14ac:dyDescent="0.3">
      <c r="A134" s="22">
        <v>125</v>
      </c>
      <c r="B134" s="22" cm="1">
        <f t="array" ref="B134">KCASConv($K$4,A134,2)</f>
        <v>124.77145385742188</v>
      </c>
      <c r="C134" s="33" cm="1">
        <f t="array" ref="C134">KCASConv($K$4,A134,1)</f>
        <v>139.6326904296875</v>
      </c>
      <c r="D134" s="33">
        <f t="shared" si="21"/>
        <v>71.827515653131428</v>
      </c>
      <c r="E134" s="33">
        <f t="shared" si="22"/>
        <v>258.57905635127315</v>
      </c>
      <c r="F134" s="32" cm="1">
        <f t="array" ref="F134">KCASConv($K$4,A134,0)</f>
        <v>0.21911033987998962</v>
      </c>
      <c r="G134" s="32">
        <f t="shared" si="23"/>
        <v>2345.1211711427204</v>
      </c>
      <c r="H134" s="32">
        <f t="shared" si="24"/>
        <v>0.26365227416678577</v>
      </c>
      <c r="I134" s="32">
        <f t="shared" si="33"/>
        <v>0.68482147735780408</v>
      </c>
      <c r="J134" s="38">
        <f t="shared" si="34"/>
        <v>0.03</v>
      </c>
      <c r="K134" s="39">
        <f t="shared" si="35"/>
        <v>1.5193796755980554E-4</v>
      </c>
      <c r="L134" s="31">
        <f t="shared" si="25"/>
        <v>3.0151937967559803E-2</v>
      </c>
      <c r="M134" s="31">
        <f t="shared" si="26"/>
        <v>8.7441236596615077</v>
      </c>
      <c r="N134" s="40">
        <f t="shared" si="27"/>
        <v>4.4898522705680319</v>
      </c>
      <c r="O134" s="40">
        <f t="shared" si="28"/>
        <v>17.029446397749492</v>
      </c>
      <c r="P134" s="42">
        <f t="shared" si="29"/>
        <v>672.4516062284988</v>
      </c>
      <c r="Q134" s="41">
        <f t="shared" si="30"/>
        <v>48.300528272350874</v>
      </c>
      <c r="T134" s="41">
        <f t="shared" si="32"/>
        <v>-8.2143755565222563</v>
      </c>
      <c r="U134" s="40">
        <f t="shared" si="31"/>
        <v>-6.5668574435890381</v>
      </c>
    </row>
    <row r="135" spans="1:21" x14ac:dyDescent="0.3">
      <c r="A135" s="22">
        <v>126</v>
      </c>
      <c r="B135" s="22" cm="1">
        <f t="array" ref="B135">KCASConv($K$4,A135,2)</f>
        <v>125.76598358154297</v>
      </c>
      <c r="C135" s="33" cm="1">
        <f t="array" ref="C135">KCASConv($K$4,A135,1)</f>
        <v>140.746337890625</v>
      </c>
      <c r="D135" s="33">
        <f t="shared" si="21"/>
        <v>72.400379573366777</v>
      </c>
      <c r="E135" s="33">
        <f t="shared" si="22"/>
        <v>260.64136646412038</v>
      </c>
      <c r="F135" s="32" cm="1">
        <f t="array" ref="F135">KCASConv($K$4,A135,0)</f>
        <v>0.22085785865783691</v>
      </c>
      <c r="G135" s="32">
        <f t="shared" si="23"/>
        <v>2382.6776037379077</v>
      </c>
      <c r="H135" s="32">
        <f t="shared" si="24"/>
        <v>0.25949651308195465</v>
      </c>
      <c r="I135" s="32">
        <f t="shared" si="33"/>
        <v>0.64011051482089665</v>
      </c>
      <c r="J135" s="38">
        <f t="shared" si="34"/>
        <v>0.03</v>
      </c>
      <c r="K135" s="39">
        <f t="shared" si="35"/>
        <v>1.3274601442356327E-4</v>
      </c>
      <c r="L135" s="31">
        <f t="shared" si="25"/>
        <v>3.0132746014423561E-2</v>
      </c>
      <c r="M135" s="31">
        <f t="shared" si="26"/>
        <v>8.6117777967445157</v>
      </c>
      <c r="N135" s="40">
        <f t="shared" si="27"/>
        <v>4.3869085260128982</v>
      </c>
      <c r="O135" s="40">
        <f t="shared" si="28"/>
        <v>16.90546232745492</v>
      </c>
      <c r="P135" s="42">
        <f t="shared" si="29"/>
        <v>682.78584733372918</v>
      </c>
      <c r="Q135" s="41">
        <f t="shared" si="30"/>
        <v>49.433954514284849</v>
      </c>
      <c r="T135" s="41">
        <f t="shared" si="32"/>
        <v>-8.4071351214770154</v>
      </c>
      <c r="U135" s="40">
        <f t="shared" si="31"/>
        <v>-6.6682315668159875</v>
      </c>
    </row>
    <row r="136" spans="1:21" x14ac:dyDescent="0.3">
      <c r="A136" s="22">
        <v>127</v>
      </c>
      <c r="B136" s="22" cm="1">
        <f t="array" ref="B136">KCASConv($K$4,A136,2)</f>
        <v>126.76042175292969</v>
      </c>
      <c r="C136" s="33" cm="1">
        <f t="array" ref="C136">KCASConv($K$4,A136,1)</f>
        <v>141.85990905761719</v>
      </c>
      <c r="D136" s="33">
        <f t="shared" si="21"/>
        <v>72.973204247745471</v>
      </c>
      <c r="E136" s="33">
        <f t="shared" si="22"/>
        <v>262.70353529188372</v>
      </c>
      <c r="F136" s="32" cm="1">
        <f t="array" ref="F136">KCASConv($K$4,A136,0)</f>
        <v>0.22260527312755585</v>
      </c>
      <c r="G136" s="32">
        <f t="shared" si="23"/>
        <v>2420.5297762208074</v>
      </c>
      <c r="H136" s="32">
        <f t="shared" si="24"/>
        <v>0.25543851434614684</v>
      </c>
      <c r="I136" s="32">
        <f t="shared" si="33"/>
        <v>0.59645135690785367</v>
      </c>
      <c r="J136" s="38">
        <f t="shared" si="34"/>
        <v>0.03</v>
      </c>
      <c r="K136" s="39">
        <f t="shared" si="35"/>
        <v>1.1525549229001844E-4</v>
      </c>
      <c r="L136" s="31">
        <f t="shared" si="25"/>
        <v>3.0115255492290018E-2</v>
      </c>
      <c r="M136" s="31">
        <f t="shared" si="26"/>
        <v>8.4820304583350836</v>
      </c>
      <c r="N136" s="40">
        <f t="shared" si="27"/>
        <v>4.2868966890150428</v>
      </c>
      <c r="O136" s="40">
        <f t="shared" si="28"/>
        <v>16.782499303162378</v>
      </c>
      <c r="P136" s="42">
        <f t="shared" si="29"/>
        <v>693.2302387834352</v>
      </c>
      <c r="Q136" s="41">
        <f t="shared" si="30"/>
        <v>50.587231805456987</v>
      </c>
      <c r="T136" s="41">
        <f t="shared" si="32"/>
        <v>-8.6032707152137728</v>
      </c>
      <c r="U136" s="40">
        <f t="shared" si="31"/>
        <v>-6.7707075254680236</v>
      </c>
    </row>
    <row r="137" spans="1:21" x14ac:dyDescent="0.3">
      <c r="A137" s="22">
        <v>128</v>
      </c>
      <c r="B137" s="22" cm="1">
        <f t="array" ref="B137">KCASConv($K$4,A137,2)</f>
        <v>127.75477600097656</v>
      </c>
      <c r="C137" s="33" cm="1">
        <f t="array" ref="C137">KCASConv($K$4,A137,1)</f>
        <v>142.973388671875</v>
      </c>
      <c r="D137" s="33">
        <f t="shared" si="21"/>
        <v>73.545981827096199</v>
      </c>
      <c r="E137" s="33">
        <f t="shared" si="22"/>
        <v>264.7655345775463</v>
      </c>
      <c r="F137" s="32" cm="1">
        <f t="array" ref="F137">KCASConv($K$4,A137,0)</f>
        <v>0.22435253858566284</v>
      </c>
      <c r="G137" s="32">
        <f t="shared" si="23"/>
        <v>2458.6771024756513</v>
      </c>
      <c r="H137" s="32">
        <f t="shared" si="24"/>
        <v>0.25147528699311072</v>
      </c>
      <c r="I137" s="32">
        <f t="shared" si="33"/>
        <v>0.55381182443962818</v>
      </c>
      <c r="J137" s="38">
        <f t="shared" si="34"/>
        <v>0.03</v>
      </c>
      <c r="K137" s="39">
        <f t="shared" si="35"/>
        <v>9.9365590205029999E-5</v>
      </c>
      <c r="L137" s="31">
        <f t="shared" si="25"/>
        <v>3.009936559020503E-2</v>
      </c>
      <c r="M137" s="31">
        <f t="shared" si="26"/>
        <v>8.3548367901463703</v>
      </c>
      <c r="N137" s="40">
        <f t="shared" si="27"/>
        <v>4.1897260465096799</v>
      </c>
      <c r="O137" s="40">
        <f t="shared" si="28"/>
        <v>16.660587593342559</v>
      </c>
      <c r="P137" s="42">
        <f t="shared" si="29"/>
        <v>703.78394547872279</v>
      </c>
      <c r="Q137" s="41">
        <f t="shared" si="30"/>
        <v>51.760481264380203</v>
      </c>
      <c r="T137" s="41">
        <f t="shared" si="32"/>
        <v>-8.8028029361190825</v>
      </c>
      <c r="U137" s="40">
        <f t="shared" si="31"/>
        <v>-6.8742781480059101</v>
      </c>
    </row>
    <row r="138" spans="1:21" x14ac:dyDescent="0.3">
      <c r="A138" s="22">
        <v>129</v>
      </c>
      <c r="B138" s="22" cm="1">
        <f t="array" ref="B138">KCASConv($K$4,A138,2)</f>
        <v>128.74903869628906</v>
      </c>
      <c r="C138" s="33" cm="1">
        <f t="array" ref="C138">KCASConv($K$4,A138,1)</f>
        <v>144.08680725097656</v>
      </c>
      <c r="D138" s="33">
        <f t="shared" si="21"/>
        <v>74.118728009761611</v>
      </c>
      <c r="E138" s="33">
        <f t="shared" si="22"/>
        <v>266.82742083514182</v>
      </c>
      <c r="F138" s="32" cm="1">
        <f t="array" ref="F138">KCASConv($K$4,A138,0)</f>
        <v>0.22609969973564148</v>
      </c>
      <c r="G138" s="32">
        <f t="shared" si="23"/>
        <v>2497.120566713153</v>
      </c>
      <c r="H138" s="32">
        <f t="shared" si="24"/>
        <v>0.24760379543158786</v>
      </c>
      <c r="I138" s="32">
        <f t="shared" si="33"/>
        <v>0.51215925812607743</v>
      </c>
      <c r="J138" s="38">
        <f t="shared" si="34"/>
        <v>0.03</v>
      </c>
      <c r="K138" s="39">
        <f t="shared" si="35"/>
        <v>8.498095819767629E-5</v>
      </c>
      <c r="L138" s="31">
        <f t="shared" si="25"/>
        <v>3.0084980958197675E-2</v>
      </c>
      <c r="M138" s="31">
        <f t="shared" si="26"/>
        <v>8.2301463236964363</v>
      </c>
      <c r="N138" s="40">
        <f t="shared" si="27"/>
        <v>4.095304563969612</v>
      </c>
      <c r="O138" s="40">
        <f t="shared" si="28"/>
        <v>16.53974874186099</v>
      </c>
      <c r="P138" s="42">
        <f t="shared" si="29"/>
        <v>714.44659289594438</v>
      </c>
      <c r="Q138" s="41">
        <f t="shared" si="30"/>
        <v>52.953872696355383</v>
      </c>
      <c r="T138" s="41">
        <f t="shared" si="32"/>
        <v>-9.0057606626454731</v>
      </c>
      <c r="U138" s="40">
        <f t="shared" si="31"/>
        <v>-6.9789408068166479</v>
      </c>
    </row>
    <row r="139" spans="1:21" x14ac:dyDescent="0.3">
      <c r="A139" s="22">
        <v>130</v>
      </c>
      <c r="B139" s="22" cm="1">
        <f t="array" ref="B139">KCASConv($K$4,A139,2)</f>
        <v>129.74320983886719</v>
      </c>
      <c r="C139" s="33" cm="1">
        <f t="array" ref="C139">KCASConv($K$4,A139,1)</f>
        <v>145.20013427734375</v>
      </c>
      <c r="D139" s="33">
        <f t="shared" si="21"/>
        <v>74.691427097399057</v>
      </c>
      <c r="E139" s="33">
        <f t="shared" si="22"/>
        <v>268.88913755063663</v>
      </c>
      <c r="F139" s="32" cm="1">
        <f t="array" ref="F139">KCASConv($K$4,A139,0)</f>
        <v>0.22784671187400818</v>
      </c>
      <c r="G139" s="32">
        <f t="shared" si="23"/>
        <v>2535.8590539365296</v>
      </c>
      <c r="H139" s="32">
        <f t="shared" si="24"/>
        <v>0.24382133108251597</v>
      </c>
      <c r="I139" s="32">
        <f t="shared" si="33"/>
        <v>0.471464516932741</v>
      </c>
      <c r="J139" s="38">
        <f t="shared" si="34"/>
        <v>0.03</v>
      </c>
      <c r="K139" s="39">
        <f t="shared" si="35"/>
        <v>7.2012782778774282E-5</v>
      </c>
      <c r="L139" s="31">
        <f t="shared" si="25"/>
        <v>3.0072012782778774E-2</v>
      </c>
      <c r="M139" s="31">
        <f t="shared" si="26"/>
        <v>8.107915251424215</v>
      </c>
      <c r="N139" s="40">
        <f t="shared" si="27"/>
        <v>4.0035480893404278</v>
      </c>
      <c r="O139" s="40">
        <f t="shared" si="28"/>
        <v>16.420007517658558</v>
      </c>
      <c r="P139" s="42">
        <f t="shared" si="29"/>
        <v>725.21724976924679</v>
      </c>
      <c r="Q139" s="41">
        <f t="shared" si="30"/>
        <v>54.167511340915937</v>
      </c>
      <c r="T139" s="41">
        <f t="shared" si="32"/>
        <v>-9.212161792672779</v>
      </c>
      <c r="U139" s="40">
        <f t="shared" si="31"/>
        <v>-7.0846874343504105</v>
      </c>
    </row>
    <row r="140" spans="1:21" x14ac:dyDescent="0.3">
      <c r="A140" s="22">
        <v>131</v>
      </c>
      <c r="B140" s="22" cm="1">
        <f t="array" ref="B140">KCASConv($K$4,A140,2)</f>
        <v>130.7373046875</v>
      </c>
      <c r="C140" s="33" cm="1">
        <f t="array" ref="C140">KCASConv($K$4,A140,1)</f>
        <v>146.31336975097656</v>
      </c>
      <c r="D140" s="33">
        <f t="shared" si="21"/>
        <v>75.264079090008522</v>
      </c>
      <c r="E140" s="33">
        <f t="shared" si="22"/>
        <v>270.95068472403068</v>
      </c>
      <c r="F140" s="32" cm="1">
        <f t="array" ref="F140">KCASConv($K$4,A140,0)</f>
        <v>0.22959360480308533</v>
      </c>
      <c r="G140" s="32">
        <f t="shared" si="23"/>
        <v>2574.892490586682</v>
      </c>
      <c r="H140" s="32">
        <f t="shared" si="24"/>
        <v>0.24012518279067147</v>
      </c>
      <c r="I140" s="32">
        <f t="shared" si="33"/>
        <v>0.43169843210877923</v>
      </c>
      <c r="J140" s="38">
        <f t="shared" si="34"/>
        <v>0.03</v>
      </c>
      <c r="K140" s="39">
        <f t="shared" si="35"/>
        <v>6.03771363543834E-5</v>
      </c>
      <c r="L140" s="31">
        <f t="shared" si="25"/>
        <v>3.0060377136354382E-2</v>
      </c>
      <c r="M140" s="31">
        <f t="shared" si="26"/>
        <v>7.9880961473457086</v>
      </c>
      <c r="N140" s="40">
        <f t="shared" si="27"/>
        <v>3.9143723747286892</v>
      </c>
      <c r="O140" s="40">
        <f t="shared" si="28"/>
        <v>16.301382175900446</v>
      </c>
      <c r="P140" s="42">
        <f t="shared" si="29"/>
        <v>736.09529624324955</v>
      </c>
      <c r="Q140" s="41">
        <f t="shared" si="30"/>
        <v>55.401534594235187</v>
      </c>
      <c r="T140" s="41">
        <f t="shared" si="32"/>
        <v>-9.4220296928971408</v>
      </c>
      <c r="U140" s="40">
        <f t="shared" si="31"/>
        <v>-7.1915130436922281</v>
      </c>
    </row>
    <row r="141" spans="1:21" x14ac:dyDescent="0.3">
      <c r="A141" s="22">
        <v>132</v>
      </c>
      <c r="B141" s="22" cm="1">
        <f t="array" ref="B141">KCASConv($K$4,A141,2)</f>
        <v>131.73130798339844</v>
      </c>
      <c r="C141" s="33" cm="1">
        <f t="array" ref="C141">KCASConv($K$4,A141,1)</f>
        <v>147.42652893066406</v>
      </c>
      <c r="D141" s="33">
        <f t="shared" si="21"/>
        <v>75.836691836761347</v>
      </c>
      <c r="E141" s="33">
        <f t="shared" si="22"/>
        <v>273.01209061234084</v>
      </c>
      <c r="F141" s="32" cm="1">
        <f t="array" ref="F141">KCASConv($K$4,A141,0)</f>
        <v>0.23134036362171173</v>
      </c>
      <c r="G141" s="32">
        <f t="shared" si="23"/>
        <v>2614.2213442594348</v>
      </c>
      <c r="H141" s="32">
        <f t="shared" si="24"/>
        <v>0.23651269290038152</v>
      </c>
      <c r="I141" s="32">
        <f t="shared" si="33"/>
        <v>0.39283241049380602</v>
      </c>
      <c r="J141" s="38">
        <f t="shared" si="34"/>
        <v>0.03</v>
      </c>
      <c r="K141" s="39">
        <f t="shared" si="35"/>
        <v>4.9994956174133201E-5</v>
      </c>
      <c r="L141" s="31">
        <f t="shared" si="25"/>
        <v>3.0049994956174133E-2</v>
      </c>
      <c r="M141" s="31">
        <f t="shared" si="26"/>
        <v>7.8706400199174453</v>
      </c>
      <c r="N141" s="40">
        <f t="shared" si="27"/>
        <v>3.8276945690837634</v>
      </c>
      <c r="O141" s="40">
        <f t="shared" si="28"/>
        <v>16.183886463531064</v>
      </c>
      <c r="P141" s="42">
        <f t="shared" si="29"/>
        <v>747.08028637062159</v>
      </c>
      <c r="Q141" s="41">
        <f t="shared" si="30"/>
        <v>56.656097454808247</v>
      </c>
      <c r="T141" s="41">
        <f t="shared" si="32"/>
        <v>-9.6353907236068448</v>
      </c>
      <c r="U141" s="40">
        <f t="shared" si="31"/>
        <v>-7.2994143815461578</v>
      </c>
    </row>
    <row r="142" spans="1:21" x14ac:dyDescent="0.3">
      <c r="A142" s="22">
        <v>133</v>
      </c>
      <c r="B142" s="22" cm="1">
        <f t="array" ref="B142">KCASConv($K$4,A142,2)</f>
        <v>132.7252197265625</v>
      </c>
      <c r="C142" s="33" cm="1">
        <f t="array" ref="C142">KCASConv($K$4,A142,1)</f>
        <v>148.53961181640625</v>
      </c>
      <c r="D142" s="33">
        <f t="shared" si="21"/>
        <v>76.409265337657544</v>
      </c>
      <c r="E142" s="33">
        <f t="shared" si="22"/>
        <v>275.07335521556718</v>
      </c>
      <c r="F142" s="32" cm="1">
        <f t="array" ref="F142">KCASConv($K$4,A142,0)</f>
        <v>0.23308700323104858</v>
      </c>
      <c r="G142" s="32">
        <f t="shared" si="23"/>
        <v>2653.8455536647812</v>
      </c>
      <c r="H142" s="32">
        <f t="shared" si="24"/>
        <v>0.23298135383750143</v>
      </c>
      <c r="I142" s="32">
        <f t="shared" si="33"/>
        <v>0.35483947362314244</v>
      </c>
      <c r="J142" s="38">
        <f t="shared" si="34"/>
        <v>0.03</v>
      </c>
      <c r="K142" s="39">
        <f t="shared" si="35"/>
        <v>4.0792039629358082E-5</v>
      </c>
      <c r="L142" s="31">
        <f t="shared" si="25"/>
        <v>3.0040792039629356E-2</v>
      </c>
      <c r="M142" s="31">
        <f t="shared" si="26"/>
        <v>7.7554997062046827</v>
      </c>
      <c r="N142" s="40">
        <f t="shared" si="27"/>
        <v>3.7434356160158191</v>
      </c>
      <c r="O142" s="40">
        <f t="shared" si="28"/>
        <v>16.067533106648398</v>
      </c>
      <c r="P142" s="42">
        <f t="shared" si="29"/>
        <v>758.17164886174726</v>
      </c>
      <c r="Q142" s="41">
        <f t="shared" si="30"/>
        <v>57.931338689366576</v>
      </c>
      <c r="T142" s="41">
        <f t="shared" si="32"/>
        <v>-9.8522684845861512</v>
      </c>
      <c r="U142" s="40">
        <f t="shared" si="31"/>
        <v>-7.4083869901327111</v>
      </c>
    </row>
    <row r="143" spans="1:21" x14ac:dyDescent="0.3">
      <c r="A143" s="22">
        <v>134</v>
      </c>
      <c r="B143" s="22" cm="1">
        <f t="array" ref="B143">KCASConv($K$4,A143,2)</f>
        <v>133.71903991699219</v>
      </c>
      <c r="C143" s="33" cm="1">
        <f t="array" ref="C143">KCASConv($K$4,A143,1)</f>
        <v>149.65260314941406</v>
      </c>
      <c r="D143" s="33">
        <f t="shared" si="21"/>
        <v>76.981791743525761</v>
      </c>
      <c r="E143" s="33">
        <f t="shared" si="22"/>
        <v>277.13445027669275</v>
      </c>
      <c r="F143" s="32" cm="1">
        <f t="array" ref="F143">KCASConv($K$4,A143,0)</f>
        <v>0.2348334938287735</v>
      </c>
      <c r="G143" s="32">
        <f t="shared" si="23"/>
        <v>2693.7645081968799</v>
      </c>
      <c r="H143" s="32">
        <f t="shared" si="24"/>
        <v>0.22952879811395327</v>
      </c>
      <c r="I143" s="32">
        <f t="shared" si="33"/>
        <v>0.31769415018874186</v>
      </c>
      <c r="J143" s="38">
        <f t="shared" si="34"/>
        <v>0.03</v>
      </c>
      <c r="K143" s="39">
        <f t="shared" si="35"/>
        <v>3.2698663679351687E-5</v>
      </c>
      <c r="L143" s="31">
        <f t="shared" si="25"/>
        <v>3.0032698663679351E-2</v>
      </c>
      <c r="M143" s="31">
        <f t="shared" si="26"/>
        <v>7.6426298110711759</v>
      </c>
      <c r="N143" s="40">
        <f t="shared" si="27"/>
        <v>3.661520038900949</v>
      </c>
      <c r="O143" s="40">
        <f t="shared" si="28"/>
        <v>15.952333951067562</v>
      </c>
      <c r="P143" s="42">
        <f t="shared" si="29"/>
        <v>769.36867876057329</v>
      </c>
      <c r="Q143" s="41">
        <f t="shared" si="30"/>
        <v>59.227379402338023</v>
      </c>
      <c r="T143" s="41">
        <f t="shared" si="32"/>
        <v>-10.072683571826195</v>
      </c>
      <c r="U143" s="40">
        <f t="shared" si="31"/>
        <v>-7.5184251242236071</v>
      </c>
    </row>
    <row r="144" spans="1:21" x14ac:dyDescent="0.3">
      <c r="A144" s="22">
        <v>135</v>
      </c>
      <c r="B144" s="22" cm="1">
        <f t="array" ref="B144">KCASConv($K$4,A144,2)</f>
        <v>134.71278381347656</v>
      </c>
      <c r="C144" s="33" cm="1">
        <f t="array" ref="C144">KCASConv($K$4,A144,1)</f>
        <v>150.76551818847656</v>
      </c>
      <c r="D144" s="33">
        <f t="shared" si="21"/>
        <v>77.554278903537323</v>
      </c>
      <c r="E144" s="33">
        <f t="shared" si="22"/>
        <v>279.19540405273438</v>
      </c>
      <c r="F144" s="32" cm="1">
        <f t="array" ref="F144">KCASConv($K$4,A144,0)</f>
        <v>0.23657986521720886</v>
      </c>
      <c r="G144" s="32">
        <f t="shared" si="23"/>
        <v>2733.9786877238939</v>
      </c>
      <c r="H144" s="32">
        <f t="shared" si="24"/>
        <v>0.22615265171770657</v>
      </c>
      <c r="I144" s="32">
        <f t="shared" si="33"/>
        <v>0.28137089869272008</v>
      </c>
      <c r="J144" s="38">
        <f t="shared" si="34"/>
        <v>0.03</v>
      </c>
      <c r="K144" s="39">
        <f t="shared" si="35"/>
        <v>2.5648969647828399E-5</v>
      </c>
      <c r="L144" s="31">
        <f t="shared" si="25"/>
        <v>3.0025648969647826E-2</v>
      </c>
      <c r="M144" s="31">
        <f t="shared" si="26"/>
        <v>7.5319821378821352</v>
      </c>
      <c r="N144" s="40">
        <f t="shared" si="27"/>
        <v>3.5818725075469993</v>
      </c>
      <c r="O144" s="40">
        <f t="shared" si="28"/>
        <v>15.838295418344442</v>
      </c>
      <c r="P144" s="42">
        <f t="shared" si="29"/>
        <v>780.67099634059343</v>
      </c>
      <c r="Q144" s="41">
        <f t="shared" si="30"/>
        <v>60.544376182100748</v>
      </c>
      <c r="T144" s="41">
        <f t="shared" si="32"/>
        <v>-10.296662616003529</v>
      </c>
      <c r="U144" s="40">
        <f t="shared" si="31"/>
        <v>-7.6295262612758998</v>
      </c>
    </row>
    <row r="145" spans="1:21" x14ac:dyDescent="0.3">
      <c r="A145" s="22">
        <v>136</v>
      </c>
      <c r="B145" s="22" cm="1">
        <f t="array" ref="B145">KCASConv($K$4,A145,2)</f>
        <v>135.7064208984375</v>
      </c>
      <c r="C145" s="33" cm="1">
        <f t="array" ref="C145">KCASConv($K$4,A145,1)</f>
        <v>151.87834167480469</v>
      </c>
      <c r="D145" s="33">
        <f t="shared" si="21"/>
        <v>78.126718968520933</v>
      </c>
      <c r="E145" s="33">
        <f t="shared" si="22"/>
        <v>281.25618828667535</v>
      </c>
      <c r="F145" s="32" cm="1">
        <f t="array" ref="F145">KCASConv($K$4,A145,0)</f>
        <v>0.23832610249519348</v>
      </c>
      <c r="G145" s="32">
        <f t="shared" si="23"/>
        <v>2774.4874734793543</v>
      </c>
      <c r="H145" s="32">
        <f t="shared" si="24"/>
        <v>0.22285071959365441</v>
      </c>
      <c r="I145" s="32">
        <f t="shared" si="33"/>
        <v>0.24584610299722673</v>
      </c>
      <c r="J145" s="38">
        <f t="shared" si="34"/>
        <v>0.03</v>
      </c>
      <c r="K145" s="39">
        <f t="shared" si="35"/>
        <v>1.958115139406499E-5</v>
      </c>
      <c r="L145" s="31">
        <f t="shared" si="25"/>
        <v>3.0019581151394064E-2</v>
      </c>
      <c r="M145" s="31">
        <f t="shared" si="26"/>
        <v>7.4235119560722307</v>
      </c>
      <c r="N145" s="40">
        <f t="shared" si="27"/>
        <v>3.5044222795203059</v>
      </c>
      <c r="O145" s="40">
        <f t="shared" si="28"/>
        <v>15.725425010564299</v>
      </c>
      <c r="P145" s="42">
        <f t="shared" si="29"/>
        <v>792.07793222321413</v>
      </c>
      <c r="Q145" s="41">
        <f t="shared" si="30"/>
        <v>61.882450011970221</v>
      </c>
      <c r="T145" s="41">
        <f t="shared" si="32"/>
        <v>-10.524226192511943</v>
      </c>
      <c r="U145" s="40">
        <f t="shared" si="31"/>
        <v>-7.7416850592644622</v>
      </c>
    </row>
    <row r="146" spans="1:21" x14ac:dyDescent="0.3">
      <c r="A146" s="22">
        <v>137</v>
      </c>
      <c r="B146" s="22" cm="1">
        <f t="array" ref="B146">KCASConv($K$4,A146,2)</f>
        <v>136.69996643066406</v>
      </c>
      <c r="C146" s="33" cm="1">
        <f t="array" ref="C146">KCASConv($K$4,A146,1)</f>
        <v>152.99107360839844</v>
      </c>
      <c r="D146" s="33">
        <f t="shared" si="21"/>
        <v>78.699111938476563</v>
      </c>
      <c r="E146" s="33">
        <f t="shared" si="22"/>
        <v>283.31680297851563</v>
      </c>
      <c r="F146" s="32" cm="1">
        <f t="array" ref="F146">KCASConv($K$4,A146,0)</f>
        <v>0.24007219076156616</v>
      </c>
      <c r="G146" s="32">
        <f t="shared" si="23"/>
        <v>2815.2907919374306</v>
      </c>
      <c r="H146" s="32">
        <f t="shared" si="24"/>
        <v>0.21962084049689026</v>
      </c>
      <c r="I146" s="32">
        <f t="shared" si="33"/>
        <v>0.2110965107212717</v>
      </c>
      <c r="J146" s="38">
        <f t="shared" si="34"/>
        <v>0.03</v>
      </c>
      <c r="K146" s="39">
        <f t="shared" si="35"/>
        <v>1.4436891008448181E-5</v>
      </c>
      <c r="L146" s="31">
        <f t="shared" si="25"/>
        <v>3.0014436891008446E-2</v>
      </c>
      <c r="M146" s="31">
        <f t="shared" si="26"/>
        <v>7.3171734420472507</v>
      </c>
      <c r="N146" s="40">
        <f t="shared" si="27"/>
        <v>3.4290997930300056</v>
      </c>
      <c r="O146" s="40">
        <f t="shared" si="28"/>
        <v>15.61372675412632</v>
      </c>
      <c r="P146" s="42">
        <f t="shared" si="29"/>
        <v>803.58898782025483</v>
      </c>
      <c r="Q146" s="41">
        <f t="shared" si="30"/>
        <v>63.241739704993314</v>
      </c>
      <c r="T146" s="41">
        <f t="shared" si="32"/>
        <v>-10.755397909012467</v>
      </c>
      <c r="U146" s="40">
        <f t="shared" si="31"/>
        <v>-7.8548978824000981</v>
      </c>
    </row>
    <row r="147" spans="1:21" x14ac:dyDescent="0.3">
      <c r="A147" s="22">
        <v>138</v>
      </c>
      <c r="B147" s="22" cm="1">
        <f t="array" ref="B147">KCASConv($K$4,A147,2)</f>
        <v>137.69343566894531</v>
      </c>
      <c r="C147" s="33" cm="1">
        <f t="array" ref="C147">KCASConv($K$4,A147,1)</f>
        <v>154.10372924804688</v>
      </c>
      <c r="D147" s="33">
        <f t="shared" si="21"/>
        <v>79.271465662575551</v>
      </c>
      <c r="E147" s="33">
        <f t="shared" si="22"/>
        <v>285.37727638527201</v>
      </c>
      <c r="F147" s="32" cm="1">
        <f t="array" ref="F147">KCASConv($K$4,A147,0)</f>
        <v>0.24181815981864929</v>
      </c>
      <c r="G147" s="32">
        <f t="shared" si="23"/>
        <v>2856.3891352367782</v>
      </c>
      <c r="H147" s="32">
        <f t="shared" si="24"/>
        <v>0.21646088844866057</v>
      </c>
      <c r="I147" s="32">
        <f t="shared" si="33"/>
        <v>0.17709924890501327</v>
      </c>
      <c r="J147" s="38">
        <f t="shared" si="34"/>
        <v>0.03</v>
      </c>
      <c r="K147" s="39">
        <f t="shared" si="35"/>
        <v>1.0161200170498447E-5</v>
      </c>
      <c r="L147" s="31">
        <f t="shared" si="25"/>
        <v>3.0010161200170499E-2</v>
      </c>
      <c r="M147" s="31">
        <f t="shared" si="26"/>
        <v>7.2129198841967828</v>
      </c>
      <c r="N147" s="40">
        <f t="shared" si="27"/>
        <v>3.3558367576476211</v>
      </c>
      <c r="O147" s="40">
        <f t="shared" si="28"/>
        <v>15.503201440677566</v>
      </c>
      <c r="P147" s="42">
        <f t="shared" si="29"/>
        <v>815.20384177326628</v>
      </c>
      <c r="Q147" s="41">
        <f t="shared" si="30"/>
        <v>64.622403351129151</v>
      </c>
      <c r="T147" s="41">
        <f t="shared" si="32"/>
        <v>-10.990204651552576</v>
      </c>
      <c r="U147" s="40">
        <f t="shared" si="31"/>
        <v>-7.9691628670727681</v>
      </c>
    </row>
    <row r="148" spans="1:21" x14ac:dyDescent="0.3">
      <c r="A148" s="22">
        <v>139</v>
      </c>
      <c r="B148" s="22" cm="1">
        <f t="array" ref="B148">KCASConv($K$4,A148,2)</f>
        <v>138.68679809570313</v>
      </c>
      <c r="C148" s="33" cm="1">
        <f t="array" ref="C148">KCASConv($K$4,A148,1)</f>
        <v>155.21629333496094</v>
      </c>
      <c r="D148" s="33">
        <f t="shared" si="21"/>
        <v>79.843772291646573</v>
      </c>
      <c r="E148" s="33">
        <f t="shared" si="22"/>
        <v>287.43758024992769</v>
      </c>
      <c r="F148" s="32" cm="1">
        <f t="array" ref="F148">KCASConv($K$4,A148,0)</f>
        <v>0.24356399476528168</v>
      </c>
      <c r="G148" s="32">
        <f t="shared" si="23"/>
        <v>2897.7818723728078</v>
      </c>
      <c r="H148" s="32">
        <f t="shared" si="24"/>
        <v>0.21336889979996004</v>
      </c>
      <c r="I148" s="32">
        <f t="shared" si="33"/>
        <v>0.14383319106035006</v>
      </c>
      <c r="J148" s="38">
        <f t="shared" si="34"/>
        <v>0.03</v>
      </c>
      <c r="K148" s="39">
        <f t="shared" si="35"/>
        <v>6.7023916151987039E-6</v>
      </c>
      <c r="L148" s="31">
        <f t="shared" si="25"/>
        <v>3.0006702391615198E-2</v>
      </c>
      <c r="M148" s="31">
        <f t="shared" si="26"/>
        <v>7.1107080350016041</v>
      </c>
      <c r="N148" s="40">
        <f t="shared" si="27"/>
        <v>3.2845691223683358</v>
      </c>
      <c r="O148" s="40">
        <f t="shared" si="28"/>
        <v>15.393851331884457</v>
      </c>
      <c r="P148" s="42">
        <f t="shared" si="29"/>
        <v>826.92187206342987</v>
      </c>
      <c r="Q148" s="41">
        <f t="shared" si="30"/>
        <v>66.024561656014598</v>
      </c>
      <c r="T148" s="41">
        <f t="shared" si="32"/>
        <v>-11.228666948301802</v>
      </c>
      <c r="U148" s="40">
        <f t="shared" si="31"/>
        <v>-8.0844752213029718</v>
      </c>
    </row>
    <row r="149" spans="1:21" x14ac:dyDescent="0.3">
      <c r="A149" s="22">
        <v>140</v>
      </c>
      <c r="B149" s="22" cm="1">
        <f t="array" ref="B149">KCASConv($K$4,A149,2)</f>
        <v>139.68006896972656</v>
      </c>
      <c r="C149" s="33" cm="1">
        <f t="array" ref="C149">KCASConv($K$4,A149,1)</f>
        <v>156.32876586914063</v>
      </c>
      <c r="D149" s="33">
        <f t="shared" si="21"/>
        <v>80.416031825689629</v>
      </c>
      <c r="E149" s="33">
        <f t="shared" si="22"/>
        <v>289.49771457248266</v>
      </c>
      <c r="F149" s="32" cm="1">
        <f t="array" ref="F149">KCASConv($K$4,A149,0)</f>
        <v>0.24530968070030212</v>
      </c>
      <c r="G149" s="32">
        <f t="shared" si="23"/>
        <v>2939.4689298368307</v>
      </c>
      <c r="H149" s="32">
        <f t="shared" si="24"/>
        <v>0.21034293769615581</v>
      </c>
      <c r="I149" s="32">
        <f t="shared" si="33"/>
        <v>0.11127749897421785</v>
      </c>
      <c r="J149" s="38">
        <f t="shared" si="34"/>
        <v>0.03</v>
      </c>
      <c r="K149" s="39">
        <f t="shared" si="35"/>
        <v>4.0116799726133533E-6</v>
      </c>
      <c r="L149" s="31">
        <f t="shared" si="25"/>
        <v>3.0004011679972614E-2</v>
      </c>
      <c r="M149" s="31">
        <f t="shared" si="26"/>
        <v>7.0104937946200598</v>
      </c>
      <c r="N149" s="40">
        <f t="shared" si="27"/>
        <v>3.2152339336741407</v>
      </c>
      <c r="O149" s="40">
        <f t="shared" si="28"/>
        <v>15.285675710770022</v>
      </c>
      <c r="P149" s="42">
        <f t="shared" si="29"/>
        <v>838.74262958657562</v>
      </c>
      <c r="Q149" s="41">
        <f t="shared" si="30"/>
        <v>67.448353994396669</v>
      </c>
      <c r="T149" s="41">
        <f t="shared" si="32"/>
        <v>-11.470808502448413</v>
      </c>
      <c r="U149" s="40">
        <f t="shared" si="31"/>
        <v>-8.2008318832048062</v>
      </c>
    </row>
    <row r="150" spans="1:21" x14ac:dyDescent="0.3">
      <c r="A150" s="22">
        <v>141</v>
      </c>
      <c r="B150" s="22" cm="1">
        <f t="array" ref="B150">KCASConv($K$4,A150,2)</f>
        <v>140.67324829101563</v>
      </c>
      <c r="C150" s="33" cm="1">
        <f t="array" ref="C150">KCASConv($K$4,A150,1)</f>
        <v>157.441162109375</v>
      </c>
      <c r="D150" s="33">
        <f t="shared" si="21"/>
        <v>80.98825211387603</v>
      </c>
      <c r="E150" s="33">
        <f t="shared" si="22"/>
        <v>291.5577076099537</v>
      </c>
      <c r="F150" s="32" cm="1">
        <f t="array" ref="F150">KCASConv($K$4,A150,0)</f>
        <v>0.24705523252487183</v>
      </c>
      <c r="G150" s="32">
        <f t="shared" si="23"/>
        <v>2981.4508120351343</v>
      </c>
      <c r="H150" s="32">
        <f t="shared" si="24"/>
        <v>0.20738109361811202</v>
      </c>
      <c r="I150" s="32">
        <f t="shared" si="33"/>
        <v>7.9411639289226274E-2</v>
      </c>
      <c r="J150" s="38">
        <f t="shared" si="34"/>
        <v>0.03</v>
      </c>
      <c r="K150" s="39">
        <f t="shared" si="35"/>
        <v>2.0430542118499353E-6</v>
      </c>
      <c r="L150" s="31">
        <f t="shared" si="25"/>
        <v>3.0002043054211849E-2</v>
      </c>
      <c r="M150" s="31">
        <f t="shared" si="26"/>
        <v>6.9122323850874796</v>
      </c>
      <c r="N150" s="40">
        <f t="shared" si="27"/>
        <v>3.1477694102853406</v>
      </c>
      <c r="O150" s="40">
        <f t="shared" si="28"/>
        <v>15.178671089862666</v>
      </c>
      <c r="P150" s="42">
        <f t="shared" si="29"/>
        <v>850.66584460985018</v>
      </c>
      <c r="Q150" s="41">
        <f t="shared" si="30"/>
        <v>68.893939887925839</v>
      </c>
      <c r="T150" s="41">
        <f t="shared" si="32"/>
        <v>-11.716656443524803</v>
      </c>
      <c r="U150" s="40">
        <f t="shared" si="31"/>
        <v>-8.3182315873873875</v>
      </c>
    </row>
    <row r="151" spans="1:21" x14ac:dyDescent="0.3">
      <c r="A151" s="22">
        <v>142</v>
      </c>
      <c r="B151" s="22" cm="1">
        <f t="array" ref="B151">KCASConv($K$4,A151,2)</f>
        <v>141.66633605957031</v>
      </c>
      <c r="C151" s="33" cm="1">
        <f t="array" ref="C151">KCASConv($K$4,A151,1)</f>
        <v>158.553466796875</v>
      </c>
      <c r="D151" s="33">
        <f t="shared" si="21"/>
        <v>81.560425307034464</v>
      </c>
      <c r="E151" s="33">
        <f t="shared" si="22"/>
        <v>293.61753110532408</v>
      </c>
      <c r="F151" s="32" cm="1">
        <f t="array" ref="F151">KCASConv($K$4,A151,0)</f>
        <v>0.24880065023899078</v>
      </c>
      <c r="G151" s="32">
        <f t="shared" si="23"/>
        <v>3023.7268757278694</v>
      </c>
      <c r="H151" s="32">
        <f t="shared" si="24"/>
        <v>0.20448160676536581</v>
      </c>
      <c r="I151" s="32">
        <f t="shared" si="33"/>
        <v>4.8216667922228229E-2</v>
      </c>
      <c r="J151" s="38">
        <f t="shared" si="34"/>
        <v>0.03</v>
      </c>
      <c r="K151" s="39">
        <f t="shared" si="35"/>
        <v>7.5319244888840222E-7</v>
      </c>
      <c r="L151" s="31">
        <f t="shared" si="25"/>
        <v>3.0000753192448888E-2</v>
      </c>
      <c r="M151" s="31">
        <f t="shared" si="26"/>
        <v>6.8158824364727382</v>
      </c>
      <c r="N151" s="40">
        <f t="shared" si="27"/>
        <v>3.0821176708620159</v>
      </c>
      <c r="O151" s="40">
        <f t="shared" si="28"/>
        <v>15.072835741156021</v>
      </c>
      <c r="P151" s="42">
        <f t="shared" si="29"/>
        <v>862.69093617802139</v>
      </c>
      <c r="Q151" s="41">
        <f t="shared" si="30"/>
        <v>70.361439663203143</v>
      </c>
      <c r="T151" s="41">
        <f t="shared" si="32"/>
        <v>-11.966231235238629</v>
      </c>
      <c r="U151" s="40">
        <f t="shared" si="31"/>
        <v>-8.4366700353174711</v>
      </c>
    </row>
    <row r="152" spans="1:21" x14ac:dyDescent="0.3">
      <c r="A152" s="22">
        <v>143</v>
      </c>
      <c r="B152" s="22" cm="1">
        <f t="array" ref="B152">KCASConv($K$4,A152,2)</f>
        <v>142.65931701660156</v>
      </c>
      <c r="C152" s="33" cm="1">
        <f t="array" ref="C152">KCASConv($K$4,A152,1)</f>
        <v>159.66567993164063</v>
      </c>
      <c r="D152" s="33">
        <f t="shared" si="21"/>
        <v>82.132551405164932</v>
      </c>
      <c r="E152" s="33">
        <f t="shared" si="22"/>
        <v>295.67718505859375</v>
      </c>
      <c r="F152" s="32" cm="1">
        <f t="array" ref="F152">KCASConv($K$4,A152,0)</f>
        <v>0.2505459189414978</v>
      </c>
      <c r="G152" s="32">
        <f t="shared" si="23"/>
        <v>3066.2970474234858</v>
      </c>
      <c r="H152" s="32">
        <f t="shared" si="24"/>
        <v>0.20164273728404419</v>
      </c>
      <c r="I152" s="32">
        <f t="shared" si="33"/>
        <v>1.767386615004728E-2</v>
      </c>
      <c r="J152" s="38">
        <f t="shared" si="34"/>
        <v>0.03</v>
      </c>
      <c r="K152" s="39">
        <f t="shared" si="35"/>
        <v>1.0119864357632093E-7</v>
      </c>
      <c r="L152" s="31">
        <f t="shared" si="25"/>
        <v>3.0000101198643575E-2</v>
      </c>
      <c r="M152" s="31">
        <f t="shared" si="26"/>
        <v>6.7214019029096228</v>
      </c>
      <c r="N152" s="40">
        <f t="shared" si="27"/>
        <v>3.0182218358566097</v>
      </c>
      <c r="O152" s="40">
        <f t="shared" si="28"/>
        <v>14.968165362707753</v>
      </c>
      <c r="P152" s="42">
        <f t="shared" si="29"/>
        <v>874.81749863144046</v>
      </c>
      <c r="Q152" s="41">
        <f t="shared" si="30"/>
        <v>71.850993176484579</v>
      </c>
      <c r="T152" s="41">
        <f t="shared" si="32"/>
        <v>-12.219556662667445</v>
      </c>
      <c r="U152" s="40">
        <f t="shared" si="31"/>
        <v>-8.5561446851501604</v>
      </c>
    </row>
    <row r="153" spans="1:21" x14ac:dyDescent="0.3">
      <c r="A153" s="22">
        <v>144</v>
      </c>
      <c r="B153" s="22" cm="1">
        <f t="array" ref="B153">KCASConv($K$4,A153,2)</f>
        <v>143.65220642089844</v>
      </c>
      <c r="C153" s="33" cm="1">
        <f t="array" ref="C153">KCASConv($K$4,A153,1)</f>
        <v>160.77780151367188</v>
      </c>
      <c r="D153" s="33">
        <f t="shared" si="21"/>
        <v>82.704630408267434</v>
      </c>
      <c r="E153" s="33">
        <f t="shared" si="22"/>
        <v>297.73666946976277</v>
      </c>
      <c r="F153" s="32" cm="1">
        <f t="array" ref="F153">KCASConv($K$4,A153,0)</f>
        <v>0.25229105353355408</v>
      </c>
      <c r="G153" s="32">
        <f t="shared" si="23"/>
        <v>3109.161253636481</v>
      </c>
      <c r="H153" s="32">
        <f t="shared" si="24"/>
        <v>0.19886280560240915</v>
      </c>
      <c r="I153" s="32">
        <f t="shared" si="33"/>
        <v>-1.2234836187637106E-2</v>
      </c>
      <c r="J153" s="38">
        <f t="shared" si="34"/>
        <v>0.03</v>
      </c>
      <c r="K153" s="39">
        <f t="shared" si="35"/>
        <v>4.849621965832026E-8</v>
      </c>
      <c r="L153" s="31">
        <f t="shared" si="25"/>
        <v>3.0000048496219657E-2</v>
      </c>
      <c r="M153" s="31">
        <f t="shared" si="26"/>
        <v>6.6287494711039585</v>
      </c>
      <c r="N153" s="40">
        <f t="shared" si="27"/>
        <v>2.9560269323723758</v>
      </c>
      <c r="O153" s="40">
        <f t="shared" si="28"/>
        <v>14.864654671937126</v>
      </c>
      <c r="P153" s="42">
        <f t="shared" si="29"/>
        <v>887.04513960470115</v>
      </c>
      <c r="Q153" s="41">
        <f t="shared" si="30"/>
        <v>73.36274042645681</v>
      </c>
      <c r="T153" s="41">
        <f t="shared" si="32"/>
        <v>-12.476656535111701</v>
      </c>
      <c r="U153" s="40">
        <f t="shared" si="31"/>
        <v>-8.6766531579510104</v>
      </c>
    </row>
    <row r="154" spans="1:21" x14ac:dyDescent="0.3">
      <c r="A154" s="22">
        <v>145</v>
      </c>
      <c r="B154" s="22" cm="1">
        <f t="array" ref="B154">KCASConv($K$4,A154,2)</f>
        <v>144.64500427246094</v>
      </c>
      <c r="C154" s="33" cm="1">
        <f t="array" ref="C154">KCASConv($K$4,A154,1)</f>
        <v>161.88983154296875</v>
      </c>
      <c r="D154" s="33">
        <f t="shared" si="21"/>
        <v>83.276662316341955</v>
      </c>
      <c r="E154" s="33">
        <f t="shared" si="22"/>
        <v>299.79598433883103</v>
      </c>
      <c r="F154" s="32" cm="1">
        <f t="array" ref="F154">KCASConv($K$4,A154,0)</f>
        <v>0.25403603911399841</v>
      </c>
      <c r="G154" s="32">
        <f t="shared" si="23"/>
        <v>3152.3194208874011</v>
      </c>
      <c r="H154" s="32">
        <f t="shared" si="24"/>
        <v>0.19614018994128432</v>
      </c>
      <c r="I154" s="32">
        <f t="shared" si="33"/>
        <v>-4.152688747308695E-2</v>
      </c>
      <c r="J154" s="38">
        <f t="shared" si="34"/>
        <v>0.03</v>
      </c>
      <c r="K154" s="39">
        <f t="shared" si="35"/>
        <v>5.5868926972934701E-7</v>
      </c>
      <c r="L154" s="31">
        <f t="shared" si="25"/>
        <v>3.0000558689269728E-2</v>
      </c>
      <c r="M154" s="31">
        <f t="shared" si="26"/>
        <v>6.5378845765108231</v>
      </c>
      <c r="N154" s="40">
        <f t="shared" si="27"/>
        <v>2.8954798355218045</v>
      </c>
      <c r="O154" s="40">
        <f t="shared" si="28"/>
        <v>14.762297499500654</v>
      </c>
      <c r="P154" s="42">
        <f t="shared" si="29"/>
        <v>899.37347947768035</v>
      </c>
      <c r="Q154" s="41">
        <f t="shared" si="30"/>
        <v>74.896821546736291</v>
      </c>
      <c r="T154" s="41">
        <f t="shared" si="32"/>
        <v>-12.737554684819097</v>
      </c>
      <c r="U154" s="40">
        <f t="shared" si="31"/>
        <v>-8.7981932329384094</v>
      </c>
    </row>
    <row r="155" spans="1:21" x14ac:dyDescent="0.3">
      <c r="A155" s="22">
        <v>146</v>
      </c>
      <c r="B155" s="22" cm="1">
        <f t="array" ref="B155">KCASConv($K$4,A155,2)</f>
        <v>145.63771057128906</v>
      </c>
      <c r="C155" s="33" cm="1">
        <f t="array" ref="C155">KCASConv($K$4,A155,1)</f>
        <v>163.00178527832031</v>
      </c>
      <c r="D155" s="33">
        <f t="shared" si="21"/>
        <v>83.848654978559836</v>
      </c>
      <c r="E155" s="33">
        <f t="shared" si="22"/>
        <v>301.85515792281541</v>
      </c>
      <c r="F155" s="32" cm="1">
        <f t="array" ref="F155">KCASConv($K$4,A155,0)</f>
        <v>0.2557809054851532</v>
      </c>
      <c r="G155" s="32">
        <f t="shared" si="23"/>
        <v>3195.7720740227887</v>
      </c>
      <c r="H155" s="32">
        <f t="shared" si="24"/>
        <v>0.19347328772109584</v>
      </c>
      <c r="I155" s="32">
        <f t="shared" si="33"/>
        <v>-7.0219529524064683E-2</v>
      </c>
      <c r="J155" s="38">
        <f t="shared" si="34"/>
        <v>0.03</v>
      </c>
      <c r="K155" s="39">
        <f t="shared" si="35"/>
        <v>1.5974504605354034E-6</v>
      </c>
      <c r="L155" s="31">
        <f t="shared" si="25"/>
        <v>3.0001597450460535E-2</v>
      </c>
      <c r="M155" s="31">
        <f t="shared" si="26"/>
        <v>6.4487662045517498</v>
      </c>
      <c r="N155" s="40">
        <f t="shared" si="27"/>
        <v>2.836528412263005</v>
      </c>
      <c r="O155" s="40">
        <f t="shared" si="28"/>
        <v>14.661085494923942</v>
      </c>
      <c r="P155" s="42">
        <f t="shared" si="29"/>
        <v>911.80232210150575</v>
      </c>
      <c r="Q155" s="41">
        <f t="shared" si="30"/>
        <v>76.453398314538831</v>
      </c>
      <c r="T155" s="41">
        <f t="shared" si="32"/>
        <v>-13.002278624921571</v>
      </c>
      <c r="U155" s="40">
        <f t="shared" si="31"/>
        <v>-8.9207645321018045</v>
      </c>
    </row>
    <row r="156" spans="1:21" x14ac:dyDescent="0.3">
      <c r="A156" s="22">
        <v>147</v>
      </c>
      <c r="B156" s="22" cm="1">
        <f t="array" ref="B156">KCASConv($K$4,A156,2)</f>
        <v>146.63031005859375</v>
      </c>
      <c r="C156" s="33" cm="1">
        <f t="array" ref="C156">KCASConv($K$4,A156,1)</f>
        <v>164.1136474609375</v>
      </c>
      <c r="D156" s="33">
        <f t="shared" si="21"/>
        <v>84.42060054574975</v>
      </c>
      <c r="E156" s="33">
        <f t="shared" si="22"/>
        <v>303.91416196469913</v>
      </c>
      <c r="F156" s="32" cm="1">
        <f t="array" ref="F156">KCASConv($K$4,A156,0)</f>
        <v>0.25752562284469604</v>
      </c>
      <c r="G156" s="32">
        <f t="shared" si="23"/>
        <v>3239.5185494177667</v>
      </c>
      <c r="H156" s="32">
        <f t="shared" si="24"/>
        <v>0.19086062343417656</v>
      </c>
      <c r="I156" s="32">
        <f t="shared" si="33"/>
        <v>-9.8328637018320689E-2</v>
      </c>
      <c r="J156" s="38">
        <f t="shared" si="34"/>
        <v>0.03</v>
      </c>
      <c r="K156" s="39">
        <f t="shared" si="35"/>
        <v>3.1323595474609377E-6</v>
      </c>
      <c r="L156" s="31">
        <f t="shared" si="25"/>
        <v>3.000313235954746E-2</v>
      </c>
      <c r="M156" s="31">
        <f t="shared" si="26"/>
        <v>6.361356579272023</v>
      </c>
      <c r="N156" s="40">
        <f t="shared" si="27"/>
        <v>2.7791239008615025</v>
      </c>
      <c r="O156" s="40">
        <f t="shared" si="28"/>
        <v>14.561012380953258</v>
      </c>
      <c r="P156" s="42">
        <f t="shared" si="29"/>
        <v>924.33114332240314</v>
      </c>
      <c r="Q156" s="41">
        <f t="shared" si="30"/>
        <v>78.032590222416758</v>
      </c>
      <c r="T156" s="41">
        <f t="shared" si="32"/>
        <v>-13.27084867728176</v>
      </c>
      <c r="U156" s="40">
        <f t="shared" si="31"/>
        <v>-9.0443634770939294</v>
      </c>
    </row>
    <row r="157" spans="1:21" x14ac:dyDescent="0.3">
      <c r="A157" s="22">
        <v>148</v>
      </c>
      <c r="B157" s="22" cm="1">
        <f t="array" ref="B157">KCASConv($K$4,A157,2)</f>
        <v>147.62281799316406</v>
      </c>
      <c r="C157" s="33" cm="1">
        <f t="array" ref="C157">KCASConv($K$4,A157,1)</f>
        <v>165.22540283203125</v>
      </c>
      <c r="D157" s="33">
        <f t="shared" si="21"/>
        <v>84.992491168740358</v>
      </c>
      <c r="E157" s="33">
        <f t="shared" si="22"/>
        <v>305.97296820746527</v>
      </c>
      <c r="F157" s="32" cm="1">
        <f t="array" ref="F157">KCASConv($K$4,A157,0)</f>
        <v>0.25927019119262695</v>
      </c>
      <c r="G157" s="32">
        <f t="shared" si="23"/>
        <v>3283.558167127931</v>
      </c>
      <c r="H157" s="32">
        <f t="shared" si="24"/>
        <v>0.18830076962189679</v>
      </c>
      <c r="I157" s="32">
        <f t="shared" ref="I157:I159" si="36">(H157-$E$9)/$E$10*180/PI()</f>
        <v>-0.12586956768408145</v>
      </c>
      <c r="J157" s="38">
        <f t="shared" si="34"/>
        <v>0.03</v>
      </c>
      <c r="K157" s="39">
        <f t="shared" si="35"/>
        <v>5.1327847191072051E-6</v>
      </c>
      <c r="L157" s="31">
        <f t="shared" si="25"/>
        <v>3.0005132784719106E-2</v>
      </c>
      <c r="M157" s="31">
        <f t="shared" si="26"/>
        <v>6.2756186074201894</v>
      </c>
      <c r="N157" s="40">
        <f t="shared" si="27"/>
        <v>2.7232191320715144</v>
      </c>
      <c r="O157" s="40">
        <f t="shared" si="28"/>
        <v>14.46207117230413</v>
      </c>
      <c r="P157" s="42">
        <f t="shared" si="29"/>
        <v>936.95942469282363</v>
      </c>
      <c r="Q157" s="41">
        <f t="shared" si="30"/>
        <v>79.634515628672858</v>
      </c>
      <c r="T157" s="41">
        <f t="shared" si="32"/>
        <v>-13.543284970862731</v>
      </c>
      <c r="U157" s="40">
        <f t="shared" si="31"/>
        <v>-9.1689865780279867</v>
      </c>
    </row>
    <row r="158" spans="1:21" x14ac:dyDescent="0.3">
      <c r="A158" s="22">
        <v>149</v>
      </c>
      <c r="B158" s="22" cm="1">
        <f t="array" ref="B158">KCASConv($K$4,A158,2)</f>
        <v>148.61521911621094</v>
      </c>
      <c r="C158" s="33" cm="1">
        <f t="array" ref="C158">KCASConv($K$4,A158,1)</f>
        <v>166.33706665039063</v>
      </c>
      <c r="D158" s="33">
        <f t="shared" ref="D158:D159" si="37">C158/1.944</f>
        <v>85.564334696703</v>
      </c>
      <c r="E158" s="33">
        <f t="shared" ref="E158:E159" si="38">3.6*D158</f>
        <v>308.03160490813082</v>
      </c>
      <c r="F158" s="32" cm="1">
        <f t="array" ref="F158">KCASConv($K$4,A158,0)</f>
        <v>0.26101461052894592</v>
      </c>
      <c r="G158" s="32">
        <f t="shared" ref="G158:G159" si="39">0.5*$K$6*D158^2</f>
        <v>3327.8914520180274</v>
      </c>
      <c r="H158" s="32">
        <f t="shared" ref="H158:H159" si="40">$E$4/(G158*$E$5)</f>
        <v>0.18579227684650601</v>
      </c>
      <c r="I158" s="32">
        <f t="shared" si="36"/>
        <v>-0.15285791571832796</v>
      </c>
      <c r="J158" s="38">
        <f t="shared" si="34"/>
        <v>0.03</v>
      </c>
      <c r="K158" s="39">
        <f t="shared" si="35"/>
        <v>7.5698528127541453E-6</v>
      </c>
      <c r="L158" s="31">
        <f t="shared" ref="L158:L159" si="41">J158+K158</f>
        <v>3.0007569852812752E-2</v>
      </c>
      <c r="M158" s="31">
        <f t="shared" ref="M158:M159" si="42">H158/L158</f>
        <v>6.1915135999955293</v>
      </c>
      <c r="N158" s="40">
        <f t="shared" ref="N158:N159" si="43">H158^1.5/L158</f>
        <v>2.668767005298617</v>
      </c>
      <c r="O158" s="40">
        <f t="shared" ref="O158:O159" si="44">H158^0.5/L158</f>
        <v>14.364251574910417</v>
      </c>
      <c r="P158" s="42">
        <f t="shared" ref="P158:P159" si="45">G158*$E$5*L158</f>
        <v>949.68700383767953</v>
      </c>
      <c r="Q158" s="41">
        <f t="shared" ref="Q158:Q159" si="46">P158*D158/1000</f>
        <v>81.259336653476282</v>
      </c>
      <c r="T158" s="41">
        <f t="shared" si="32"/>
        <v>-13.819615077121815</v>
      </c>
      <c r="U158" s="40">
        <f t="shared" ref="U158:U159" si="47">ASIN(T158/D158)*180/PI()</f>
        <v>-9.2946338933945452</v>
      </c>
    </row>
    <row r="159" spans="1:21" x14ac:dyDescent="0.3">
      <c r="A159" s="22">
        <v>150</v>
      </c>
      <c r="B159" s="22" cm="1">
        <f t="array" ref="B159">KCASConv($K$4,A159,2)</f>
        <v>149.60752868652344</v>
      </c>
      <c r="C159" s="33" cm="1">
        <f t="array" ref="C159">KCASConv($K$4,A159,1)</f>
        <v>167.44863891601563</v>
      </c>
      <c r="D159" s="33">
        <f t="shared" si="37"/>
        <v>86.136131129637675</v>
      </c>
      <c r="E159" s="33">
        <f t="shared" si="38"/>
        <v>310.09007206669565</v>
      </c>
      <c r="F159" s="32" cm="1">
        <f t="array" ref="F159">KCASConv($K$4,A159,0)</f>
        <v>0.26275888085365295</v>
      </c>
      <c r="G159" s="32">
        <f t="shared" si="39"/>
        <v>3372.5183306388485</v>
      </c>
      <c r="H159" s="32">
        <f t="shared" si="40"/>
        <v>0.18333377890086419</v>
      </c>
      <c r="I159" s="32">
        <f t="shared" si="36"/>
        <v>-0.17930837985734671</v>
      </c>
      <c r="J159" s="38">
        <f t="shared" si="34"/>
        <v>0.03</v>
      </c>
      <c r="K159" s="39">
        <f t="shared" si="35"/>
        <v>1.0416282291931868E-5</v>
      </c>
      <c r="L159" s="31">
        <f t="shared" si="41"/>
        <v>3.0010416282291931E-2</v>
      </c>
      <c r="M159" s="31">
        <f t="shared" si="42"/>
        <v>6.1090048593908666</v>
      </c>
      <c r="N159" s="40">
        <f t="shared" si="43"/>
        <v>2.6157227866815154</v>
      </c>
      <c r="O159" s="40">
        <f t="shared" si="44"/>
        <v>14.267544161056861</v>
      </c>
      <c r="P159" s="42">
        <f t="shared" si="45"/>
        <v>962.51355750047628</v>
      </c>
      <c r="Q159" s="41">
        <f t="shared" si="46"/>
        <v>82.907194002915077</v>
      </c>
      <c r="T159" s="41">
        <f t="shared" ref="T159" si="48">-1000*Q159/$E$4</f>
        <v>-14.099862925665828</v>
      </c>
      <c r="U159" s="40">
        <f t="shared" si="47"/>
        <v>-9.4213039306705539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6880-64CF-4B52-B8A3-6B45C955EA42}">
  <sheetPr codeName="Sheet3"/>
  <dimension ref="A1:AG789"/>
  <sheetViews>
    <sheetView topLeftCell="A13" zoomScale="61" zoomScaleNormal="61" workbookViewId="0">
      <selection activeCell="X37" sqref="X37"/>
    </sheetView>
  </sheetViews>
  <sheetFormatPr defaultRowHeight="14.4" x14ac:dyDescent="0.3"/>
  <cols>
    <col min="2" max="3" width="11.88671875" bestFit="1" customWidth="1"/>
    <col min="4" max="4" width="10" bestFit="1" customWidth="1"/>
    <col min="13" max="13" width="10.21875" bestFit="1" customWidth="1"/>
  </cols>
  <sheetData>
    <row r="1" spans="1:33" ht="36.6" x14ac:dyDescent="0.3">
      <c r="A1" s="6" t="s">
        <v>126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ht="18" x14ac:dyDescent="0.3">
      <c r="A2" s="46" t="s">
        <v>147</v>
      </c>
      <c r="B2" s="16"/>
      <c r="C2" s="16"/>
      <c r="D2" s="16"/>
      <c r="E2" s="16"/>
      <c r="F2" s="16"/>
      <c r="G2" s="16"/>
      <c r="H2" s="16"/>
      <c r="I2" s="14"/>
      <c r="J2" s="46" t="s">
        <v>148</v>
      </c>
      <c r="K2" s="16"/>
      <c r="L2" s="16"/>
      <c r="M2" s="16"/>
      <c r="N2" s="16"/>
      <c r="O2" s="16"/>
      <c r="P2" s="16"/>
      <c r="Q2" s="16"/>
      <c r="R2" s="46" t="s">
        <v>144</v>
      </c>
      <c r="S2" s="16"/>
      <c r="T2" s="16"/>
      <c r="U2" s="16"/>
      <c r="V2" s="16"/>
      <c r="W2" s="16"/>
      <c r="X2" s="16"/>
      <c r="Y2" s="16"/>
      <c r="Z2" s="16"/>
      <c r="AA2" s="16"/>
      <c r="AB2" s="16"/>
    </row>
    <row r="3" spans="1:33" ht="20.399999999999999" x14ac:dyDescent="0.3">
      <c r="A3" s="16" t="s">
        <v>127</v>
      </c>
      <c r="B3" s="16"/>
      <c r="C3" s="16"/>
      <c r="D3" s="2" t="s">
        <v>132</v>
      </c>
      <c r="E3" s="26">
        <v>12000</v>
      </c>
      <c r="F3" s="16" t="s">
        <v>129</v>
      </c>
      <c r="G3" s="16"/>
      <c r="H3" s="16"/>
      <c r="I3" s="14"/>
      <c r="J3" s="16"/>
      <c r="K3" s="16"/>
      <c r="L3" s="16"/>
      <c r="M3" s="16"/>
      <c r="N3" s="16"/>
      <c r="O3" s="16"/>
      <c r="P3" s="16"/>
      <c r="Q3" s="16"/>
      <c r="R3" s="16" t="s">
        <v>149</v>
      </c>
      <c r="S3" s="16"/>
      <c r="T3" s="16"/>
      <c r="U3" s="2" t="s">
        <v>152</v>
      </c>
      <c r="V3" s="16" cm="1">
        <f t="array" ref="V3">atmos(E4,12)</f>
        <v>0.8491167426109314</v>
      </c>
      <c r="W3" s="16" t="s">
        <v>52</v>
      </c>
      <c r="X3" s="16"/>
      <c r="Y3" s="16"/>
      <c r="Z3" s="16"/>
      <c r="AA3" s="16"/>
      <c r="AB3" s="16"/>
    </row>
    <row r="4" spans="1:33" ht="20.399999999999999" x14ac:dyDescent="0.3">
      <c r="A4" s="16" t="s">
        <v>128</v>
      </c>
      <c r="B4" s="16"/>
      <c r="C4" s="16"/>
      <c r="D4" s="2" t="s">
        <v>133</v>
      </c>
      <c r="E4" s="49">
        <f>E3*0.3048</f>
        <v>3657.6000000000004</v>
      </c>
      <c r="F4" s="16" t="s">
        <v>2</v>
      </c>
      <c r="G4" s="16"/>
      <c r="H4" s="16"/>
      <c r="I4" s="14"/>
      <c r="J4" s="16" t="s">
        <v>170</v>
      </c>
      <c r="K4" s="16"/>
      <c r="L4" s="16"/>
      <c r="M4" s="2" t="s">
        <v>171</v>
      </c>
      <c r="N4" s="26">
        <v>800</v>
      </c>
      <c r="O4" s="16" t="s">
        <v>2</v>
      </c>
      <c r="P4" s="16"/>
      <c r="Q4" s="16"/>
      <c r="R4" s="16" t="s">
        <v>150</v>
      </c>
      <c r="S4" s="16"/>
      <c r="T4" s="16"/>
      <c r="U4" s="2" t="s">
        <v>153</v>
      </c>
      <c r="V4" s="16">
        <f>0.5*V3*E10</f>
        <v>20.047660674218424</v>
      </c>
      <c r="W4" s="16" t="s">
        <v>84</v>
      </c>
      <c r="X4" s="16"/>
      <c r="Y4" s="16"/>
      <c r="Z4" s="16"/>
      <c r="AA4" s="16"/>
      <c r="AB4" s="16"/>
    </row>
    <row r="5" spans="1:33" ht="20.399999999999999" x14ac:dyDescent="0.35">
      <c r="A5" s="16" t="s">
        <v>130</v>
      </c>
      <c r="B5" s="16"/>
      <c r="C5" s="16"/>
      <c r="D5" s="2" t="s">
        <v>135</v>
      </c>
      <c r="E5" s="26">
        <v>80</v>
      </c>
      <c r="F5" s="16" t="s">
        <v>22</v>
      </c>
      <c r="G5" s="16"/>
      <c r="H5" s="16"/>
      <c r="I5" s="18"/>
      <c r="J5" s="16" t="s">
        <v>158</v>
      </c>
      <c r="K5" s="16"/>
      <c r="L5" s="16"/>
      <c r="M5" s="2" t="s">
        <v>172</v>
      </c>
      <c r="N5" s="26">
        <v>100</v>
      </c>
      <c r="O5" s="16" t="s">
        <v>2</v>
      </c>
      <c r="P5" s="16"/>
      <c r="Q5" s="16"/>
      <c r="R5" s="16" t="s">
        <v>154</v>
      </c>
      <c r="S5" s="16"/>
      <c r="T5" s="16"/>
      <c r="U5" s="2" t="s">
        <v>155</v>
      </c>
      <c r="V5" s="16">
        <f>0.5*V3*E11</f>
        <v>25.048337217892374</v>
      </c>
      <c r="W5" s="16" t="s">
        <v>84</v>
      </c>
      <c r="X5" s="16"/>
      <c r="Y5" s="16"/>
      <c r="Z5" s="16"/>
      <c r="AA5" s="16"/>
      <c r="AB5" s="16"/>
    </row>
    <row r="6" spans="1:33" ht="20.399999999999999" x14ac:dyDescent="0.35">
      <c r="A6" s="16" t="s">
        <v>131</v>
      </c>
      <c r="B6" s="16"/>
      <c r="C6" s="16"/>
      <c r="D6" s="2" t="s">
        <v>134</v>
      </c>
      <c r="E6" s="26">
        <v>100</v>
      </c>
      <c r="F6" s="16" t="s">
        <v>22</v>
      </c>
      <c r="G6" s="16"/>
      <c r="H6" s="16"/>
      <c r="I6" s="18"/>
      <c r="J6" s="16"/>
      <c r="K6" s="16"/>
      <c r="L6" s="16"/>
      <c r="M6" s="2" t="s">
        <v>168</v>
      </c>
      <c r="N6" s="26">
        <v>0.3</v>
      </c>
      <c r="O6" s="16" t="s">
        <v>7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33" ht="19.8" x14ac:dyDescent="0.35">
      <c r="A7" s="16" t="s">
        <v>136</v>
      </c>
      <c r="B7" s="16"/>
      <c r="C7" s="16"/>
      <c r="D7" s="2"/>
      <c r="E7" s="26">
        <v>180</v>
      </c>
      <c r="F7" s="16" t="s">
        <v>8</v>
      </c>
      <c r="G7" s="16"/>
      <c r="H7" s="16"/>
      <c r="I7" s="18"/>
      <c r="J7" s="16"/>
      <c r="K7" s="16"/>
      <c r="L7" s="16"/>
      <c r="M7" s="2" t="s">
        <v>53</v>
      </c>
      <c r="N7" s="25" cm="1">
        <f t="array" ref="N7">atmos(N4,12)</f>
        <v>1.1336381435394287</v>
      </c>
      <c r="O7" s="16" t="s">
        <v>52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  <row r="8" spans="1:33" ht="20.399999999999999" x14ac:dyDescent="0.35">
      <c r="A8" s="16" t="s">
        <v>137</v>
      </c>
      <c r="B8" s="16"/>
      <c r="C8" s="16"/>
      <c r="D8" s="2" t="s">
        <v>138</v>
      </c>
      <c r="E8" s="26">
        <v>90</v>
      </c>
      <c r="F8" s="16" t="s">
        <v>19</v>
      </c>
      <c r="G8" s="16"/>
      <c r="H8" s="16"/>
      <c r="I8" s="18"/>
      <c r="J8" s="16"/>
      <c r="K8" s="16"/>
      <c r="L8" s="16"/>
      <c r="M8" s="16" t="s">
        <v>160</v>
      </c>
      <c r="N8" s="25">
        <f>Performance!E15</f>
        <v>2</v>
      </c>
      <c r="O8" s="16" t="s">
        <v>7</v>
      </c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33" ht="20.399999999999999" x14ac:dyDescent="0.35">
      <c r="A9" s="16"/>
      <c r="B9" s="16"/>
      <c r="C9" s="16"/>
      <c r="D9" s="16"/>
      <c r="E9" s="48"/>
      <c r="F9" s="16"/>
      <c r="G9" s="16"/>
      <c r="H9" s="16"/>
      <c r="I9" s="18"/>
      <c r="J9" s="16"/>
      <c r="K9" s="16"/>
      <c r="L9" s="16"/>
      <c r="M9" s="16" t="s">
        <v>165</v>
      </c>
      <c r="N9" s="25">
        <f>Performance!E17</f>
        <v>0.1</v>
      </c>
      <c r="O9" s="16" t="s">
        <v>7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</row>
    <row r="10" spans="1:33" ht="20.399999999999999" x14ac:dyDescent="0.35">
      <c r="A10" s="16" t="s">
        <v>139</v>
      </c>
      <c r="B10" s="16"/>
      <c r="C10" s="16"/>
      <c r="D10" s="2" t="s">
        <v>141</v>
      </c>
      <c r="E10" s="27" cm="1">
        <f t="array" ref="E10">KCASConv($E$4,E5,1)/1.944</f>
        <v>47.220033873255851</v>
      </c>
      <c r="F10" s="16" t="s">
        <v>143</v>
      </c>
      <c r="G10" s="16"/>
      <c r="H10" s="16"/>
      <c r="I10" s="18"/>
      <c r="J10" s="16"/>
      <c r="K10" s="16"/>
      <c r="L10" s="16"/>
      <c r="M10" s="2" t="s">
        <v>166</v>
      </c>
      <c r="N10" s="25">
        <f>Performance!E14</f>
        <v>0.7</v>
      </c>
      <c r="O10" s="16" t="s">
        <v>7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</row>
    <row r="11" spans="1:33" ht="20.399999999999999" x14ac:dyDescent="0.35">
      <c r="A11" s="16" t="s">
        <v>140</v>
      </c>
      <c r="B11" s="16"/>
      <c r="C11" s="16"/>
      <c r="D11" s="2" t="s">
        <v>142</v>
      </c>
      <c r="E11" s="27" cm="1">
        <f t="array" ref="E11">KCASConv($E$4,E6,1)/1.944</f>
        <v>58.99857101126463</v>
      </c>
      <c r="F11" s="16" t="s">
        <v>143</v>
      </c>
      <c r="G11" s="16"/>
      <c r="H11" s="16"/>
      <c r="I11" s="18"/>
      <c r="J11" s="16"/>
      <c r="K11" s="16"/>
      <c r="L11" s="16"/>
      <c r="M11" s="2" t="s">
        <v>167</v>
      </c>
      <c r="N11" s="25">
        <f>Performance!E16</f>
        <v>0.04</v>
      </c>
      <c r="O11" s="16" t="s">
        <v>7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1:33" ht="18" x14ac:dyDescent="0.35">
      <c r="A12" s="16"/>
      <c r="B12" s="16"/>
      <c r="C12" s="16"/>
      <c r="D12" s="16"/>
      <c r="E12" s="16"/>
      <c r="F12" s="16"/>
      <c r="G12" s="16"/>
      <c r="H12" s="16"/>
      <c r="I12" s="18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</row>
    <row r="13" spans="1:33" ht="18" x14ac:dyDescent="0.35">
      <c r="A13" s="16"/>
      <c r="B13" s="16"/>
      <c r="C13" s="16"/>
      <c r="D13" s="16"/>
      <c r="E13" s="16"/>
      <c r="F13" s="16"/>
      <c r="G13" s="16"/>
      <c r="H13" s="16"/>
      <c r="I13" s="18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</row>
    <row r="14" spans="1:33" ht="18" x14ac:dyDescent="0.35">
      <c r="A14" s="16"/>
      <c r="B14" s="16"/>
      <c r="C14" s="16"/>
      <c r="D14" s="16"/>
      <c r="E14" s="16"/>
      <c r="F14" s="16"/>
      <c r="G14" s="16"/>
      <c r="H14" s="16"/>
      <c r="I14" s="18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1:33" ht="18" x14ac:dyDescent="0.35">
      <c r="A15" s="16"/>
      <c r="B15" s="16"/>
      <c r="C15" s="16"/>
      <c r="D15" s="16"/>
      <c r="E15" s="16"/>
      <c r="F15" s="16"/>
      <c r="G15" s="16"/>
      <c r="H15" s="16"/>
      <c r="I15" s="18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</row>
    <row r="16" spans="1:33" ht="18" x14ac:dyDescent="0.35">
      <c r="A16" s="16"/>
      <c r="B16" s="16"/>
      <c r="C16" s="16"/>
      <c r="D16" s="16"/>
      <c r="E16" s="16"/>
      <c r="F16" s="16"/>
      <c r="G16" s="16"/>
      <c r="H16" s="16"/>
      <c r="I16" s="18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</row>
    <row r="20" spans="1:4" ht="18" x14ac:dyDescent="0.3">
      <c r="A20" s="35" t="s">
        <v>145</v>
      </c>
      <c r="B20" s="35" t="s">
        <v>156</v>
      </c>
      <c r="C20" s="35" t="s">
        <v>157</v>
      </c>
      <c r="D20" s="35" t="s">
        <v>169</v>
      </c>
    </row>
    <row r="21" spans="1:4" ht="17.399999999999999" x14ac:dyDescent="0.3">
      <c r="A21" s="36" t="s">
        <v>146</v>
      </c>
    </row>
    <row r="22" spans="1:4" x14ac:dyDescent="0.3">
      <c r="A22" s="51">
        <v>1</v>
      </c>
      <c r="B22" s="50">
        <f>$V$4*Performance!$E$12*(1/A22)+Performance!$E$23*(1/Constraints!$V$4)*Constraints!A22</f>
        <v>0.60330039365258281</v>
      </c>
      <c r="C22" s="50">
        <f>$V$5*Performance!$E$12*(1/A22)+Performance!$E$23*(1/Constraints!$V$5)*Constraints!A22</f>
        <v>0.75294724670493562</v>
      </c>
      <c r="D22" s="52">
        <f>1.21/(9.8*$N$7*$N$8*$N$5)*A22+0.605/$N$8*($N$11-$N$6*$N$10)+$N$6</f>
        <v>0.2491195714245712</v>
      </c>
    </row>
    <row r="23" spans="1:4" x14ac:dyDescent="0.3">
      <c r="A23" s="51">
        <v>1.5</v>
      </c>
      <c r="B23" s="50">
        <f>$V$4*Performance!$E$12*(1/A23)+Performance!$E$23*(1/Constraints!$V$4)*Constraints!A23</f>
        <v>0.40375907362341357</v>
      </c>
      <c r="C23" s="50">
        <f>$V$5*Performance!$E$12*(1/A23)+Performance!$E$23*(1/Constraints!$V$5)*Constraints!A23</f>
        <v>0.50321243961009399</v>
      </c>
      <c r="D23" s="52">
        <f t="shared" ref="D23:D86" si="0">1.21/(9.8*$N$7*$N$8*$N$5)*A23+0.605/$N$8*($N$11-$N$6*$N$10)+$N$6</f>
        <v>0.2493918571368568</v>
      </c>
    </row>
    <row r="24" spans="1:4" x14ac:dyDescent="0.3">
      <c r="A24" s="51">
        <v>2</v>
      </c>
      <c r="B24" s="50">
        <f>$V$4*Performance!$E$12*(1/A24)+Performance!$E$23*(1/Constraints!$V$4)*Constraints!A24</f>
        <v>0.30445605696533656</v>
      </c>
      <c r="C24" s="50">
        <f>$V$5*Performance!$E$12*(1/A24)+Performance!$E$23*(1/Constraints!$V$5)*Constraints!A24</f>
        <v>0.37871931860471442</v>
      </c>
      <c r="D24" s="52">
        <f t="shared" si="0"/>
        <v>0.2496641428491424</v>
      </c>
    </row>
    <row r="25" spans="1:4" x14ac:dyDescent="0.3">
      <c r="A25" s="51">
        <v>2.5</v>
      </c>
      <c r="B25" s="50">
        <f>$V$4*Performance!$E$12*(1/A25)+Performance!$E$23*(1/Constraints!$V$4)*Constraints!A25</f>
        <v>0.24524836165569636</v>
      </c>
      <c r="C25" s="50">
        <f>$V$5*Performance!$E$12*(1/A25)+Performance!$E$23*(1/Constraints!$V$5)*Constraints!A25</f>
        <v>0.30432287203511948</v>
      </c>
      <c r="D25" s="52">
        <f t="shared" si="0"/>
        <v>0.24993642856142798</v>
      </c>
    </row>
    <row r="26" spans="1:4" x14ac:dyDescent="0.3">
      <c r="A26" s="51">
        <v>3</v>
      </c>
      <c r="B26" s="50">
        <f>$V$4*Performance!$E$12*(1/A26)+Performance!$E$23*(1/Constraints!$V$4)*Constraints!A26</f>
        <v>0.20608832702027452</v>
      </c>
      <c r="C26" s="50">
        <f>$V$5*Performance!$E$12*(1/A26)+Performance!$E$23*(1/Constraints!$V$5)*Constraints!A26</f>
        <v>0.2549747626834169</v>
      </c>
      <c r="D26" s="52">
        <f t="shared" si="0"/>
        <v>0.25020871427371361</v>
      </c>
    </row>
    <row r="27" spans="1:4" x14ac:dyDescent="0.3">
      <c r="A27" s="51">
        <v>3.5</v>
      </c>
      <c r="B27" s="50">
        <f>$V$4*Performance!$E$12*(1/A27)+Performance!$E$23*(1/Constraints!$V$4)*Constraints!A27</f>
        <v>0.17838409848440615</v>
      </c>
      <c r="C27" s="50">
        <f>$V$5*Performance!$E$12*(1/A27)+Performance!$E$23*(1/Constraints!$V$5)*Constraints!A27</f>
        <v>0.21993998888479574</v>
      </c>
      <c r="D27" s="52">
        <f t="shared" si="0"/>
        <v>0.25048099998599915</v>
      </c>
    </row>
    <row r="28" spans="1:4" x14ac:dyDescent="0.3">
      <c r="A28" s="51">
        <v>4</v>
      </c>
      <c r="B28" s="50">
        <f>$V$4*Performance!$E$12*(1/A28)+Performance!$E$23*(1/Constraints!$V$4)*Constraints!A28</f>
        <v>0.1578397487607586</v>
      </c>
      <c r="C28" s="50">
        <f>$V$5*Performance!$E$12*(1/A28)+Performance!$E$23*(1/Constraints!$V$5)*Constraints!A28</f>
        <v>0.19385104980685039</v>
      </c>
      <c r="D28" s="52">
        <f t="shared" si="0"/>
        <v>0.25075328569828476</v>
      </c>
    </row>
    <row r="29" spans="1:4" x14ac:dyDescent="0.3">
      <c r="A29" s="51">
        <v>4.5</v>
      </c>
      <c r="B29" s="50">
        <f>$V$4*Performance!$E$12*(1/A29)+Performance!$E$23*(1/Constraints!$V$4)*Constraints!A29</f>
        <v>0.14206865157859161</v>
      </c>
      <c r="C29" s="50">
        <f>$V$5*Performance!$E$12*(1/A29)+Performance!$E$23*(1/Constraints!$V$5)*Constraints!A29</f>
        <v>0.17372600054268897</v>
      </c>
      <c r="D29" s="52">
        <f t="shared" si="0"/>
        <v>0.25102557141057036</v>
      </c>
    </row>
    <row r="30" spans="1:4" x14ac:dyDescent="0.3">
      <c r="A30" s="51">
        <v>5</v>
      </c>
      <c r="B30" s="50">
        <f>$V$4*Performance!$E$12*(1/A30)+Performance!$E$23*(1/Constraints!$V$4)*Constraints!A30</f>
        <v>0.12963883117546107</v>
      </c>
      <c r="C30" s="50">
        <f>$V$5*Performance!$E$12*(1/A30)+Performance!$E$23*(1/Constraints!$V$5)*Constraints!A30</f>
        <v>0.15777567414817625</v>
      </c>
      <c r="D30" s="52">
        <f t="shared" si="0"/>
        <v>0.25129785712285596</v>
      </c>
    </row>
    <row r="31" spans="1:4" x14ac:dyDescent="0.3">
      <c r="A31" s="51">
        <v>5.5</v>
      </c>
      <c r="B31" s="50">
        <f>$V$4*Performance!$E$12*(1/A31)+Performance!$E$23*(1/Constraints!$V$4)*Constraints!A31</f>
        <v>0.11963903024799334</v>
      </c>
      <c r="C31" s="50">
        <f>$V$5*Performance!$E$12*(1/A31)+Performance!$E$23*(1/Constraints!$V$5)*Constraints!A31</f>
        <v>0.14486150984068077</v>
      </c>
      <c r="D31" s="52">
        <f t="shared" si="0"/>
        <v>0.25157014283514156</v>
      </c>
    </row>
    <row r="32" spans="1:4" x14ac:dyDescent="0.3">
      <c r="A32" s="51">
        <v>6</v>
      </c>
      <c r="B32" s="50">
        <f>$V$4*Performance!$E$12*(1/A32)+Performance!$E$23*(1/Constraints!$V$4)*Constraints!A32</f>
        <v>0.11146174392727275</v>
      </c>
      <c r="C32" s="50">
        <f>$V$5*Performance!$E$12*(1/A32)+Performance!$E$23*(1/Constraints!$V$5)*Constraints!A32</f>
        <v>0.13422446709844824</v>
      </c>
      <c r="D32" s="52">
        <f t="shared" si="0"/>
        <v>0.25184242854742717</v>
      </c>
    </row>
    <row r="33" spans="1:4" x14ac:dyDescent="0.3">
      <c r="A33" s="51">
        <v>6.5</v>
      </c>
      <c r="B33" s="50">
        <f>$V$4*Performance!$E$12*(1/A33)+Performance!$E$23*(1/Constraints!$V$4)*Constraints!A33</f>
        <v>0.10468639191943457</v>
      </c>
      <c r="C33" s="50">
        <f>$V$5*Performance!$E$12*(1/A33)+Performance!$E$23*(1/Constraints!$V$5)*Constraints!A33</f>
        <v>0.12533905632949494</v>
      </c>
      <c r="D33" s="52">
        <f t="shared" si="0"/>
        <v>0.25211471425971277</v>
      </c>
    </row>
    <row r="34" spans="1:4" x14ac:dyDescent="0.3">
      <c r="A34" s="51">
        <v>7</v>
      </c>
      <c r="B34" s="50">
        <f>$V$4*Performance!$E$12*(1/A34)+Performance!$E$23*(1/Constraints!$V$4)*Constraints!A34</f>
        <v>9.9012559728861138E-2</v>
      </c>
      <c r="C34" s="50">
        <f>$V$5*Performance!$E$12*(1/A34)+Performance!$E$23*(1/Constraints!$V$5)*Constraints!A34</f>
        <v>0.11782992782526097</v>
      </c>
      <c r="D34" s="52">
        <f t="shared" si="0"/>
        <v>0.25238699997199837</v>
      </c>
    </row>
    <row r="35" spans="1:4" x14ac:dyDescent="0.3">
      <c r="A35" s="51">
        <v>7.5</v>
      </c>
      <c r="B35" s="50">
        <f>$V$4*Performance!$E$12*(1/A35)+Performance!$E$23*(1/Constraints!$V$4)*Constraints!A35</f>
        <v>9.4219943392099492E-2</v>
      </c>
      <c r="C35" s="50">
        <f>$V$5*Performance!$E$12*(1/A35)+Performance!$E$23*(1/Constraints!$V$5)*Constraints!A35</f>
        <v>0.11142182513280249</v>
      </c>
      <c r="D35" s="52">
        <f t="shared" si="0"/>
        <v>0.25265928568428397</v>
      </c>
    </row>
    <row r="36" spans="1:4" x14ac:dyDescent="0.3">
      <c r="A36" s="51">
        <v>8</v>
      </c>
      <c r="B36" s="50">
        <f>$V$4*Performance!$E$12*(1/A36)+Performance!$E$23*(1/Constraints!$V$4)*Constraints!A36</f>
        <v>9.0143314936559943E-2</v>
      </c>
      <c r="C36" s="50">
        <f>$V$5*Performance!$E$12*(1/A36)+Performance!$E$23*(1/Constraints!$V$5)*Constraints!A36</f>
        <v>0.1059083059124116</v>
      </c>
      <c r="D36" s="52">
        <f t="shared" si="0"/>
        <v>0.25293157139656952</v>
      </c>
    </row>
    <row r="37" spans="1:4" x14ac:dyDescent="0.3">
      <c r="A37" s="51">
        <v>8.5</v>
      </c>
      <c r="B37" s="50">
        <f>$V$4*Performance!$E$12*(1/A37)+Performance!$E$23*(1/Constraints!$V$4)*Constraints!A37</f>
        <v>8.665632355967387E-2</v>
      </c>
      <c r="C37" s="50">
        <f>$V$5*Performance!$E$12*(1/A37)+Performance!$E$23*(1/Constraints!$V$5)*Constraints!A37</f>
        <v>0.10113150249254696</v>
      </c>
      <c r="D37" s="52">
        <f t="shared" si="0"/>
        <v>0.25320385710885512</v>
      </c>
    </row>
    <row r="38" spans="1:4" x14ac:dyDescent="0.3">
      <c r="A38" s="51">
        <v>9</v>
      </c>
      <c r="B38" s="50">
        <f>$V$4*Performance!$E$12*(1/A38)+Performance!$E$23*(1/Constraints!$V$4)*Constraints!A38</f>
        <v>8.3660696414999042E-2</v>
      </c>
      <c r="C38" s="50">
        <f>$V$5*Performance!$E$12*(1/A38)+Performance!$E$23*(1/Constraints!$V$5)*Constraints!A38</f>
        <v>9.6968628906454177E-2</v>
      </c>
      <c r="D38" s="52">
        <f t="shared" si="0"/>
        <v>0.25347614282114073</v>
      </c>
    </row>
    <row r="39" spans="1:4" x14ac:dyDescent="0.3">
      <c r="A39" s="51">
        <v>9.5</v>
      </c>
      <c r="B39" s="50">
        <f>$V$4*Performance!$E$12*(1/A39)+Performance!$E$23*(1/Constraints!$V$4)*Constraints!A39</f>
        <v>8.1078849676396836E-2</v>
      </c>
      <c r="C39" s="50">
        <f>$V$5*Performance!$E$12*(1/A39)+Performance!$E$23*(1/Constraints!$V$5)*Constraints!A39</f>
        <v>9.3322748864590341E-2</v>
      </c>
      <c r="D39" s="52">
        <f t="shared" si="0"/>
        <v>0.25374842853342633</v>
      </c>
    </row>
    <row r="40" spans="1:4" x14ac:dyDescent="0.3">
      <c r="A40" s="51">
        <v>10</v>
      </c>
      <c r="B40" s="50">
        <f>$V$4*Performance!$E$12*(1/A40)+Performance!$E$23*(1/Constraints!$V$4)*Constraints!A40</f>
        <v>7.8848716282956352E-2</v>
      </c>
      <c r="C40" s="50">
        <f>$V$5*Performance!$E$12*(1/A40)+Performance!$E$23*(1/Constraints!$V$5)*Constraints!A40</f>
        <v>9.0116313335321122E-2</v>
      </c>
      <c r="D40" s="52">
        <f t="shared" si="0"/>
        <v>0.25402071424571193</v>
      </c>
    </row>
    <row r="41" spans="1:4" x14ac:dyDescent="0.3">
      <c r="A41" s="51">
        <v>10.5</v>
      </c>
      <c r="B41" s="50">
        <f>$V$4*Performance!$E$12*(1/A41)+Performance!$E$23*(1/Constraints!$V$4)*Constraints!A41</f>
        <v>7.6920051471083051E-2</v>
      </c>
      <c r="C41" s="50">
        <f>$V$5*Performance!$E$12*(1/A41)+Performance!$E$23*(1/Constraints!$V$5)*Constraints!A41</f>
        <v>8.7286544531132979E-2</v>
      </c>
      <c r="D41" s="52">
        <f t="shared" si="0"/>
        <v>0.25429299995799753</v>
      </c>
    </row>
    <row r="42" spans="1:4" x14ac:dyDescent="0.3">
      <c r="A42" s="51">
        <v>11</v>
      </c>
      <c r="B42" s="50">
        <f>$V$4*Performance!$E$12*(1/A42)+Performance!$E$23*(1/Constraints!$V$4)*Constraints!A42</f>
        <v>7.5251745888745059E-2</v>
      </c>
      <c r="C42" s="50">
        <f>$V$5*Performance!$E$12*(1/A42)+Performance!$E$23*(1/Constraints!$V$5)*Constraints!A42</f>
        <v>8.4782078807696698E-2</v>
      </c>
      <c r="D42" s="52">
        <f t="shared" si="0"/>
        <v>0.25456528567028314</v>
      </c>
    </row>
    <row r="43" spans="1:4" x14ac:dyDescent="0.3">
      <c r="A43" s="51">
        <v>11.5</v>
      </c>
      <c r="B43" s="50">
        <f>$V$4*Performance!$E$12*(1/A43)+Performance!$E$23*(1/Constraints!$V$4)*Constraints!A43</f>
        <v>7.380983963643778E-2</v>
      </c>
      <c r="C43" s="50">
        <f>$V$5*Performance!$E$12*(1/A43)+Performance!$E$23*(1/Constraints!$V$5)*Constraints!A43</f>
        <v>8.2560485328392441E-2</v>
      </c>
      <c r="D43" s="52">
        <f t="shared" si="0"/>
        <v>0.25483757138256874</v>
      </c>
    </row>
    <row r="44" spans="1:4" x14ac:dyDescent="0.3">
      <c r="A44" s="51">
        <v>12</v>
      </c>
      <c r="B44" s="50">
        <f>$V$4*Performance!$E$12*(1/A44)+Performance!$E$23*(1/Constraints!$V$4)*Constraints!A44</f>
        <v>7.2566032797907354E-2</v>
      </c>
      <c r="C44" s="50">
        <f>$V$5*Performance!$E$12*(1/A44)+Performance!$E$23*(1/Constraints!$V$5)*Constraints!A44</f>
        <v>8.0586405062703731E-2</v>
      </c>
      <c r="D44" s="52">
        <f t="shared" si="0"/>
        <v>0.25510985709485434</v>
      </c>
    </row>
    <row r="45" spans="1:4" x14ac:dyDescent="0.3">
      <c r="A45" s="51">
        <v>12.5</v>
      </c>
      <c r="B45" s="50">
        <f>$V$4*Performance!$E$12*(1/A45)+Performance!$E$23*(1/Constraints!$V$4)*Constraints!A45</f>
        <v>7.149655344350056E-2</v>
      </c>
      <c r="C45" s="50">
        <f>$V$5*Performance!$E$12*(1/A45)+Performance!$E$23*(1/Constraints!$V$5)*Constraints!A45</f>
        <v>7.88301364249967E-2</v>
      </c>
      <c r="D45" s="52">
        <f t="shared" si="0"/>
        <v>0.25538214280713989</v>
      </c>
    </row>
    <row r="46" spans="1:4" x14ac:dyDescent="0.3">
      <c r="A46" s="51">
        <v>13</v>
      </c>
      <c r="B46" s="50">
        <f>$V$4*Performance!$E$12*(1/A46)+Performance!$E$23*(1/Constraints!$V$4)*Constraints!A46</f>
        <v>7.0581286863510839E-2</v>
      </c>
      <c r="C46" s="50">
        <f>$V$5*Performance!$E$12*(1/A46)+Performance!$E$23*(1/Constraints!$V$5)*Constraints!A46</f>
        <v>7.7266547304350369E-2</v>
      </c>
      <c r="D46" s="52">
        <f t="shared" si="0"/>
        <v>0.25565442851942555</v>
      </c>
    </row>
    <row r="47" spans="1:4" x14ac:dyDescent="0.3">
      <c r="A47" s="51">
        <v>13.5</v>
      </c>
      <c r="B47" s="50">
        <f>$V$4*Performance!$E$12*(1/A47)+Performance!$E$23*(1/Constraints!$V$4)*Constraints!A47</f>
        <v>6.9803098305225172E-2</v>
      </c>
      <c r="C47" s="50">
        <f>$V$5*Performance!$E$12*(1/A47)+Performance!$E$23*(1/Constraints!$V$5)*Constraints!A47</f>
        <v>7.5874228865535784E-2</v>
      </c>
      <c r="D47" s="52">
        <f t="shared" si="0"/>
        <v>0.25592671423171109</v>
      </c>
    </row>
    <row r="48" spans="1:4" x14ac:dyDescent="0.3">
      <c r="A48" s="51">
        <v>14</v>
      </c>
      <c r="B48" s="50">
        <f>$V$4*Performance!$E$12*(1/A48)+Performance!$E$23*(1/Constraints!$V$4)*Constraints!A48</f>
        <v>6.91473008377467E-2</v>
      </c>
      <c r="C48" s="50">
        <f>$V$5*Performance!$E$12*(1/A48)+Performance!$E$23*(1/Constraints!$V$5)*Constraints!A48</f>
        <v>7.4634830678356689E-2</v>
      </c>
      <c r="D48" s="52">
        <f t="shared" si="0"/>
        <v>0.2561989999439967</v>
      </c>
    </row>
    <row r="49" spans="1:4" x14ac:dyDescent="0.3">
      <c r="A49" s="51">
        <v>14.5</v>
      </c>
      <c r="B49" s="50">
        <f>$V$4*Performance!$E$12*(1/A49)+Performance!$E$23*(1/Constraints!$V$4)*Constraints!A49</f>
        <v>6.8601233313750537E-2</v>
      </c>
      <c r="C49" s="50">
        <f>$V$5*Performance!$E$12*(1/A49)+Performance!$E$23*(1/Constraints!$V$5)*Constraints!A49</f>
        <v>7.3532533406436978E-2</v>
      </c>
      <c r="D49" s="52">
        <f t="shared" si="0"/>
        <v>0.2564712856562823</v>
      </c>
    </row>
    <row r="50" spans="1:4" x14ac:dyDescent="0.3">
      <c r="A50" s="51">
        <v>15</v>
      </c>
      <c r="B50" s="50">
        <f>$V$4*Performance!$E$12*(1/A50)+Performance!$E$23*(1/Constraints!$V$4)*Constraints!A50</f>
        <v>6.8153922738888456E-2</v>
      </c>
      <c r="C50" s="50">
        <f>$V$5*Performance!$E$12*(1/A50)+Performance!$E$23*(1/Constraints!$V$5)*Constraints!A50</f>
        <v>7.2553626958250739E-2</v>
      </c>
      <c r="D50" s="52">
        <f t="shared" si="0"/>
        <v>0.2567435713685679</v>
      </c>
    </row>
    <row r="51" spans="1:4" x14ac:dyDescent="0.3">
      <c r="A51" s="51">
        <v>15.5</v>
      </c>
      <c r="B51" s="50">
        <f>$V$4*Performance!$E$12*(1/A51)+Performance!$E$23*(1/Constraints!$V$4)*Constraints!A51</f>
        <v>6.7795811989050714E-2</v>
      </c>
      <c r="C51" s="50">
        <f>$V$5*Performance!$E$12*(1/A51)+Performance!$E$23*(1/Constraints!$V$5)*Constraints!A51</f>
        <v>7.168617028633989E-2</v>
      </c>
      <c r="D51" s="52">
        <f t="shared" si="0"/>
        <v>0.2570158570808535</v>
      </c>
    </row>
    <row r="52" spans="1:4" x14ac:dyDescent="0.3">
      <c r="A52" s="51">
        <v>16</v>
      </c>
      <c r="B52" s="50">
        <f>$V$4*Performance!$E$12*(1/A52)+Performance!$E$23*(1/Constraints!$V$4)*Constraints!A52</f>
        <v>6.7518538580641274E-2</v>
      </c>
      <c r="C52" s="50">
        <f>$V$5*Performance!$E$12*(1/A52)+Performance!$E$23*(1/Constraints!$V$5)*Constraints!A52</f>
        <v>7.0919714974178608E-2</v>
      </c>
      <c r="D52" s="52">
        <f t="shared" si="0"/>
        <v>0.25728814279313911</v>
      </c>
    </row>
    <row r="53" spans="1:4" x14ac:dyDescent="0.3">
      <c r="A53" s="51">
        <v>16.5</v>
      </c>
      <c r="B53" s="50">
        <f>$V$4*Performance!$E$12*(1/A53)+Performance!$E$23*(1/Constraints!$V$4)*Constraints!A53</f>
        <v>6.731475366443937E-2</v>
      </c>
      <c r="C53" s="50">
        <f>$V$5*Performance!$E$12*(1/A53)+Performance!$E$23*(1/Constraints!$V$5)*Constraints!A53</f>
        <v>7.0245079079971462E-2</v>
      </c>
      <c r="D53" s="52">
        <f t="shared" si="0"/>
        <v>0.25756042850542471</v>
      </c>
    </row>
    <row r="54" spans="1:4" x14ac:dyDescent="0.3">
      <c r="A54" s="51">
        <v>17</v>
      </c>
      <c r="B54" s="50">
        <f>$V$4*Performance!$E$12*(1/A54)+Performance!$E$23*(1/Constraints!$V$4)*Constraints!A54</f>
        <v>6.7177972961720817E-2</v>
      </c>
      <c r="C54" s="50">
        <f>$V$5*Performance!$E$12*(1/A54)+Performance!$E$23*(1/Constraints!$V$5)*Constraints!A54</f>
        <v>6.9654160890369576E-2</v>
      </c>
      <c r="D54" s="52">
        <f t="shared" si="0"/>
        <v>0.25783271421771031</v>
      </c>
    </row>
    <row r="55" spans="1:4" x14ac:dyDescent="0.3">
      <c r="A55" s="51">
        <v>17.5</v>
      </c>
      <c r="B55" s="50">
        <f>$V$4*Performance!$E$12*(1/A55)+Performance!$E$23*(1/Constraints!$V$4)*Constraints!A55</f>
        <v>6.7102453254187039E-2</v>
      </c>
      <c r="C55" s="50">
        <f>$V$5*Performance!$E$12*(1/A55)+Performance!$E$23*(1/Constraints!$V$5)*Constraints!A55</f>
        <v>6.9139784602121071E-2</v>
      </c>
      <c r="D55" s="52">
        <f t="shared" si="0"/>
        <v>0.25810499992999592</v>
      </c>
    </row>
    <row r="56" spans="1:4" x14ac:dyDescent="0.3">
      <c r="A56" s="51">
        <v>18</v>
      </c>
      <c r="B56" s="50">
        <f>$V$4*Performance!$E$12*(1/A56)+Performance!$E$23*(1/Constraints!$V$4)*Constraints!A56</f>
        <v>6.7083089458905981E-2</v>
      </c>
      <c r="C56" s="50">
        <f>$V$5*Performance!$E$12*(1/A56)+Performance!$E$23*(1/Constraints!$V$5)*Constraints!A56</f>
        <v>6.8695571723446494E-2</v>
      </c>
      <c r="D56" s="52">
        <f t="shared" si="0"/>
        <v>0.25837728564228146</v>
      </c>
    </row>
    <row r="57" spans="1:4" x14ac:dyDescent="0.3">
      <c r="A57" s="51">
        <v>18.5</v>
      </c>
      <c r="B57" s="50">
        <f>$V$4*Performance!$E$12*(1/A57)+Performance!$E$23*(1/Constraints!$V$4)*Constraints!A57</f>
        <v>6.7115328393803089E-2</v>
      </c>
      <c r="C57" s="50">
        <f>$V$5*Performance!$E$12*(1/A57)+Performance!$E$23*(1/Constraints!$V$5)*Constraints!A57</f>
        <v>6.8315833329245262E-2</v>
      </c>
      <c r="D57" s="52">
        <f t="shared" si="0"/>
        <v>0.25864957135456706</v>
      </c>
    </row>
    <row r="58" spans="1:4" x14ac:dyDescent="0.3">
      <c r="A58" s="51">
        <v>19</v>
      </c>
      <c r="B58" s="50">
        <f>$V$4*Performance!$E$12*(1/A58)+Performance!$E$23*(1/Constraints!$V$4)*Constraints!A58</f>
        <v>6.7195096159127443E-2</v>
      </c>
      <c r="C58" s="50">
        <f>$V$5*Performance!$E$12*(1/A58)+Performance!$E$23*(1/Constraints!$V$5)*Constraints!A58</f>
        <v>6.7995479328637878E-2</v>
      </c>
      <c r="D58" s="52">
        <f t="shared" si="0"/>
        <v>0.25892185706685267</v>
      </c>
    </row>
    <row r="59" spans="1:4" x14ac:dyDescent="0.3">
      <c r="A59" s="51">
        <v>19.5</v>
      </c>
      <c r="B59" s="50">
        <f>$V$4*Performance!$E$12*(1/A59)+Performance!$E$23*(1/Constraints!$V$4)*Constraints!A59</f>
        <v>6.7318736691000053E-2</v>
      </c>
      <c r="C59" s="50">
        <f>$V$5*Performance!$E$12*(1/A59)+Performance!$E$23*(1/Constraints!$V$5)*Constraints!A59</f>
        <v>6.7729941691347911E-2</v>
      </c>
      <c r="D59" s="52">
        <f t="shared" si="0"/>
        <v>0.25919414277913827</v>
      </c>
    </row>
    <row r="60" spans="1:4" x14ac:dyDescent="0.3">
      <c r="A60" s="51">
        <v>20</v>
      </c>
      <c r="B60" s="50">
        <f>$V$4*Performance!$E$12*(1/A60)+Performance!$E$23*(1/Constraints!$V$4)*Constraints!A60</f>
        <v>6.7482959531929787E-2</v>
      </c>
      <c r="C60" s="50">
        <f>$V$5*Performance!$E$12*(1/A60)+Performance!$E$23*(1/Constraints!$V$5)*Constraints!A60</f>
        <v>6.7515109190126571E-2</v>
      </c>
      <c r="D60" s="52">
        <f t="shared" si="0"/>
        <v>0.25946642849142387</v>
      </c>
    </row>
    <row r="61" spans="1:4" x14ac:dyDescent="0.3">
      <c r="A61" s="51">
        <v>20.5</v>
      </c>
      <c r="B61" s="50">
        <f>$V$4*Performance!$E$12*(1/A61)+Performance!$E$23*(1/Constraints!$V$4)*Constraints!A61</f>
        <v>6.7684795244668555E-2</v>
      </c>
      <c r="C61" s="50">
        <f>$V$5*Performance!$E$12*(1/A61)+Performance!$E$23*(1/Constraints!$V$5)*Constraints!A61</f>
        <v>6.7347271693066368E-2</v>
      </c>
      <c r="D61" s="52">
        <f t="shared" si="0"/>
        <v>0.25973871420370948</v>
      </c>
    </row>
    <row r="62" spans="1:4" x14ac:dyDescent="0.3">
      <c r="A62" s="51">
        <v>21</v>
      </c>
      <c r="B62" s="50">
        <f>$V$4*Performance!$E$12*(1/A62)+Performance!$E$23*(1/Constraints!$V$4)*Constraints!A62</f>
        <v>6.7921557195515722E-2</v>
      </c>
      <c r="C62" s="50">
        <f>$V$5*Performance!$E$12*(1/A62)+Performance!$E$23*(1/Constraints!$V$5)*Constraints!A62</f>
        <v>6.7223072414155788E-2</v>
      </c>
      <c r="D62" s="52">
        <f t="shared" si="0"/>
        <v>0.26001099991599508</v>
      </c>
    </row>
    <row r="63" spans="1:4" x14ac:dyDescent="0.3">
      <c r="A63" s="51">
        <v>21.5</v>
      </c>
      <c r="B63" s="50">
        <f>$V$4*Performance!$E$12*(1/A63)+Performance!$E$23*(1/Constraints!$V$4)*Constraints!A63</f>
        <v>6.8190808670184649E-2</v>
      </c>
      <c r="C63" s="50">
        <f>$V$5*Performance!$E$12*(1/A63)+Performance!$E$23*(1/Constraints!$V$5)*Constraints!A63</f>
        <v>6.7139466826547228E-2</v>
      </c>
      <c r="D63" s="52">
        <f t="shared" si="0"/>
        <v>0.26028328562828068</v>
      </c>
    </row>
    <row r="64" spans="1:4" x14ac:dyDescent="0.3">
      <c r="A64" s="51">
        <v>22</v>
      </c>
      <c r="B64" s="50">
        <f>$V$4*Performance!$E$12*(1/A64)+Performance!$E$23*(1/Constraints!$V$4)*Constraints!A64</f>
        <v>6.8490334473869305E-2</v>
      </c>
      <c r="C64" s="50">
        <f>$V$5*Performance!$E$12*(1/A64)+Performance!$E$23*(1/Constraints!$V$5)*Constraints!A64</f>
        <v>6.7093687178560957E-2</v>
      </c>
      <c r="D64" s="52">
        <f t="shared" si="0"/>
        <v>0.26055557134056628</v>
      </c>
    </row>
    <row r="65" spans="1:4" x14ac:dyDescent="0.3">
      <c r="A65" s="51">
        <v>22.5</v>
      </c>
      <c r="B65" s="50">
        <f>$V$4*Performance!$E$12*(1/A65)+Performance!$E$23*(1/Constraints!$V$4)*Constraints!A65</f>
        <v>6.8818116317968664E-2</v>
      </c>
      <c r="C65" s="50">
        <f>$V$5*Performance!$E$12*(1/A65)+Performance!$E$23*(1/Constraints!$V$5)*Constraints!A65</f>
        <v>6.7083211740888826E-2</v>
      </c>
      <c r="D65" s="52">
        <f t="shared" si="0"/>
        <v>0.26082785705285183</v>
      </c>
    </row>
    <row r="66" spans="1:4" x14ac:dyDescent="0.3">
      <c r="A66" s="51">
        <v>23</v>
      </c>
      <c r="B66" s="50">
        <f>$V$4*Performance!$E$12*(1/A66)+Performance!$E$23*(1/Constraints!$V$4)*Constraints!A66</f>
        <v>6.9172311417238244E-2</v>
      </c>
      <c r="C66" s="50">
        <f>$V$5*Performance!$E$12*(1/A66)+Performance!$E$23*(1/Constraints!$V$5)*Constraints!A66</f>
        <v>6.7105738065032117E-2</v>
      </c>
      <c r="D66" s="52">
        <f t="shared" si="0"/>
        <v>0.26110014276513743</v>
      </c>
    </row>
    <row r="67" spans="1:4" x14ac:dyDescent="0.3">
      <c r="A67" s="51">
        <v>23.5</v>
      </c>
      <c r="B67" s="50">
        <f>$V$4*Performance!$E$12*(1/A67)+Performance!$E$23*(1/Constraints!$V$4)*Constraints!A67</f>
        <v>6.9551233819220418E-2</v>
      </c>
      <c r="C67" s="50">
        <f>$V$5*Performance!$E$12*(1/A67)+Performance!$E$23*(1/Constraints!$V$5)*Constraints!A67</f>
        <v>6.71591596555558E-2</v>
      </c>
      <c r="D67" s="52">
        <f t="shared" si="0"/>
        <v>0.26137242847742304</v>
      </c>
    </row>
    <row r="68" spans="1:4" x14ac:dyDescent="0.3">
      <c r="A68" s="51">
        <v>24</v>
      </c>
      <c r="B68" s="50">
        <f>$V$4*Performance!$E$12*(1/A68)+Performance!$E$23*(1/Constraints!$V$4)*Constraints!A68</f>
        <v>6.9953338067495624E-2</v>
      </c>
      <c r="C68" s="50">
        <f>$V$5*Performance!$E$12*(1/A68)+Performance!$E$23*(1/Constraints!$V$5)*Constraints!A68</f>
        <v>6.7241545558311078E-2</v>
      </c>
      <c r="D68" s="52">
        <f t="shared" si="0"/>
        <v>0.26164471418970864</v>
      </c>
    </row>
    <row r="69" spans="1:4" x14ac:dyDescent="0.3">
      <c r="A69" s="51">
        <v>24.5</v>
      </c>
      <c r="B69" s="50">
        <f>$V$4*Performance!$E$12*(1/A69)+Performance!$E$23*(1/Constraints!$V$4)*Constraints!A69</f>
        <v>7.0377204865352039E-2</v>
      </c>
      <c r="C69" s="50">
        <f>$V$5*Performance!$E$12*(1/A69)+Performance!$E$23*(1/Constraints!$V$5)*Constraints!A69</f>
        <v>6.7351122448059283E-2</v>
      </c>
      <c r="D69" s="52">
        <f t="shared" si="0"/>
        <v>0.26191699990199424</v>
      </c>
    </row>
    <row r="70" spans="1:4" x14ac:dyDescent="0.3">
      <c r="A70" s="51">
        <v>25</v>
      </c>
      <c r="B70" s="50">
        <f>$V$4*Performance!$E$12*(1/A70)+Performance!$E$23*(1/Constraints!$V$4)*Constraints!A70</f>
        <v>7.0821528459814806E-2</v>
      </c>
      <c r="C70" s="50">
        <f>$V$5*Performance!$E$12*(1/A70)+Performance!$E$23*(1/Constraints!$V$5)*Constraints!A70</f>
        <v>6.748625886558085E-2</v>
      </c>
      <c r="D70" s="52">
        <f t="shared" si="0"/>
        <v>0.26218928561427984</v>
      </c>
    </row>
    <row r="71" spans="1:4" x14ac:dyDescent="0.3">
      <c r="A71" s="51">
        <v>25.5</v>
      </c>
      <c r="B71" s="50">
        <f>$V$4*Performance!$E$12*(1/A71)+Performance!$E$23*(1/Constraints!$V$4)*Constraints!A71</f>
        <v>7.1285105509907076E-2</v>
      </c>
      <c r="C71" s="50">
        <f>$V$5*Performance!$E$12*(1/A71)+Performance!$E$23*(1/Constraints!$V$5)*Constraints!A71</f>
        <v>6.7645451309242058E-2</v>
      </c>
      <c r="D71" s="52">
        <f t="shared" si="0"/>
        <v>0.26246157132656545</v>
      </c>
    </row>
    <row r="72" spans="1:4" x14ac:dyDescent="0.3">
      <c r="A72" s="51">
        <v>26</v>
      </c>
      <c r="B72" s="50">
        <f>$V$4*Performance!$E$12*(1/A72)+Performance!$E$23*(1/Constraints!$V$4)*Constraints!A72</f>
        <v>7.1766825239342524E-2</v>
      </c>
      <c r="C72" s="50">
        <f>$V$5*Performance!$E$12*(1/A72)+Performance!$E$23*(1/Constraints!$V$5)*Constraints!A72</f>
        <v>6.7827311931380987E-2</v>
      </c>
      <c r="D72" s="52">
        <f t="shared" si="0"/>
        <v>0.26273385703885105</v>
      </c>
    </row>
    <row r="73" spans="1:4" x14ac:dyDescent="0.3">
      <c r="A73" s="51">
        <v>26.5</v>
      </c>
      <c r="B73" s="50">
        <f>$V$4*Performance!$E$12*(1/A73)+Performance!$E$23*(1/Constraints!$V$4)*Constraints!A73</f>
        <v>7.226566070400739E-2</v>
      </c>
      <c r="C73" s="50">
        <f>$V$5*Performance!$E$12*(1/A73)+Performance!$E$23*(1/Constraints!$V$5)*Constraints!A73</f>
        <v>6.8030557627555513E-2</v>
      </c>
      <c r="D73" s="52">
        <f t="shared" si="0"/>
        <v>0.26300614275113665</v>
      </c>
    </row>
    <row r="74" spans="1:4" x14ac:dyDescent="0.3">
      <c r="A74" s="51">
        <v>27</v>
      </c>
      <c r="B74" s="50">
        <f>$V$4*Performance!$E$12*(1/A74)+Performance!$E$23*(1/Constraints!$V$4)*Constraints!A74</f>
        <v>7.2780661029722277E-2</v>
      </c>
      <c r="C74" s="50">
        <f>$V$5*Performance!$E$12*(1/A74)+Performance!$E$23*(1/Constraints!$V$5)*Constraints!A74</f>
        <v>6.8254000338097004E-2</v>
      </c>
      <c r="D74" s="52">
        <f t="shared" si="0"/>
        <v>0.2632784284634222</v>
      </c>
    </row>
    <row r="75" spans="1:4" x14ac:dyDescent="0.3">
      <c r="A75" s="51">
        <v>27.5</v>
      </c>
      <c r="B75" s="50">
        <f>$V$4*Performance!$E$12*(1/A75)+Performance!$E$23*(1/Constraints!$V$4)*Constraints!A75</f>
        <v>7.3310944496793512E-2</v>
      </c>
      <c r="C75" s="50">
        <f>$V$5*Performance!$E$12*(1/A75)+Performance!$E$23*(1/Constraints!$V$5)*Constraints!A75</f>
        <v>6.8496538407676333E-2</v>
      </c>
      <c r="D75" s="52">
        <f t="shared" si="0"/>
        <v>0.26355071417570786</v>
      </c>
    </row>
    <row r="76" spans="1:4" x14ac:dyDescent="0.3">
      <c r="A76" s="51">
        <v>28</v>
      </c>
      <c r="B76" s="50">
        <f>$V$4*Performance!$E$12*(1/A76)+Performance!$E$23*(1/Constraints!$V$4)*Constraints!A76</f>
        <v>7.3855692365505612E-2</v>
      </c>
      <c r="C76" s="50">
        <f>$V$5*Performance!$E$12*(1/A76)+Performance!$E$23*(1/Constraints!$V$5)*Constraints!A76</f>
        <v>6.8757148870630752E-2</v>
      </c>
      <c r="D76" s="52">
        <f t="shared" si="0"/>
        <v>0.2638229998879934</v>
      </c>
    </row>
    <row r="77" spans="1:4" x14ac:dyDescent="0.3">
      <c r="A77" s="51">
        <v>28.5</v>
      </c>
      <c r="B77" s="50">
        <f>$V$4*Performance!$E$12*(1/A77)+Performance!$E$23*(1/Constraints!$V$4)*Constraints!A77</f>
        <v>7.4414143351561671E-2</v>
      </c>
      <c r="C77" s="50">
        <f>$V$5*Performance!$E$12*(1/A77)+Performance!$E$23*(1/Constraints!$V$5)*Constraints!A77</f>
        <v>6.9034880548361585E-2</v>
      </c>
      <c r="D77" s="52">
        <f t="shared" si="0"/>
        <v>0.26409528560027901</v>
      </c>
    </row>
    <row r="78" spans="1:4" x14ac:dyDescent="0.3">
      <c r="A78" s="51">
        <v>29</v>
      </c>
      <c r="B78" s="50">
        <f>$V$4*Performance!$E$12*(1/A78)+Performance!$E$23*(1/Constraints!$V$4)*Constraints!A78</f>
        <v>7.4985588673030124E-2</v>
      </c>
      <c r="C78" s="50">
        <f>$V$5*Performance!$E$12*(1/A78)+Performance!$E$23*(1/Constraints!$V$5)*Constraints!A78</f>
        <v>6.9328847860794199E-2</v>
      </c>
      <c r="D78" s="52">
        <f t="shared" si="0"/>
        <v>0.26436757131256461</v>
      </c>
    </row>
    <row r="79" spans="1:4" x14ac:dyDescent="0.3">
      <c r="A79" s="51">
        <v>29.5</v>
      </c>
      <c r="B79" s="50">
        <f>$V$4*Performance!$E$12*(1/A79)+Performance!$E$23*(1/Constraints!$V$4)*Constraints!A79</f>
        <v>7.5569367600991658E-2</v>
      </c>
      <c r="C79" s="50">
        <f>$V$5*Performance!$E$12*(1/A79)+Performance!$E$23*(1/Constraints!$V$5)*Constraints!A79</f>
        <v>6.9638225267181025E-2</v>
      </c>
      <c r="D79" s="52">
        <f t="shared" si="0"/>
        <v>0.26463985702485021</v>
      </c>
    </row>
    <row r="80" spans="1:4" x14ac:dyDescent="0.3">
      <c r="A80" s="51">
        <v>30</v>
      </c>
      <c r="B80" s="50">
        <f>$V$4*Performance!$E$12*(1/A80)+Performance!$E$23*(1/Constraints!$V$4)*Constraints!A80</f>
        <v>7.6164863455121662E-2</v>
      </c>
      <c r="C80" s="50">
        <f>$V$5*Performance!$E$12*(1/A80)+Performance!$E$23*(1/Constraints!$V$5)*Constraints!A80</f>
        <v>6.9962242262824381E-2</v>
      </c>
      <c r="D80" s="52">
        <f t="shared" si="0"/>
        <v>0.26491214273713581</v>
      </c>
    </row>
    <row r="81" spans="1:4" x14ac:dyDescent="0.3">
      <c r="A81" s="51">
        <v>30.5</v>
      </c>
      <c r="B81" s="50">
        <f>$V$4*Performance!$E$12*(1/A81)+Performance!$E$23*(1/Constraints!$V$4)*Constraints!A81</f>
        <v>7.6771499993149528E-2</v>
      </c>
      <c r="C81" s="50">
        <f>$V$5*Performance!$E$12*(1/A81)+Performance!$E$23*(1/Constraints!$V$5)*Constraints!A81</f>
        <v>7.0300178867924751E-2</v>
      </c>
      <c r="D81" s="52">
        <f t="shared" si="0"/>
        <v>0.26518442844942142</v>
      </c>
    </row>
    <row r="82" spans="1:4" x14ac:dyDescent="0.3">
      <c r="A82" s="51">
        <v>31</v>
      </c>
      <c r="B82" s="50">
        <f>$V$4*Performance!$E$12*(1/A82)+Performance!$E$23*(1/Constraints!$V$4)*Constraints!A82</f>
        <v>7.7388738149725356E-2</v>
      </c>
      <c r="C82" s="50">
        <f>$V$5*Performance!$E$12*(1/A82)+Performance!$E$23*(1/Constraints!$V$5)*Constraints!A82</f>
        <v>7.0651361552992259E-2</v>
      </c>
      <c r="D82" s="52">
        <f t="shared" si="0"/>
        <v>0.26545671416170702</v>
      </c>
    </row>
    <row r="83" spans="1:4" x14ac:dyDescent="0.3">
      <c r="A83" s="51">
        <v>31.5</v>
      </c>
      <c r="B83" s="50">
        <f>$V$4*Performance!$E$12*(1/A83)+Performance!$E$23*(1/Constraints!$V$4)*Constraints!A83</f>
        <v>7.8016073085870691E-2</v>
      </c>
      <c r="C83" s="50">
        <f>$V$5*Performance!$E$12*(1/A83)+Performance!$E$23*(1/Constraints!$V$5)*Constraints!A83</f>
        <v>7.1015159552314203E-2</v>
      </c>
      <c r="D83" s="52">
        <f t="shared" si="0"/>
        <v>0.26572899987399262</v>
      </c>
    </row>
    <row r="84" spans="1:4" x14ac:dyDescent="0.3">
      <c r="A84" s="51">
        <v>32</v>
      </c>
      <c r="B84" s="50">
        <f>$V$4*Performance!$E$12*(1/A84)+Performance!$E$23*(1/Constraints!$V$4)*Constraints!A84</f>
        <v>7.8653031515043215E-2</v>
      </c>
      <c r="C84" s="50">
        <f>$V$5*Performance!$E$12*(1/A84)+Performance!$E$23*(1/Constraints!$V$5)*Constraints!A84</f>
        <v>7.1390981523034913E-2</v>
      </c>
      <c r="D84" s="52">
        <f t="shared" si="0"/>
        <v>0.26600128558627822</v>
      </c>
    </row>
    <row r="85" spans="1:4" x14ac:dyDescent="0.3">
      <c r="A85" s="51">
        <v>32.5</v>
      </c>
      <c r="B85" s="50">
        <f>$V$4*Performance!$E$12*(1/A85)+Performance!$E$23*(1/Constraints!$V$4)*Constraints!A85</f>
        <v>7.9299169276026288E-2</v>
      </c>
      <c r="C85" s="50">
        <f>$V$5*Performance!$E$12*(1/A85)+Performance!$E$23*(1/Constraints!$V$5)*Constraints!A85</f>
        <v>7.1778272512628277E-2</v>
      </c>
      <c r="D85" s="52">
        <f t="shared" si="0"/>
        <v>0.26627357129856377</v>
      </c>
    </row>
    <row r="86" spans="1:4" x14ac:dyDescent="0.3">
      <c r="A86" s="51">
        <v>33</v>
      </c>
      <c r="B86" s="50">
        <f>$V$4*Performance!$E$12*(1/A86)+Performance!$E$23*(1/Constraints!$V$4)*Constraints!A86</f>
        <v>7.9954069126464855E-2</v>
      </c>
      <c r="C86" s="50">
        <f>$V$5*Performance!$E$12*(1/A86)+Performance!$E$23*(1/Constraints!$V$5)*Constraints!A86</f>
        <v>7.2176511202054636E-2</v>
      </c>
      <c r="D86" s="52">
        <f t="shared" si="0"/>
        <v>0.26654585701084937</v>
      </c>
    </row>
    <row r="87" spans="1:4" x14ac:dyDescent="0.3">
      <c r="A87" s="51">
        <v>33.5</v>
      </c>
      <c r="B87" s="50">
        <f>$V$4*Performance!$E$12*(1/A87)+Performance!$E$23*(1/Constraints!$V$4)*Constraints!A87</f>
        <v>8.061733873399525E-2</v>
      </c>
      <c r="C87" s="50">
        <f>$V$5*Performance!$E$12*(1/A87)+Performance!$E$23*(1/Constraints!$V$5)*Constraints!A87</f>
        <v>7.2585207395799087E-2</v>
      </c>
      <c r="D87" s="52">
        <f t="shared" ref="D87:D150" si="1">1.21/(9.8*$N$7*$N$8*$N$5)*A87+0.605/$N$8*($N$11-$N$6*$N$10)+$N$6</f>
        <v>0.26681814272313498</v>
      </c>
    </row>
    <row r="88" spans="1:4" x14ac:dyDescent="0.3">
      <c r="A88" s="51">
        <v>34</v>
      </c>
      <c r="B88" s="50">
        <f>$V$4*Performance!$E$12*(1/A88)+Performance!$E$23*(1/Constraints!$V$4)*Constraints!A88</f>
        <v>8.1288608844628157E-2</v>
      </c>
      <c r="C88" s="50">
        <f>$V$5*Performance!$E$12*(1/A88)+Performance!$E$23*(1/Constraints!$V$5)*Constraints!A88</f>
        <v>7.3003899733377009E-2</v>
      </c>
      <c r="D88" s="52">
        <f t="shared" si="1"/>
        <v>0.26709042843542058</v>
      </c>
    </row>
    <row r="89" spans="1:4" x14ac:dyDescent="0.3">
      <c r="A89" s="51">
        <v>34.5</v>
      </c>
      <c r="B89" s="50">
        <f>$V$4*Performance!$E$12*(1/A89)+Performance!$E$23*(1/Constraints!$V$4)*Constraints!A89</f>
        <v>8.1967531610402572E-2</v>
      </c>
      <c r="C89" s="50">
        <f>$V$5*Performance!$E$12*(1/A89)+Performance!$E$23*(1/Constraints!$V$5)*Constraints!A89</f>
        <v>7.3432153599839095E-2</v>
      </c>
      <c r="D89" s="52">
        <f t="shared" si="1"/>
        <v>0.26736271414770618</v>
      </c>
    </row>
    <row r="90" spans="1:4" x14ac:dyDescent="0.3">
      <c r="A90" s="51">
        <v>35</v>
      </c>
      <c r="B90" s="50">
        <f>$V$4*Performance!$E$12*(1/A90)+Performance!$E$23*(1/Constraints!$V$4)*Constraints!A90</f>
        <v>8.2653779060383847E-2</v>
      </c>
      <c r="C90" s="50">
        <f>$V$5*Performance!$E$12*(1/A90)+Performance!$E$23*(1/Constraints!$V$5)*Constraints!A90</f>
        <v>7.3869559215376052E-2</v>
      </c>
      <c r="D90" s="52">
        <f t="shared" si="1"/>
        <v>0.26763499985999178</v>
      </c>
    </row>
    <row r="91" spans="1:4" x14ac:dyDescent="0.3">
      <c r="A91" s="51">
        <v>35.5</v>
      </c>
      <c r="B91" s="50">
        <f>$V$4*Performance!$E$12*(1/A91)+Performance!$E$23*(1/Constraints!$V$4)*Constraints!A91</f>
        <v>8.334704170087312E-2</v>
      </c>
      <c r="C91" s="50">
        <f>$V$5*Performance!$E$12*(1/A91)+Performance!$E$23*(1/Constraints!$V$5)*Constraints!A91</f>
        <v>7.4315729886364978E-2</v>
      </c>
      <c r="D91" s="52">
        <f t="shared" si="1"/>
        <v>0.26790728557227739</v>
      </c>
    </row>
    <row r="92" spans="1:4" x14ac:dyDescent="0.3">
      <c r="A92" s="51">
        <v>36</v>
      </c>
      <c r="B92" s="50">
        <f>$V$4*Performance!$E$12*(1/A92)+Performance!$E$23*(1/Constraints!$V$4)*Constraints!A92</f>
        <v>8.4047027232265897E-2</v>
      </c>
      <c r="C92" s="50">
        <f>$V$5*Performance!$E$12*(1/A92)+Performance!$E$23*(1/Constraints!$V$5)*Constraints!A92</f>
        <v>7.4770300402162052E-2</v>
      </c>
      <c r="D92" s="52">
        <f t="shared" si="1"/>
        <v>0.26817957128456299</v>
      </c>
    </row>
    <row r="93" spans="1:4" x14ac:dyDescent="0.3">
      <c r="A93" s="51">
        <v>36.5</v>
      </c>
      <c r="B93" s="50">
        <f>$V$4*Performance!$E$12*(1/A93)+Performance!$E$23*(1/Constraints!$V$4)*Constraints!A93</f>
        <v>8.4753459371374351E-2</v>
      </c>
      <c r="C93" s="50">
        <f>$V$5*Performance!$E$12*(1/A93)+Performance!$E$23*(1/Constraints!$V$5)*Constraints!A93</f>
        <v>7.5232925563665565E-2</v>
      </c>
      <c r="D93" s="52">
        <f t="shared" si="1"/>
        <v>0.26845185699684859</v>
      </c>
    </row>
    <row r="94" spans="1:4" x14ac:dyDescent="0.3">
      <c r="A94" s="51">
        <v>37</v>
      </c>
      <c r="B94" s="50">
        <f>$V$4*Performance!$E$12*(1/A94)+Performance!$E$23*(1/Constraints!$V$4)*Constraints!A94</f>
        <v>8.5466076769237037E-2</v>
      </c>
      <c r="C94" s="50">
        <f>$V$5*Performance!$E$12*(1/A94)+Performance!$E$23*(1/Constraints!$V$5)*Constraints!A94</f>
        <v>7.5703278831184731E-2</v>
      </c>
      <c r="D94" s="52">
        <f t="shared" si="1"/>
        <v>0.26872414270913414</v>
      </c>
    </row>
    <row r="95" spans="1:4" x14ac:dyDescent="0.3">
      <c r="A95" s="51">
        <v>37.5</v>
      </c>
      <c r="B95" s="50">
        <f>$V$4*Performance!$E$12*(1/A95)+Performance!$E$23*(1/Constraints!$V$4)*Constraints!A95</f>
        <v>8.6184632015503776E-2</v>
      </c>
      <c r="C95" s="50">
        <f>$V$5*Performance!$E$12*(1/A95)+Performance!$E$23*(1/Constraints!$V$5)*Constraints!A95</f>
        <v>7.6181051080478915E-2</v>
      </c>
      <c r="D95" s="52">
        <f t="shared" si="1"/>
        <v>0.26899642842141974</v>
      </c>
    </row>
    <row r="96" spans="1:4" x14ac:dyDescent="0.3">
      <c r="A96" s="51">
        <v>38</v>
      </c>
      <c r="B96" s="50">
        <f>$V$4*Performance!$E$12*(1/A96)+Performance!$E$23*(1/Constraints!$V$4)*Constraints!A96</f>
        <v>8.69088907214218E-2</v>
      </c>
      <c r="C96" s="50">
        <f>$V$5*Performance!$E$12*(1/A96)+Performance!$E$23*(1/Constraints!$V$5)*Constraints!A96</f>
        <v>7.6665949457004348E-2</v>
      </c>
      <c r="D96" s="52">
        <f t="shared" si="1"/>
        <v>0.26926871413370534</v>
      </c>
    </row>
    <row r="97" spans="1:4" x14ac:dyDescent="0.3">
      <c r="A97" s="51">
        <v>38.5</v>
      </c>
      <c r="B97" s="50">
        <f>$V$4*Performance!$E$12*(1/A97)+Performance!$E$23*(1/Constraints!$V$4)*Constraints!A97</f>
        <v>8.7638630674277407E-2</v>
      </c>
      <c r="C97" s="50">
        <f>$V$5*Performance!$E$12*(1/A97)+Performance!$E$23*(1/Constraints!$V$5)*Constraints!A97</f>
        <v>7.7157696319440361E-2</v>
      </c>
      <c r="D97" s="52">
        <f t="shared" si="1"/>
        <v>0.26954099984599095</v>
      </c>
    </row>
    <row r="98" spans="1:4" x14ac:dyDescent="0.3">
      <c r="A98" s="51">
        <v>39</v>
      </c>
      <c r="B98" s="50">
        <f>$V$4*Performance!$E$12*(1/A98)+Performance!$E$23*(1/Constraints!$V$4)*Constraints!A98</f>
        <v>8.8373641056880683E-2</v>
      </c>
      <c r="C98" s="50">
        <f>$V$5*Performance!$E$12*(1/A98)+Performance!$E$23*(1/Constraints!$V$5)*Constraints!A98</f>
        <v>7.7656028264482674E-2</v>
      </c>
      <c r="D98" s="52">
        <f t="shared" si="1"/>
        <v>0.26981328555827655</v>
      </c>
    </row>
    <row r="99" spans="1:4" x14ac:dyDescent="0.3">
      <c r="A99" s="51">
        <v>39.5</v>
      </c>
      <c r="B99" s="50">
        <f>$V$4*Performance!$E$12*(1/A99)+Performance!$E$23*(1/Constraints!$V$4)*Constraints!A99</f>
        <v>8.9113721726329823E-2</v>
      </c>
      <c r="C99" s="50">
        <f>$V$5*Performance!$E$12*(1/A99)+Performance!$E$23*(1/Constraints!$V$5)*Constraints!A99</f>
        <v>7.8160695225703208E-2</v>
      </c>
      <c r="D99" s="52">
        <f t="shared" si="1"/>
        <v>0.27008557127056215</v>
      </c>
    </row>
    <row r="100" spans="1:4" x14ac:dyDescent="0.3">
      <c r="A100" s="51">
        <v>40</v>
      </c>
      <c r="B100" s="50">
        <f>$V$4*Performance!$E$12*(1/A100)+Performance!$E$23*(1/Constraints!$V$4)*Constraints!A100</f>
        <v>8.9858682546868129E-2</v>
      </c>
      <c r="C100" s="50">
        <f>$V$5*Performance!$E$12*(1/A100)+Performance!$E$23*(1/Constraints!$V$5)*Constraints!A100</f>
        <v>7.8671459639995292E-2</v>
      </c>
      <c r="D100" s="52">
        <f t="shared" si="1"/>
        <v>0.27035785698284776</v>
      </c>
    </row>
    <row r="101" spans="1:4" x14ac:dyDescent="0.3">
      <c r="A101" s="51">
        <v>40.5</v>
      </c>
      <c r="B101" s="50">
        <f>$V$4*Performance!$E$12*(1/A101)+Performance!$E$23*(1/Constraints!$V$4)*Constraints!A101</f>
        <v>9.0608342772158942E-2</v>
      </c>
      <c r="C101" s="50">
        <f>$V$5*Performance!$E$12*(1/A101)+Performance!$E$23*(1/Constraints!$V$5)*Constraints!A101</f>
        <v>7.9188095675763667E-2</v>
      </c>
      <c r="D101" s="52">
        <f t="shared" si="1"/>
        <v>0.27063014269513336</v>
      </c>
    </row>
    <row r="102" spans="1:4" x14ac:dyDescent="0.3">
      <c r="A102" s="51">
        <v>41</v>
      </c>
      <c r="B102" s="50">
        <f>$V$4*Performance!$E$12*(1/A102)+Performance!$E$23*(1/Constraints!$V$4)*Constraints!A102</f>
        <v>9.1362530472760106E-2</v>
      </c>
      <c r="C102" s="50">
        <f>$V$5*Performance!$E$12*(1/A102)+Performance!$E$23*(1/Constraints!$V$5)*Constraints!A102</f>
        <v>7.9710388517588493E-2</v>
      </c>
      <c r="D102" s="52">
        <f t="shared" si="1"/>
        <v>0.27090242840741896</v>
      </c>
    </row>
    <row r="103" spans="1:4" x14ac:dyDescent="0.3">
      <c r="A103" s="51">
        <v>41.5</v>
      </c>
      <c r="B103" s="50">
        <f>$V$4*Performance!$E$12*(1/A103)+Performance!$E$23*(1/Constraints!$V$4)*Constraints!A103</f>
        <v>9.2121082004985685E-2</v>
      </c>
      <c r="C103" s="50">
        <f>$V$5*Performance!$E$12*(1/A103)+Performance!$E$23*(1/Constraints!$V$5)*Constraints!A103</f>
        <v>8.0238133702600231E-2</v>
      </c>
      <c r="D103" s="52">
        <f t="shared" si="1"/>
        <v>0.27117471411970456</v>
      </c>
    </row>
    <row r="104" spans="1:4" x14ac:dyDescent="0.3">
      <c r="A104" s="51">
        <v>42</v>
      </c>
      <c r="B104" s="50">
        <f>$V$4*Performance!$E$12*(1/A104)+Performance!$E$23*(1/Constraints!$V$4)*Constraints!A104</f>
        <v>9.2883841517706262E-2</v>
      </c>
      <c r="C104" s="50">
        <f>$V$5*Performance!$E$12*(1/A104)+Performance!$E$23*(1/Constraints!$V$5)*Constraints!A104</f>
        <v>8.0771136504256505E-2</v>
      </c>
      <c r="D104" s="52">
        <f t="shared" si="1"/>
        <v>0.27144699983199011</v>
      </c>
    </row>
    <row r="105" spans="1:4" x14ac:dyDescent="0.3">
      <c r="A105" s="51">
        <v>42.5</v>
      </c>
      <c r="B105" s="50">
        <f>$V$4*Performance!$E$12*(1/A105)+Performance!$E$23*(1/Constraints!$V$4)*Constraints!A105</f>
        <v>9.3650660493963173E-2</v>
      </c>
      <c r="C105" s="50">
        <f>$V$5*Performance!$E$12*(1/A105)+Performance!$E$23*(1/Constraints!$V$5)*Constraints!A105</f>
        <v>8.1309211359616912E-2</v>
      </c>
      <c r="D105" s="52">
        <f t="shared" si="1"/>
        <v>0.27171928554427571</v>
      </c>
    </row>
    <row r="106" spans="1:4" x14ac:dyDescent="0.3">
      <c r="A106" s="51">
        <v>43</v>
      </c>
      <c r="B106" s="50">
        <f>$V$4*Performance!$E$12*(1/A106)+Performance!$E$23*(1/Constraints!$V$4)*Constraints!A106</f>
        <v>9.4421397324563311E-2</v>
      </c>
      <c r="C106" s="50">
        <f>$V$5*Performance!$E$12*(1/A106)+Performance!$E$23*(1/Constraints!$V$5)*Constraints!A106</f>
        <v>8.1852181336575514E-2</v>
      </c>
      <c r="D106" s="52">
        <f t="shared" si="1"/>
        <v>0.27199157125656132</v>
      </c>
    </row>
    <row r="107" spans="1:4" x14ac:dyDescent="0.3">
      <c r="A107" s="51">
        <v>43.5</v>
      </c>
      <c r="B107" s="50">
        <f>$V$4*Performance!$E$12*(1/A107)+Performance!$E$23*(1/Constraints!$V$4)*Constraints!A107</f>
        <v>9.5195916911081022E-2</v>
      </c>
      <c r="C107" s="50">
        <f>$V$5*Performance!$E$12*(1/A107)+Performance!$E$23*(1/Constraints!$V$5)*Constraints!A107</f>
        <v>8.2399877637835822E-2</v>
      </c>
      <c r="D107" s="52">
        <f t="shared" si="1"/>
        <v>0.27226385696884692</v>
      </c>
    </row>
    <row r="108" spans="1:4" x14ac:dyDescent="0.3">
      <c r="A108" s="51">
        <v>44</v>
      </c>
      <c r="B108" s="50">
        <f>$V$4*Performance!$E$12*(1/A108)+Performance!$E$23*(1/Constraints!$V$4)*Constraints!A108</f>
        <v>9.5974090295928211E-2</v>
      </c>
      <c r="C108" s="50">
        <f>$V$5*Performance!$E$12*(1/A108)+Performance!$E$23*(1/Constraints!$V$5)*Constraints!A108</f>
        <v>8.295213913870568E-2</v>
      </c>
      <c r="D108" s="52">
        <f t="shared" si="1"/>
        <v>0.27253614268113252</v>
      </c>
    </row>
    <row r="109" spans="1:4" x14ac:dyDescent="0.3">
      <c r="A109" s="51">
        <v>44.5</v>
      </c>
      <c r="B109" s="50">
        <f>$V$4*Performance!$E$12*(1/A109)+Performance!$E$23*(1/Constraints!$V$4)*Constraints!A109</f>
        <v>9.6755794317363447E-2</v>
      </c>
      <c r="C109" s="50">
        <f>$V$5*Performance!$E$12*(1/A109)+Performance!$E$23*(1/Constraints!$V$5)*Constraints!A109</f>
        <v>8.3508811956052253E-2</v>
      </c>
      <c r="D109" s="52">
        <f t="shared" si="1"/>
        <v>0.27280842839341812</v>
      </c>
    </row>
    <row r="110" spans="1:4" x14ac:dyDescent="0.3">
      <c r="A110" s="51">
        <v>45</v>
      </c>
      <c r="B110" s="50">
        <f>$V$4*Performance!$E$12*(1/A110)+Performance!$E$23*(1/Constraints!$V$4)*Constraints!A110</f>
        <v>9.7540911287500476E-2</v>
      </c>
      <c r="C110" s="50">
        <f>$V$5*Performance!$E$12*(1/A110)+Performance!$E$23*(1/Constraints!$V$5)*Constraints!A110</f>
        <v>8.4069749045992931E-2</v>
      </c>
      <c r="D110" s="52">
        <f t="shared" si="1"/>
        <v>0.27308071410570373</v>
      </c>
    </row>
    <row r="111" spans="1:4" x14ac:dyDescent="0.3">
      <c r="A111" s="51">
        <v>45.5</v>
      </c>
      <c r="B111" s="50">
        <f>$V$4*Performance!$E$12*(1/A111)+Performance!$E$23*(1/Constraints!$V$4)*Constraints!A111</f>
        <v>9.8329328691546897E-2</v>
      </c>
      <c r="C111" s="50">
        <f>$V$5*Performance!$E$12*(1/A111)+Performance!$E$23*(1/Constraints!$V$5)*Constraints!A111</f>
        <v>8.4634809828112556E-2</v>
      </c>
      <c r="D111" s="52">
        <f t="shared" si="1"/>
        <v>0.27335299981798933</v>
      </c>
    </row>
    <row r="112" spans="1:4" x14ac:dyDescent="0.3">
      <c r="A112" s="51">
        <v>46</v>
      </c>
      <c r="B112" s="50">
        <f>$V$4*Performance!$E$12*(1/A112)+Performance!$E$23*(1/Constraints!$V$4)*Constraints!A112</f>
        <v>9.9120938906657838E-2</v>
      </c>
      <c r="C112" s="50">
        <f>$V$5*Performance!$E$12*(1/A112)+Performance!$E$23*(1/Constraints!$V$5)*Constraints!A112</f>
        <v>8.5203859834187864E-2</v>
      </c>
      <c r="D112" s="52">
        <f t="shared" si="1"/>
        <v>0.27362528553027493</v>
      </c>
    </row>
    <row r="113" spans="1:4" x14ac:dyDescent="0.3">
      <c r="A113" s="51">
        <v>46.5</v>
      </c>
      <c r="B113" s="50">
        <f>$V$4*Performance!$E$12*(1/A113)+Performance!$E$23*(1/Constraints!$V$4)*Constraints!A113</f>
        <v>9.991563893892802E-2</v>
      </c>
      <c r="C113" s="50">
        <f>$V$5*Performance!$E$12*(1/A113)+Performance!$E$23*(1/Constraints!$V$5)*Constraints!A113</f>
        <v>8.5776770379575179E-2</v>
      </c>
      <c r="D113" s="52">
        <f t="shared" si="1"/>
        <v>0.27389757124256053</v>
      </c>
    </row>
    <row r="114" spans="1:4" x14ac:dyDescent="0.3">
      <c r="A114" s="51">
        <v>47</v>
      </c>
      <c r="B114" s="50">
        <f>$V$4*Performance!$E$12*(1/A114)+Performance!$E$23*(1/Constraints!$V$4)*Constraints!A114</f>
        <v>0.1007133301771715</v>
      </c>
      <c r="C114" s="50">
        <f>$V$5*Performance!$E$12*(1/A114)+Performance!$E$23*(1/Constraints!$V$5)*Constraints!A114</f>
        <v>8.6353418255573022E-2</v>
      </c>
      <c r="D114" s="52">
        <f t="shared" si="1"/>
        <v>0.27416985695484608</v>
      </c>
    </row>
    <row r="115" spans="1:4" x14ac:dyDescent="0.3">
      <c r="A115" s="51">
        <v>47.5</v>
      </c>
      <c r="B115" s="50">
        <f>$V$4*Performance!$E$12*(1/A115)+Performance!$E$23*(1/Constraints!$V$4)*Constraints!A115</f>
        <v>0.10151391816225229</v>
      </c>
      <c r="C115" s="50">
        <f>$V$5*Performance!$E$12*(1/A115)+Performance!$E$23*(1/Constraints!$V$5)*Constraints!A115</f>
        <v>8.6933685441214714E-2</v>
      </c>
      <c r="D115" s="52">
        <f t="shared" si="1"/>
        <v>0.27444214266713168</v>
      </c>
    </row>
    <row r="116" spans="1:4" x14ac:dyDescent="0.3">
      <c r="A116" s="51">
        <v>48</v>
      </c>
      <c r="B116" s="50">
        <f>$V$4*Performance!$E$12*(1/A116)+Performance!$E$23*(1/Constraints!$V$4)*Constraints!A116</f>
        <v>0.10231731237083169</v>
      </c>
      <c r="C116" s="50">
        <f>$V$5*Performance!$E$12*(1/A116)+Performance!$E$23*(1/Constraints!$V$5)*Constraints!A116</f>
        <v>8.7517458833073949E-2</v>
      </c>
      <c r="D116" s="52">
        <f t="shared" si="1"/>
        <v>0.27471442837941729</v>
      </c>
    </row>
    <row r="117" spans="1:4" x14ac:dyDescent="0.3">
      <c r="A117" s="51">
        <v>48.5</v>
      </c>
      <c r="B117" s="50">
        <f>$V$4*Performance!$E$12*(1/A117)+Performance!$E$23*(1/Constraints!$V$4)*Constraints!A117</f>
        <v>0.10312342601249225</v>
      </c>
      <c r="C117" s="50">
        <f>$V$5*Performance!$E$12*(1/A117)+Performance!$E$23*(1/Constraints!$V$5)*Constraints!A117</f>
        <v>8.8104629991783132E-2</v>
      </c>
      <c r="D117" s="52">
        <f t="shared" si="1"/>
        <v>0.27498671409170289</v>
      </c>
    </row>
    <row r="118" spans="1:4" x14ac:dyDescent="0.3">
      <c r="A118" s="51">
        <v>49</v>
      </c>
      <c r="B118" s="50">
        <f>$V$4*Performance!$E$12*(1/A118)+Performance!$E$23*(1/Constraints!$V$4)*Constraints!A118</f>
        <v>0.10393217583928248</v>
      </c>
      <c r="C118" s="50">
        <f>$V$5*Performance!$E$12*(1/A118)+Performance!$E$23*(1/Constraints!$V$5)*Constraints!A118</f>
        <v>8.8695094904071348E-2</v>
      </c>
      <c r="D118" s="52">
        <f t="shared" si="1"/>
        <v>0.27525899980398849</v>
      </c>
    </row>
    <row r="119" spans="1:4" x14ac:dyDescent="0.3">
      <c r="A119" s="51">
        <v>49.5</v>
      </c>
      <c r="B119" s="50">
        <f>$V$4*Performance!$E$12*(1/A119)+Performance!$E$23*(1/Constraints!$V$4)*Constraints!A119</f>
        <v>0.10474348196680454</v>
      </c>
      <c r="C119" s="50">
        <f>$V$5*Performance!$E$12*(1/A119)+Performance!$E$23*(1/Constraints!$V$5)*Constraints!A119</f>
        <v>8.9288753759224099E-2</v>
      </c>
      <c r="D119" s="52">
        <f t="shared" si="1"/>
        <v>0.27553128551627409</v>
      </c>
    </row>
    <row r="120" spans="1:4" x14ac:dyDescent="0.3">
      <c r="A120" s="51">
        <v>50</v>
      </c>
      <c r="B120" s="50">
        <f>$V$4*Performance!$E$12*(1/A120)+Performance!$E$23*(1/Constraints!$V$4)*Constraints!A120</f>
        <v>0.10555726770603645</v>
      </c>
      <c r="C120" s="50">
        <f>$V$5*Performance!$E$12*(1/A120)+Performance!$E$23*(1/Constraints!$V$5)*Constraints!A120</f>
        <v>8.988551073895544E-2</v>
      </c>
      <c r="D120" s="52">
        <f t="shared" si="1"/>
        <v>0.2758035712285597</v>
      </c>
    </row>
    <row r="121" spans="1:4" x14ac:dyDescent="0.3">
      <c r="A121" s="51">
        <v>50.5</v>
      </c>
      <c r="B121" s="50">
        <f>$V$4*Performance!$E$12*(1/A121)+Performance!$E$23*(1/Constraints!$V$4)*Constraints!A121</f>
        <v>0.10637345940514525</v>
      </c>
      <c r="C121" s="50">
        <f>$V$5*Performance!$E$12*(1/A121)+Performance!$E$23*(1/Constraints!$V$5)*Constraints!A121</f>
        <v>9.048527381976304E-2</v>
      </c>
      <c r="D121" s="52">
        <f t="shared" si="1"/>
        <v>0.2760758569408453</v>
      </c>
    </row>
    <row r="122" spans="1:4" x14ac:dyDescent="0.3">
      <c r="A122" s="51">
        <v>51</v>
      </c>
      <c r="B122" s="50">
        <f>$V$4*Performance!$E$12*(1/A122)+Performance!$E$23*(1/Constraints!$V$4)*Constraints!A122</f>
        <v>0.10719198630060515</v>
      </c>
      <c r="C122" s="50">
        <f>$V$5*Performance!$E$12*(1/A122)+Performance!$E$23*(1/Constraints!$V$5)*Constraints!A122</f>
        <v>9.1087954586909339E-2</v>
      </c>
      <c r="D122" s="52">
        <f t="shared" si="1"/>
        <v>0.2763481426531309</v>
      </c>
    </row>
    <row r="123" spans="1:4" x14ac:dyDescent="0.3">
      <c r="A123" s="51">
        <v>51.5</v>
      </c>
      <c r="B123" s="50">
        <f>$V$4*Performance!$E$12*(1/A123)+Performance!$E$23*(1/Constraints!$V$4)*Constraints!A123</f>
        <v>0.10801278037698847</v>
      </c>
      <c r="C123" s="50">
        <f>$V$5*Performance!$E$12*(1/A123)+Performance!$E$23*(1/Constraints!$V$5)*Constraints!A123</f>
        <v>9.1693468059238878E-2</v>
      </c>
      <c r="D123" s="52">
        <f t="shared" si="1"/>
        <v>0.27662042836541645</v>
      </c>
    </row>
    <row r="124" spans="1:4" x14ac:dyDescent="0.3">
      <c r="A124" s="51">
        <v>52</v>
      </c>
      <c r="B124" s="50">
        <f>$V$4*Performance!$E$12*(1/A124)+Performance!$E$23*(1/Constraints!$V$4)*Constraints!A124</f>
        <v>0.10883577623484547</v>
      </c>
      <c r="C124" s="50">
        <f>$V$5*Performance!$E$12*(1/A124)+Performance!$E$23*(1/Constraints!$V$5)*Constraints!A124</f>
        <v>9.2301732524102106E-2</v>
      </c>
      <c r="D124" s="52">
        <f t="shared" si="1"/>
        <v>0.27689271407770205</v>
      </c>
    </row>
    <row r="125" spans="1:4" x14ac:dyDescent="0.3">
      <c r="A125" s="51">
        <v>52.5</v>
      </c>
      <c r="B125" s="50">
        <f>$V$4*Performance!$E$12*(1/A125)+Performance!$E$23*(1/Constraints!$V$4)*Constraints!A125</f>
        <v>0.10966091096613403</v>
      </c>
      <c r="C125" s="50">
        <f>$V$5*Performance!$E$12*(1/A125)+Performance!$E$23*(1/Constraints!$V$5)*Constraints!A125</f>
        <v>9.2912669381712373E-2</v>
      </c>
      <c r="D125" s="52">
        <f t="shared" si="1"/>
        <v>0.27716499978998765</v>
      </c>
    </row>
    <row r="126" spans="1:4" x14ac:dyDescent="0.3">
      <c r="A126" s="51">
        <v>53</v>
      </c>
      <c r="B126" s="50">
        <f>$V$4*Performance!$E$12*(1/A126)+Performance!$E$23*(1/Constraints!$V$4)*Constraints!A126</f>
        <v>0.11048812403670048</v>
      </c>
      <c r="C126" s="50">
        <f>$V$5*Performance!$E$12*(1/A126)+Performance!$E$23*(1/Constraints!$V$5)*Constraints!A126</f>
        <v>9.3526202998312671E-2</v>
      </c>
      <c r="D126" s="52">
        <f t="shared" si="1"/>
        <v>0.27743728550227326</v>
      </c>
    </row>
    <row r="127" spans="1:4" x14ac:dyDescent="0.3">
      <c r="A127" s="51">
        <v>53.5</v>
      </c>
      <c r="B127" s="50">
        <f>$V$4*Performance!$E$12*(1/A127)+Performance!$E$23*(1/Constraints!$V$4)*Constraints!A127</f>
        <v>0.11131735717535007</v>
      </c>
      <c r="C127" s="50">
        <f>$V$5*Performance!$E$12*(1/A127)+Performance!$E$23*(1/Constraints!$V$5)*Constraints!A127</f>
        <v>9.4142260567576186E-2</v>
      </c>
      <c r="D127" s="52">
        <f t="shared" si="1"/>
        <v>0.27770957121455886</v>
      </c>
    </row>
    <row r="128" spans="1:4" x14ac:dyDescent="0.3">
      <c r="A128" s="51">
        <v>54</v>
      </c>
      <c r="B128" s="50">
        <f>$V$4*Performance!$E$12*(1/A128)+Performance!$E$23*(1/Constraints!$V$4)*Constraints!A128</f>
        <v>0.11214855426908051</v>
      </c>
      <c r="C128" s="50">
        <f>$V$5*Performance!$E$12*(1/A128)+Performance!$E$23*(1/Constraints!$V$5)*Constraints!A128</f>
        <v>9.4760771979706712E-2</v>
      </c>
      <c r="D128" s="52">
        <f t="shared" si="1"/>
        <v>0.27798185692684446</v>
      </c>
    </row>
    <row r="129" spans="1:4" x14ac:dyDescent="0.3">
      <c r="A129" s="51">
        <v>54.5</v>
      </c>
      <c r="B129" s="50">
        <f>$V$4*Performance!$E$12*(1/A129)+Performance!$E$23*(1/Constraints!$V$4)*Constraints!A129</f>
        <v>0.11298166126408221</v>
      </c>
      <c r="C129" s="50">
        <f>$V$5*Performance!$E$12*(1/A129)+Performance!$E$23*(1/Constraints!$V$5)*Constraints!A129</f>
        <v>9.5381669697744614E-2</v>
      </c>
      <c r="D129" s="52">
        <f t="shared" si="1"/>
        <v>0.27825414263913006</v>
      </c>
    </row>
    <row r="130" spans="1:4" x14ac:dyDescent="0.3">
      <c r="A130" s="51">
        <v>55</v>
      </c>
      <c r="B130" s="50">
        <f>$V$4*Performance!$E$12*(1/A130)+Performance!$E$23*(1/Constraints!$V$4)*Constraints!A130</f>
        <v>0.1138166260721387</v>
      </c>
      <c r="C130" s="50">
        <f>$V$5*Performance!$E$12*(1/A130)+Performance!$E$23*(1/Constraints!$V$5)*Constraints!A130</f>
        <v>9.6004888640619679E-2</v>
      </c>
      <c r="D130" s="52">
        <f t="shared" si="1"/>
        <v>0.27852642835141567</v>
      </c>
    </row>
    <row r="131" spans="1:4" x14ac:dyDescent="0.3">
      <c r="A131" s="51">
        <v>55.5</v>
      </c>
      <c r="B131" s="50">
        <f>$V$4*Performance!$E$12*(1/A131)+Performance!$E$23*(1/Constraints!$V$4)*Constraints!A131</f>
        <v>0.11465339848208635</v>
      </c>
      <c r="C131" s="50">
        <f>$V$5*Performance!$E$12*(1/A131)+Performance!$E$23*(1/Constraints!$V$5)*Constraints!A131</f>
        <v>9.6630366072525495E-2</v>
      </c>
      <c r="D131" s="52">
        <f t="shared" si="1"/>
        <v>0.27879871406370127</v>
      </c>
    </row>
    <row r="132" spans="1:4" x14ac:dyDescent="0.3">
      <c r="A132" s="51">
        <v>56</v>
      </c>
      <c r="B132" s="50">
        <f>$V$4*Performance!$E$12*(1/A132)+Performance!$E$23*(1/Constraints!$V$4)*Constraints!A132</f>
        <v>0.11549193007601734</v>
      </c>
      <c r="C132" s="50">
        <f>$V$5*Performance!$E$12*(1/A132)+Performance!$E$23*(1/Constraints!$V$5)*Constraints!A132</f>
        <v>9.7258041498220191E-2</v>
      </c>
      <c r="D132" s="52">
        <f t="shared" si="1"/>
        <v>0.27907099977598682</v>
      </c>
    </row>
    <row r="133" spans="1:4" x14ac:dyDescent="0.3">
      <c r="A133" s="51">
        <v>56.5</v>
      </c>
      <c r="B133" s="50">
        <f>$V$4*Performance!$E$12*(1/A133)+Performance!$E$23*(1/Constraints!$V$4)*Constraints!A133</f>
        <v>0.11633217414993212</v>
      </c>
      <c r="C133" s="50">
        <f>$V$5*Performance!$E$12*(1/A133)+Performance!$E$23*(1/Constraints!$V$5)*Constraints!A133</f>
        <v>9.7887856563886336E-2</v>
      </c>
      <c r="D133" s="52">
        <f t="shared" si="1"/>
        <v>0.27934328548827242</v>
      </c>
    </row>
    <row r="134" spans="1:4" x14ac:dyDescent="0.3">
      <c r="A134" s="51">
        <v>57</v>
      </c>
      <c r="B134" s="50">
        <f>$V$4*Performance!$E$12*(1/A134)+Performance!$E$23*(1/Constraints!$V$4)*Constraints!A134</f>
        <v>0.11717408563856795</v>
      </c>
      <c r="C134" s="50">
        <f>$V$5*Performance!$E$12*(1/A134)+Performance!$E$23*(1/Constraints!$V$5)*Constraints!A134</f>
        <v>9.8519754963208903E-2</v>
      </c>
      <c r="D134" s="52">
        <f t="shared" si="1"/>
        <v>0.27961557120055802</v>
      </c>
    </row>
    <row r="135" spans="1:4" x14ac:dyDescent="0.3">
      <c r="A135" s="51">
        <v>57.5</v>
      </c>
      <c r="B135" s="50">
        <f>$V$4*Performance!$E$12*(1/A135)+Performance!$E$23*(1/Constraints!$V$4)*Constraints!A135</f>
        <v>0.11801762104414951</v>
      </c>
      <c r="C135" s="50">
        <f>$V$5*Performance!$E$12*(1/A135)+Performance!$E$23*(1/Constraints!$V$5)*Constraints!A135</f>
        <v>9.9153682348353395E-2</v>
      </c>
      <c r="D135" s="52">
        <f t="shared" si="1"/>
        <v>0.27988785691284362</v>
      </c>
    </row>
    <row r="136" spans="1:4" x14ac:dyDescent="0.3">
      <c r="A136" s="51">
        <v>58</v>
      </c>
      <c r="B136" s="50">
        <f>$V$4*Performance!$E$12*(1/A136)+Performance!$E$23*(1/Constraints!$V$4)*Constraints!A136</f>
        <v>0.11886273836882474</v>
      </c>
      <c r="C136" s="50">
        <f>$V$5*Performance!$E$12*(1/A136)+Performance!$E$23*(1/Constraints!$V$5)*Constraints!A136</f>
        <v>9.9789586245548512E-2</v>
      </c>
      <c r="D136" s="52">
        <f t="shared" si="1"/>
        <v>0.28016014262512923</v>
      </c>
    </row>
    <row r="137" spans="1:4" x14ac:dyDescent="0.3">
      <c r="A137" s="51">
        <v>58.5</v>
      </c>
      <c r="B137" s="50">
        <f>$V$4*Performance!$E$12*(1/A137)+Performance!$E$23*(1/Constraints!$V$4)*Constraints!A137</f>
        <v>0.11970939705056563</v>
      </c>
      <c r="C137" s="50">
        <f>$V$5*Performance!$E$12*(1/A137)+Performance!$E$23*(1/Constraints!$V$5)*Constraints!A137</f>
        <v>0.10042741597499813</v>
      </c>
      <c r="D137" s="52">
        <f t="shared" si="1"/>
        <v>0.28043242833741483</v>
      </c>
    </row>
    <row r="138" spans="1:4" x14ac:dyDescent="0.3">
      <c r="A138" s="51">
        <v>59</v>
      </c>
      <c r="B138" s="50">
        <f>$V$4*Performance!$E$12*(1/A138)+Performance!$E$23*(1/Constraints!$V$4)*Constraints!A138</f>
        <v>0.1205575579023281</v>
      </c>
      <c r="C138" s="50">
        <f>$V$5*Performance!$E$12*(1/A138)+Performance!$E$23*(1/Constraints!$V$5)*Constraints!A138</f>
        <v>0.10106712257486522</v>
      </c>
      <c r="D138" s="52">
        <f t="shared" si="1"/>
        <v>0.28070471404970043</v>
      </c>
    </row>
    <row r="139" spans="1:4" x14ac:dyDescent="0.3">
      <c r="A139" s="51">
        <v>59.5</v>
      </c>
      <c r="B139" s="50">
        <f>$V$4*Performance!$E$12*(1/A139)+Performance!$E$23*(1/Constraints!$V$4)*Constraints!A139</f>
        <v>0.12140718305427969</v>
      </c>
      <c r="C139" s="50">
        <f>$V$5*Performance!$E$12*(1/A139)+Performance!$E$23*(1/Constraints!$V$5)*Constraints!A139</f>
        <v>0.10170865872908889</v>
      </c>
      <c r="D139" s="52">
        <f t="shared" si="1"/>
        <v>0.28097699976198603</v>
      </c>
    </row>
    <row r="140" spans="1:4" x14ac:dyDescent="0.3">
      <c r="A140" s="51">
        <v>60</v>
      </c>
      <c r="B140" s="50">
        <f>$V$4*Performance!$E$12*(1/A140)+Performance!$E$23*(1/Constraints!$V$4)*Constraints!A140</f>
        <v>0.12225823589891568</v>
      </c>
      <c r="C140" s="50">
        <f>$V$5*Performance!$E$12*(1/A140)+Performance!$E$23*(1/Constraints!$V$5)*Constraints!A140</f>
        <v>0.1023519786988102</v>
      </c>
      <c r="D140" s="52">
        <f t="shared" si="1"/>
        <v>0.28124928547427164</v>
      </c>
    </row>
    <row r="141" spans="1:4" x14ac:dyDescent="0.3">
      <c r="A141" s="51">
        <v>60.5</v>
      </c>
      <c r="B141" s="50">
        <f>$V$4*Performance!$E$12*(1/A141)+Performance!$E$23*(1/Constraints!$V$4)*Constraints!A141</f>
        <v>0.12311068103889677</v>
      </c>
      <c r="C141" s="50">
        <f>$V$5*Performance!$E$12*(1/A141)+Performance!$E$23*(1/Constraints!$V$5)*Constraints!A141</f>
        <v>0.10299703825719864</v>
      </c>
      <c r="D141" s="52">
        <f t="shared" si="1"/>
        <v>0.28152157118655724</v>
      </c>
    </row>
    <row r="142" spans="1:4" x14ac:dyDescent="0.3">
      <c r="A142" s="51">
        <v>61</v>
      </c>
      <c r="B142" s="50">
        <f>$V$4*Performance!$E$12*(1/A142)+Performance!$E$23*(1/Constraints!$V$4)*Constraints!A142</f>
        <v>0.12396448423745218</v>
      </c>
      <c r="C142" s="50">
        <f>$V$5*Performance!$E$12*(1/A142)+Performance!$E$23*(1/Constraints!$V$5)*Constraints!A142</f>
        <v>0.10364379462748369</v>
      </c>
      <c r="D142" s="52">
        <f t="shared" si="1"/>
        <v>0.28179385689884284</v>
      </c>
    </row>
    <row r="143" spans="1:4" x14ac:dyDescent="0.3">
      <c r="A143" s="51">
        <v>61.5</v>
      </c>
      <c r="B143" s="50">
        <f>$V$4*Performance!$E$12*(1/A143)+Performance!$E$23*(1/Constraints!$V$4)*Constraints!A143</f>
        <v>0.12481961237120208</v>
      </c>
      <c r="C143" s="50">
        <f>$V$5*Performance!$E$12*(1/A143)+Performance!$E$23*(1/Constraints!$V$5)*Constraints!A143</f>
        <v>0.10429220642400934</v>
      </c>
      <c r="D143" s="52">
        <f t="shared" si="1"/>
        <v>0.28206614261112839</v>
      </c>
    </row>
    <row r="144" spans="1:4" x14ac:dyDescent="0.3">
      <c r="A144" s="51">
        <v>62</v>
      </c>
      <c r="B144" s="50">
        <f>$V$4*Performance!$E$12*(1/A144)+Performance!$E$23*(1/Constraints!$V$4)*Constraints!A144</f>
        <v>0.1256760333852627</v>
      </c>
      <c r="C144" s="50">
        <f>$V$5*Performance!$E$12*(1/A144)+Performance!$E$23*(1/Constraints!$V$5)*Constraints!A144</f>
        <v>0.10494223359614074</v>
      </c>
      <c r="D144" s="52">
        <f t="shared" si="1"/>
        <v>0.28233842832341399</v>
      </c>
    </row>
    <row r="145" spans="1:4" x14ac:dyDescent="0.3">
      <c r="A145" s="51">
        <v>62.5</v>
      </c>
      <c r="B145" s="50">
        <f>$V$4*Performance!$E$12*(1/A145)+Performance!$E$23*(1/Constraints!$V$4)*Constraints!A145</f>
        <v>0.12653371625050658</v>
      </c>
      <c r="C145" s="50">
        <f>$V$5*Performance!$E$12*(1/A145)+Performance!$E$23*(1/Constraints!$V$5)*Constraints!A145</f>
        <v>0.10559383737486336</v>
      </c>
      <c r="D145" s="52">
        <f t="shared" si="1"/>
        <v>0.2826107140356996</v>
      </c>
    </row>
    <row r="146" spans="1:4" x14ac:dyDescent="0.3">
      <c r="A146" s="51">
        <v>63</v>
      </c>
      <c r="B146" s="50">
        <f>$V$4*Performance!$E$12*(1/A146)+Performance!$E$23*(1/Constraints!$V$4)*Constraints!A146</f>
        <v>0.12739263092285794</v>
      </c>
      <c r="C146" s="50">
        <f>$V$5*Performance!$E$12*(1/A146)+Performance!$E$23*(1/Constraints!$V$5)*Constraints!A146</f>
        <v>0.10624698022192502</v>
      </c>
      <c r="D146" s="52">
        <f t="shared" si="1"/>
        <v>0.2828829997479852</v>
      </c>
    </row>
    <row r="147" spans="1:4" x14ac:dyDescent="0.3">
      <c r="A147" s="51">
        <v>63.5</v>
      </c>
      <c r="B147" s="50">
        <f>$V$4*Performance!$E$12*(1/A147)+Performance!$E$23*(1/Constraints!$V$4)*Constraints!A147</f>
        <v>0.12825274830451111</v>
      </c>
      <c r="C147" s="50">
        <f>$V$5*Performance!$E$12*(1/A147)+Performance!$E$23*(1/Constraints!$V$5)*Constraints!A147</f>
        <v>0.1069016257813807</v>
      </c>
      <c r="D147" s="52">
        <f t="shared" si="1"/>
        <v>0.2831552854602708</v>
      </c>
    </row>
    <row r="148" spans="1:4" x14ac:dyDescent="0.3">
      <c r="A148" s="51">
        <v>64</v>
      </c>
      <c r="B148" s="50">
        <f>$V$4*Performance!$E$12*(1/A148)+Performance!$E$23*(1/Constraints!$V$4)*Constraints!A148</f>
        <v>0.12911404020696679</v>
      </c>
      <c r="C148" s="50">
        <f>$V$5*Performance!$E$12*(1/A148)+Performance!$E$23*(1/Constraints!$V$5)*Constraints!A148</f>
        <v>0.10755773883340868</v>
      </c>
      <c r="D148" s="52">
        <f t="shared" si="1"/>
        <v>0.2834275711725564</v>
      </c>
    </row>
    <row r="149" spans="1:4" x14ac:dyDescent="0.3">
      <c r="A149" s="51">
        <v>64.5</v>
      </c>
      <c r="B149" s="50">
        <f>$V$4*Performance!$E$12*(1/A149)+Performance!$E$23*(1/Constraints!$V$4)*Constraints!A149</f>
        <v>0.12997647931578774</v>
      </c>
      <c r="C149" s="50">
        <f>$V$5*Performance!$E$12*(1/A149)+Performance!$E$23*(1/Constraints!$V$5)*Constraints!A149</f>
        <v>0.1082152852502747</v>
      </c>
      <c r="D149" s="52">
        <f t="shared" si="1"/>
        <v>0.28369985688484201</v>
      </c>
    </row>
    <row r="150" spans="1:4" x14ac:dyDescent="0.3">
      <c r="A150" s="51">
        <v>65</v>
      </c>
      <c r="B150" s="50">
        <f>$V$4*Performance!$E$12*(1/A150)+Performance!$E$23*(1/Constraints!$V$4)*Constraints!A150</f>
        <v>0.13084003915698089</v>
      </c>
      <c r="C150" s="50">
        <f>$V$5*Performance!$E$12*(1/A150)+Performance!$E$23*(1/Constraints!$V$5)*Constraints!A150</f>
        <v>0.10887423195432866</v>
      </c>
      <c r="D150" s="52">
        <f t="shared" si="1"/>
        <v>0.28397214259712761</v>
      </c>
    </row>
    <row r="151" spans="1:4" x14ac:dyDescent="0.3">
      <c r="A151" s="51">
        <v>65.5</v>
      </c>
      <c r="B151" s="50">
        <f>$V$4*Performance!$E$12*(1/A151)+Performance!$E$23*(1/Constraints!$V$4)*Constraints!A151</f>
        <v>0.13170469406491941</v>
      </c>
      <c r="C151" s="50">
        <f>$V$5*Performance!$E$12*(1/A151)+Performance!$E$23*(1/Constraints!$V$5)*Constraints!A151</f>
        <v>0.10953454687792503</v>
      </c>
      <c r="D151" s="52">
        <f t="shared" ref="D151:D214" si="2">1.21/(9.8*$N$7*$N$8*$N$5)*A151+0.605/$N$8*($N$11-$N$6*$N$10)+$N$6</f>
        <v>0.28424442830941321</v>
      </c>
    </row>
    <row r="152" spans="1:4" x14ac:dyDescent="0.3">
      <c r="A152" s="51">
        <v>66</v>
      </c>
      <c r="B152" s="50">
        <f>$V$4*Performance!$E$12*(1/A152)+Performance!$E$23*(1/Constraints!$V$4)*Constraints!A152</f>
        <v>0.13257041915172277</v>
      </c>
      <c r="C152" s="50">
        <f>$V$5*Performance!$E$12*(1/A152)+Performance!$E$23*(1/Constraints!$V$5)*Constraints!A152</f>
        <v>0.11019619892516513</v>
      </c>
      <c r="D152" s="52">
        <f t="shared" si="2"/>
        <v>0.28451671402169876</v>
      </c>
    </row>
    <row r="153" spans="1:4" x14ac:dyDescent="0.3">
      <c r="A153" s="51">
        <v>66.5</v>
      </c>
      <c r="B153" s="50">
        <f>$V$4*Performance!$E$12*(1/A153)+Performance!$E$23*(1/Constraints!$V$4)*Constraints!A153</f>
        <v>0.13343719027801801</v>
      </c>
      <c r="C153" s="50">
        <f>$V$5*Performance!$E$12*(1/A153)+Performance!$E$23*(1/Constraints!$V$5)*Constraints!A153</f>
        <v>0.11085915793536527</v>
      </c>
      <c r="D153" s="52">
        <f t="shared" si="2"/>
        <v>0.28478899973398436</v>
      </c>
    </row>
    <row r="154" spans="1:4" x14ac:dyDescent="0.3">
      <c r="A154" s="51">
        <v>67</v>
      </c>
      <c r="B154" s="50">
        <f>$V$4*Performance!$E$12*(1/A154)+Performance!$E$23*(1/Constraints!$V$4)*Constraints!A154</f>
        <v>0.13430498402501054</v>
      </c>
      <c r="C154" s="50">
        <f>$V$5*Performance!$E$12*(1/A154)+Performance!$E$23*(1/Constraints!$V$5)*Constraints!A154</f>
        <v>0.11152339464816065</v>
      </c>
      <c r="D154" s="52">
        <f t="shared" si="2"/>
        <v>0.28506128544626996</v>
      </c>
    </row>
    <row r="155" spans="1:4" x14ac:dyDescent="0.3">
      <c r="A155" s="51">
        <v>67.5</v>
      </c>
      <c r="B155" s="50">
        <f>$V$4*Performance!$E$12*(1/A155)+Performance!$E$23*(1/Constraints!$V$4)*Constraints!A155</f>
        <v>0.13517377766779604</v>
      </c>
      <c r="C155" s="50">
        <f>$V$5*Performance!$E$12*(1/A155)+Performance!$E$23*(1/Constraints!$V$5)*Constraints!A155</f>
        <v>0.11218888067016029</v>
      </c>
      <c r="D155" s="52">
        <f t="shared" si="2"/>
        <v>0.28533357115855557</v>
      </c>
    </row>
    <row r="156" spans="1:4" x14ac:dyDescent="0.3">
      <c r="A156" s="51">
        <v>68</v>
      </c>
      <c r="B156" s="50">
        <f>$V$4*Performance!$E$12*(1/A156)+Performance!$E$23*(1/Constraints!$V$4)*Constraints!A156</f>
        <v>0.13604354914984956</v>
      </c>
      <c r="C156" s="50">
        <f>$V$5*Performance!$E$12*(1/A156)+Performance!$E$23*(1/Constraints!$V$5)*Constraints!A156</f>
        <v>0.11285558844307292</v>
      </c>
      <c r="D156" s="52">
        <f t="shared" si="2"/>
        <v>0.28560585687084117</v>
      </c>
    </row>
    <row r="157" spans="1:4" x14ac:dyDescent="0.3">
      <c r="A157" s="51">
        <v>68.5</v>
      </c>
      <c r="B157" s="50">
        <f>$V$4*Performance!$E$12*(1/A157)+Performance!$E$23*(1/Constraints!$V$4)*Constraints!A157</f>
        <v>0.13691427705863249</v>
      </c>
      <c r="C157" s="50">
        <f>$V$5*Performance!$E$12*(1/A157)+Performance!$E$23*(1/Constraints!$V$5)*Constraints!A157</f>
        <v>0.11352349121322888</v>
      </c>
      <c r="D157" s="52">
        <f t="shared" si="2"/>
        <v>0.28587814258312677</v>
      </c>
    </row>
    <row r="158" spans="1:4" x14ac:dyDescent="0.3">
      <c r="A158" s="51">
        <v>69</v>
      </c>
      <c r="B158" s="50">
        <f>$V$4*Performance!$E$12*(1/A158)+Performance!$E$23*(1/Constraints!$V$4)*Constraints!A158</f>
        <v>0.13778594060225938</v>
      </c>
      <c r="C158" s="50">
        <f>$V$5*Performance!$E$12*(1/A158)+Performance!$E$23*(1/Constraints!$V$5)*Constraints!A158</f>
        <v>0.11419256300242726</v>
      </c>
      <c r="D158" s="52">
        <f t="shared" si="2"/>
        <v>0.28615042829541237</v>
      </c>
    </row>
    <row r="159" spans="1:4" x14ac:dyDescent="0.3">
      <c r="A159" s="51">
        <v>69.5</v>
      </c>
      <c r="B159" s="50">
        <f>$V$4*Performance!$E$12*(1/A159)+Performance!$E$23*(1/Constraints!$V$4)*Constraints!A159</f>
        <v>0.13865851958717237</v>
      </c>
      <c r="C159" s="50">
        <f>$V$5*Performance!$E$12*(1/A159)+Performance!$E$23*(1/Constraints!$V$5)*Constraints!A159</f>
        <v>0.11486277858004124</v>
      </c>
      <c r="D159" s="52">
        <f t="shared" si="2"/>
        <v>0.28642271400769798</v>
      </c>
    </row>
    <row r="160" spans="1:4" x14ac:dyDescent="0.3">
      <c r="A160" s="51">
        <v>70</v>
      </c>
      <c r="B160" s="50">
        <f>$V$4*Performance!$E$12*(1/A160)+Performance!$E$23*(1/Constraints!$V$4)*Constraints!A160</f>
        <v>0.13953199439677261</v>
      </c>
      <c r="C160" s="50">
        <f>$V$5*Performance!$E$12*(1/A160)+Performance!$E$23*(1/Constraints!$V$5)*Constraints!A160</f>
        <v>0.11553411343631904</v>
      </c>
      <c r="D160" s="52">
        <f t="shared" si="2"/>
        <v>0.28669499971998358</v>
      </c>
    </row>
    <row r="161" spans="1:4" x14ac:dyDescent="0.3">
      <c r="A161" s="51">
        <v>70.5</v>
      </c>
      <c r="B161" s="50">
        <f>$V$4*Performance!$E$12*(1/A161)+Performance!$E$23*(1/Constraints!$V$4)*Constraints!A161</f>
        <v>0.14040634597096022</v>
      </c>
      <c r="C161" s="50">
        <f>$V$5*Performance!$E$12*(1/A161)+Performance!$E$23*(1/Constraints!$V$5)*Constraints!A161</f>
        <v>0.11620654375682102</v>
      </c>
      <c r="D161" s="52">
        <f t="shared" si="2"/>
        <v>0.28696728543226913</v>
      </c>
    </row>
    <row r="162" spans="1:4" x14ac:dyDescent="0.3">
      <c r="A162" s="51">
        <v>71</v>
      </c>
      <c r="B162" s="50">
        <f>$V$4*Performance!$E$12*(1/A162)+Performance!$E$23*(1/Constraints!$V$4)*Constraints!A162</f>
        <v>0.14128155578653981</v>
      </c>
      <c r="C162" s="50">
        <f>$V$5*Performance!$E$12*(1/A162)+Performance!$E$23*(1/Constraints!$V$5)*Constraints!A162</f>
        <v>0.11688004639793681</v>
      </c>
      <c r="D162" s="52">
        <f t="shared" si="2"/>
        <v>0.28723957114455473</v>
      </c>
    </row>
    <row r="163" spans="1:4" x14ac:dyDescent="0.3">
      <c r="A163" s="51">
        <v>71.5</v>
      </c>
      <c r="B163" s="50">
        <f>$V$4*Performance!$E$12*(1/A163)+Performance!$E$23*(1/Constraints!$V$4)*Constraints!A163</f>
        <v>0.14215760583844717</v>
      </c>
      <c r="C163" s="50">
        <f>$V$5*Performance!$E$12*(1/A163)+Performance!$E$23*(1/Constraints!$V$5)*Constraints!A163</f>
        <v>0.11755459886342975</v>
      </c>
      <c r="D163" s="52">
        <f t="shared" si="2"/>
        <v>0.28751185685684033</v>
      </c>
    </row>
    <row r="164" spans="1:4" x14ac:dyDescent="0.3">
      <c r="A164" s="51">
        <v>72</v>
      </c>
      <c r="B164" s="50">
        <f>$V$4*Performance!$E$12*(1/A164)+Performance!$E$23*(1/Constraints!$V$4)*Constraints!A164</f>
        <v>0.14303447862175878</v>
      </c>
      <c r="C164" s="50">
        <f>$V$5*Performance!$E$12*(1/A164)+Performance!$E$23*(1/Constraints!$V$5)*Constraints!A164</f>
        <v>0.11823017928195864</v>
      </c>
      <c r="D164" s="52">
        <f t="shared" si="2"/>
        <v>0.28778414256912593</v>
      </c>
    </row>
    <row r="165" spans="1:4" x14ac:dyDescent="0.3">
      <c r="A165" s="51">
        <v>72.5</v>
      </c>
      <c r="B165" s="50">
        <f>$V$4*Performance!$E$12*(1/A165)+Performance!$E$23*(1/Constraints!$V$4)*Constraints!A165</f>
        <v>0.14391215711444563</v>
      </c>
      <c r="C165" s="50">
        <f>$V$5*Performance!$E$12*(1/A165)+Performance!$E$23*(1/Constraints!$V$5)*Constraints!A165</f>
        <v>0.11890676638552966</v>
      </c>
      <c r="D165" s="52">
        <f t="shared" si="2"/>
        <v>0.28805642828141154</v>
      </c>
    </row>
    <row r="166" spans="1:4" x14ac:dyDescent="0.3">
      <c r="A166" s="51">
        <v>73</v>
      </c>
      <c r="B166" s="50">
        <f>$V$4*Performance!$E$12*(1/A166)+Performance!$E$23*(1/Constraints!$V$4)*Constraints!A166</f>
        <v>0.1447906247608356</v>
      </c>
      <c r="C166" s="50">
        <f>$V$5*Performance!$E$12*(1/A166)+Performance!$E$23*(1/Constraints!$V$5)*Constraints!A166</f>
        <v>0.11958433948883371</v>
      </c>
      <c r="D166" s="52">
        <f t="shared" si="2"/>
        <v>0.28832871399369714</v>
      </c>
    </row>
    <row r="167" spans="1:4" x14ac:dyDescent="0.3">
      <c r="A167" s="51">
        <v>73.5</v>
      </c>
      <c r="B167" s="50">
        <f>$V$4*Performance!$E$12*(1/A167)+Performance!$E$23*(1/Constraints!$V$4)*Constraints!A167</f>
        <v>0.14566986545575106</v>
      </c>
      <c r="C167" s="50">
        <f>$V$5*Performance!$E$12*(1/A167)+Performance!$E$23*(1/Constraints!$V$5)*Constraints!A167</f>
        <v>0.12026287846942725</v>
      </c>
      <c r="D167" s="52">
        <f t="shared" si="2"/>
        <v>0.28860099970598274</v>
      </c>
    </row>
    <row r="168" spans="1:4" x14ac:dyDescent="0.3">
      <c r="A168" s="51">
        <v>74</v>
      </c>
      <c r="B168" s="50">
        <f>$V$4*Performance!$E$12*(1/A168)+Performance!$E$23*(1/Constraints!$V$4)*Constraints!A168</f>
        <v>0.1465498635292895</v>
      </c>
      <c r="C168" s="50">
        <f>$V$5*Performance!$E$12*(1/A168)+Performance!$E$23*(1/Constraints!$V$5)*Constraints!A168</f>
        <v>0.12094236374871659</v>
      </c>
      <c r="D168" s="52">
        <f t="shared" si="2"/>
        <v>0.28887328541826834</v>
      </c>
    </row>
    <row r="169" spans="1:4" x14ac:dyDescent="0.3">
      <c r="A169" s="51">
        <v>74.5</v>
      </c>
      <c r="B169" s="50">
        <f>$V$4*Performance!$E$12*(1/A169)+Performance!$E$23*(1/Constraints!$V$4)*Constraints!A169</f>
        <v>0.14743060373221689</v>
      </c>
      <c r="C169" s="50">
        <f>$V$5*Performance!$E$12*(1/A169)+Performance!$E$23*(1/Constraints!$V$5)*Constraints!A169</f>
        <v>0.12162277627370784</v>
      </c>
      <c r="D169" s="52">
        <f t="shared" si="2"/>
        <v>0.28914557113055395</v>
      </c>
    </row>
    <row r="170" spans="1:4" x14ac:dyDescent="0.3">
      <c r="A170" s="51">
        <v>75</v>
      </c>
      <c r="B170" s="50">
        <f>$V$4*Performance!$E$12*(1/A170)+Performance!$E$23*(1/Constraints!$V$4)*Constraints!A170</f>
        <v>0.14831207122194545</v>
      </c>
      <c r="C170" s="50">
        <f>$V$5*Performance!$E$12*(1/A170)+Performance!$E$23*(1/Constraints!$V$5)*Constraints!A170</f>
        <v>0.12230409749948698</v>
      </c>
      <c r="D170" s="52">
        <f t="shared" si="2"/>
        <v>0.28941785684283955</v>
      </c>
    </row>
    <row r="171" spans="1:4" x14ac:dyDescent="0.3">
      <c r="A171" s="51">
        <v>75.5</v>
      </c>
      <c r="B171" s="50">
        <f>$V$4*Performance!$E$12*(1/A171)+Performance!$E$23*(1/Constraints!$V$4)*Constraints!A171</f>
        <v>0.14919425154906854</v>
      </c>
      <c r="C171" s="50">
        <f>$V$5*Performance!$E$12*(1/A171)+Performance!$E$23*(1/Constraints!$V$5)*Constraints!A171</f>
        <v>0.12298630937239595</v>
      </c>
      <c r="D171" s="52">
        <f t="shared" si="2"/>
        <v>0.28969014255512515</v>
      </c>
    </row>
    <row r="172" spans="1:4" x14ac:dyDescent="0.3">
      <c r="A172" s="51">
        <v>76</v>
      </c>
      <c r="B172" s="50">
        <f>$V$4*Performance!$E$12*(1/A172)+Performance!$E$23*(1/Constraints!$V$4)*Constraints!A172</f>
        <v>0.15007713064442704</v>
      </c>
      <c r="C172" s="50">
        <f>$V$5*Performance!$E$12*(1/A172)+Performance!$E$23*(1/Constraints!$V$5)*Constraints!A172</f>
        <v>0.123669394313873</v>
      </c>
      <c r="D172" s="52">
        <f t="shared" si="2"/>
        <v>0.2899624282674107</v>
      </c>
    </row>
    <row r="173" spans="1:4" x14ac:dyDescent="0.3">
      <c r="A173" s="51">
        <v>76.5</v>
      </c>
      <c r="B173" s="50">
        <f>$V$4*Performance!$E$12*(1/A173)+Performance!$E$23*(1/Constraints!$V$4)*Constraints!A173</f>
        <v>0.15096069480668303</v>
      </c>
      <c r="C173" s="50">
        <f>$V$5*Performance!$E$12*(1/A173)+Performance!$E$23*(1/Constraints!$V$5)*Constraints!A173</f>
        <v>0.12435333520492657</v>
      </c>
      <c r="D173" s="52">
        <f t="shared" si="2"/>
        <v>0.2902347139796963</v>
      </c>
    </row>
    <row r="174" spans="1:4" x14ac:dyDescent="0.3">
      <c r="A174" s="51">
        <v>77</v>
      </c>
      <c r="B174" s="50">
        <f>$V$4*Performance!$E$12*(1/A174)+Performance!$E$23*(1/Constraints!$V$4)*Constraints!A174</f>
        <v>0.15184493069037744</v>
      </c>
      <c r="C174" s="50">
        <f>$V$5*Performance!$E$12*(1/A174)+Performance!$E$23*(1/Constraints!$V$5)*Constraints!A174</f>
        <v>0.12503811537121429</v>
      </c>
      <c r="D174" s="52">
        <f t="shared" si="2"/>
        <v>0.2905069996919819</v>
      </c>
    </row>
    <row r="175" spans="1:4" x14ac:dyDescent="0.3">
      <c r="A175" s="51">
        <v>77.5</v>
      </c>
      <c r="B175" s="50">
        <f>$V$4*Performance!$E$12*(1/A175)+Performance!$E$23*(1/Constraints!$V$4)*Constraints!A175</f>
        <v>0.15272982529445014</v>
      </c>
      <c r="C175" s="50">
        <f>$V$5*Performance!$E$12*(1/A175)+Performance!$E$23*(1/Constraints!$V$5)*Constraints!A175</f>
        <v>0.12572371856869935</v>
      </c>
      <c r="D175" s="52">
        <f t="shared" si="2"/>
        <v>0.29077928540426751</v>
      </c>
    </row>
    <row r="176" spans="1:4" x14ac:dyDescent="0.3">
      <c r="A176" s="51">
        <v>78</v>
      </c>
      <c r="B176" s="50">
        <f>$V$4*Performance!$E$12*(1/A176)+Performance!$E$23*(1/Constraints!$V$4)*Constraints!A176</f>
        <v>0.15361536595120165</v>
      </c>
      <c r="C176" s="50">
        <f>$V$5*Performance!$E$12*(1/A176)+Performance!$E$23*(1/Constraints!$V$5)*Constraints!A176</f>
        <v>0.12641012896985876</v>
      </c>
      <c r="D176" s="52">
        <f t="shared" si="2"/>
        <v>0.29105157111655311</v>
      </c>
    </row>
    <row r="177" spans="1:4" x14ac:dyDescent="0.3">
      <c r="A177" s="51">
        <v>78.5</v>
      </c>
      <c r="B177" s="50">
        <f>$V$4*Performance!$E$12*(1/A177)+Performance!$E$23*(1/Constraints!$V$4)*Constraints!A177</f>
        <v>0.15450154031567623</v>
      </c>
      <c r="C177" s="50">
        <f>$V$5*Performance!$E$12*(1/A177)+Performance!$E$23*(1/Constraints!$V$5)*Constraints!A177</f>
        <v>0.12709733115041844</v>
      </c>
      <c r="D177" s="52">
        <f t="shared" si="2"/>
        <v>0.29132385682883871</v>
      </c>
    </row>
    <row r="178" spans="1:4" x14ac:dyDescent="0.3">
      <c r="A178" s="51">
        <v>79</v>
      </c>
      <c r="B178" s="50">
        <f>$V$4*Performance!$E$12*(1/A178)+Performance!$E$23*(1/Constraints!$V$4)*Constraints!A178</f>
        <v>0.1553883363554488</v>
      </c>
      <c r="C178" s="50">
        <f>$V$5*Performance!$E$12*(1/A178)+Performance!$E$23*(1/Constraints!$V$5)*Constraints!A178</f>
        <v>0.12778531007659233</v>
      </c>
      <c r="D178" s="52">
        <f t="shared" si="2"/>
        <v>0.29159614254112431</v>
      </c>
    </row>
    <row r="179" spans="1:4" x14ac:dyDescent="0.3">
      <c r="A179" s="51">
        <v>79.5</v>
      </c>
      <c r="B179" s="50">
        <f>$V$4*Performance!$E$12*(1/A179)+Performance!$E$23*(1/Constraints!$V$4)*Constraints!A179</f>
        <v>0.15627574234079675</v>
      </c>
      <c r="C179" s="50">
        <f>$V$5*Performance!$E$12*(1/A179)+Performance!$E$23*(1/Constraints!$V$5)*Constraints!A179</f>
        <v>0.1284740510928028</v>
      </c>
      <c r="D179" s="52">
        <f t="shared" si="2"/>
        <v>0.29186842825340992</v>
      </c>
    </row>
    <row r="180" spans="1:4" x14ac:dyDescent="0.3">
      <c r="A180" s="51">
        <v>80</v>
      </c>
      <c r="B180" s="50">
        <f>$V$4*Performance!$E$12*(1/A180)+Performance!$E$23*(1/Constraints!$V$4)*Constraints!A180</f>
        <v>0.15716374683524054</v>
      </c>
      <c r="C180" s="50">
        <f>$V$5*Performance!$E$12*(1/A180)+Performance!$E$23*(1/Constraints!$V$5)*Constraints!A180</f>
        <v>0.12916353990986165</v>
      </c>
      <c r="D180" s="52">
        <f t="shared" si="2"/>
        <v>0.29214071396569552</v>
      </c>
    </row>
    <row r="181" spans="1:4" x14ac:dyDescent="0.3">
      <c r="A181" s="51">
        <v>80.5</v>
      </c>
      <c r="B181" s="50">
        <f>$V$4*Performance!$E$12*(1/A181)+Performance!$E$23*(1/Constraints!$V$4)*Constraints!A181</f>
        <v>0.15805233868643676</v>
      </c>
      <c r="C181" s="50">
        <f>$V$5*Performance!$E$12*(1/A181)+Performance!$E$23*(1/Constraints!$V$5)*Constraints!A181</f>
        <v>0.12985376259359163</v>
      </c>
      <c r="D181" s="52">
        <f t="shared" si="2"/>
        <v>0.29241299967798107</v>
      </c>
    </row>
    <row r="182" spans="1:4" x14ac:dyDescent="0.3">
      <c r="A182" s="51">
        <v>81</v>
      </c>
      <c r="B182" s="50">
        <f>$V$4*Performance!$E$12*(1/A182)+Performance!$E$23*(1/Constraints!$V$4)*Constraints!A182</f>
        <v>0.15894150701740853</v>
      </c>
      <c r="C182" s="50">
        <f>$V$5*Performance!$E$12*(1/A182)+Performance!$E$23*(1/Constraints!$V$5)*Constraints!A182</f>
        <v>0.13054470555386916</v>
      </c>
      <c r="D182" s="52">
        <f t="shared" si="2"/>
        <v>0.29268528539026667</v>
      </c>
    </row>
    <row r="183" spans="1:4" x14ac:dyDescent="0.3">
      <c r="A183" s="51">
        <v>81.5</v>
      </c>
      <c r="B183" s="50">
        <f>$V$4*Performance!$E$12*(1/A183)+Performance!$E$23*(1/Constraints!$V$4)*Constraints!A183</f>
        <v>0.15983124121809861</v>
      </c>
      <c r="C183" s="50">
        <f>$V$5*Performance!$E$12*(1/A183)+Performance!$E$23*(1/Constraints!$V$5)*Constraints!A183</f>
        <v>0.13123635553407068</v>
      </c>
      <c r="D183" s="52">
        <f t="shared" si="2"/>
        <v>0.29295757110255227</v>
      </c>
    </row>
    <row r="184" spans="1:4" x14ac:dyDescent="0.3">
      <c r="A184" s="51">
        <v>82</v>
      </c>
      <c r="B184" s="50">
        <f>$V$4*Performance!$E$12*(1/A184)+Performance!$E$23*(1/Constraints!$V$4)*Constraints!A184</f>
        <v>0.16072153093723168</v>
      </c>
      <c r="C184" s="50">
        <f>$V$5*Performance!$E$12*(1/A184)+Performance!$E$23*(1/Constraints!$V$5)*Constraints!A184</f>
        <v>0.13192869960090486</v>
      </c>
      <c r="D184" s="52">
        <f t="shared" si="2"/>
        <v>0.29322985681483787</v>
      </c>
    </row>
    <row r="185" spans="1:4" x14ac:dyDescent="0.3">
      <c r="A185" s="51">
        <v>82.5</v>
      </c>
      <c r="B185" s="50">
        <f>$V$4*Performance!$E$12*(1/A185)+Performance!$E$23*(1/Constraints!$V$4)*Constraints!A185</f>
        <v>0.16161236607447241</v>
      </c>
      <c r="C185" s="50">
        <f>$V$5*Performance!$E$12*(1/A185)+Performance!$E$23*(1/Constraints!$V$5)*Constraints!A185</f>
        <v>0.13262172513461479</v>
      </c>
      <c r="D185" s="52">
        <f t="shared" si="2"/>
        <v>0.29350214252712348</v>
      </c>
    </row>
    <row r="186" spans="1:4" x14ac:dyDescent="0.3">
      <c r="A186" s="51">
        <v>83</v>
      </c>
      <c r="B186" s="50">
        <f>$V$4*Performance!$E$12*(1/A186)+Performance!$E$23*(1/Constraints!$V$4)*Constraints!A186</f>
        <v>0.16250373677286706</v>
      </c>
      <c r="C186" s="50">
        <f>$V$5*Performance!$E$12*(1/A186)+Performance!$E$23*(1/Constraints!$V$5)*Constraints!A186</f>
        <v>0.13331541981953404</v>
      </c>
      <c r="D186" s="52">
        <f t="shared" si="2"/>
        <v>0.29377442823940908</v>
      </c>
    </row>
    <row r="187" spans="1:4" x14ac:dyDescent="0.3">
      <c r="A187" s="51">
        <v>83.5</v>
      </c>
      <c r="B187" s="50">
        <f>$V$4*Performance!$E$12*(1/A187)+Performance!$E$23*(1/Constraints!$V$4)*Constraints!A187</f>
        <v>0.16339563341155655</v>
      </c>
      <c r="C187" s="50">
        <f>$V$5*Performance!$E$12*(1/A187)+Performance!$E$23*(1/Constraints!$V$5)*Constraints!A187</f>
        <v>0.13400977163498218</v>
      </c>
      <c r="D187" s="52">
        <f t="shared" si="2"/>
        <v>0.29404671395169468</v>
      </c>
    </row>
    <row r="188" spans="1:4" x14ac:dyDescent="0.3">
      <c r="A188" s="51">
        <v>84</v>
      </c>
      <c r="B188" s="50">
        <f>$V$4*Performance!$E$12*(1/A188)+Performance!$E$23*(1/Constraints!$V$4)*Constraints!A188</f>
        <v>0.1642880465987499</v>
      </c>
      <c r="C188" s="50">
        <f>$V$5*Performance!$E$12*(1/A188)+Performance!$E$23*(1/Constraints!$V$5)*Constraints!A188</f>
        <v>0.13470476884648547</v>
      </c>
      <c r="D188" s="52">
        <f t="shared" si="2"/>
        <v>0.29431899966398029</v>
      </c>
    </row>
    <row r="189" spans="1:4" x14ac:dyDescent="0.3">
      <c r="A189" s="51">
        <v>84.5</v>
      </c>
      <c r="B189" s="50">
        <f>$V$4*Performance!$E$12*(1/A189)+Performance!$E$23*(1/Constraints!$V$4)*Constraints!A189</f>
        <v>0.16518096716494712</v>
      </c>
      <c r="C189" s="50">
        <f>$V$5*Performance!$E$12*(1/A189)+Performance!$E$23*(1/Constraints!$V$5)*Constraints!A189</f>
        <v>0.13540039999730924</v>
      </c>
      <c r="D189" s="52">
        <f t="shared" si="2"/>
        <v>0.29459128537626589</v>
      </c>
    </row>
    <row r="190" spans="1:4" x14ac:dyDescent="0.3">
      <c r="A190" s="51">
        <v>85</v>
      </c>
      <c r="B190" s="50">
        <f>$V$4*Performance!$E$12*(1/A190)+Performance!$E$23*(1/Constraints!$V$4)*Constraints!A190</f>
        <v>0.16607438615640097</v>
      </c>
      <c r="C190" s="50">
        <f>$V$5*Performance!$E$12*(1/A190)+Performance!$E$23*(1/Constraints!$V$5)*Constraints!A190</f>
        <v>0.13609665390028897</v>
      </c>
      <c r="D190" s="52">
        <f t="shared" si="2"/>
        <v>0.29486357108855143</v>
      </c>
    </row>
    <row r="191" spans="1:4" x14ac:dyDescent="0.3">
      <c r="A191" s="51">
        <v>85.5</v>
      </c>
      <c r="B191" s="50">
        <f>$V$4*Performance!$E$12*(1/A191)+Performance!$E$23*(1/Constraints!$V$4)*Constraints!A191</f>
        <v>0.16696829482880873</v>
      </c>
      <c r="C191" s="50">
        <f>$V$5*Performance!$E$12*(1/A191)+Performance!$E$23*(1/Constraints!$V$5)*Constraints!A191</f>
        <v>0.13679351962994829</v>
      </c>
      <c r="D191" s="52">
        <f t="shared" si="2"/>
        <v>0.29513585680083704</v>
      </c>
    </row>
    <row r="192" spans="1:4" x14ac:dyDescent="0.3">
      <c r="A192" s="51">
        <v>86</v>
      </c>
      <c r="B192" s="50">
        <f>$V$4*Performance!$E$12*(1/A192)+Performance!$E$23*(1/Constraints!$V$4)*Constraints!A192</f>
        <v>0.16786268464122361</v>
      </c>
      <c r="C192" s="50">
        <f>$V$5*Performance!$E$12*(1/A192)+Performance!$E$23*(1/Constraints!$V$5)*Constraints!A192</f>
        <v>0.13749098651489158</v>
      </c>
      <c r="D192" s="52">
        <f t="shared" si="2"/>
        <v>0.29540814251312264</v>
      </c>
    </row>
    <row r="193" spans="1:4" x14ac:dyDescent="0.3">
      <c r="A193" s="51">
        <v>86.5</v>
      </c>
      <c r="B193" s="50">
        <f>$V$4*Performance!$E$12*(1/A193)+Performance!$E$23*(1/Constraints!$V$4)*Constraints!A193</f>
        <v>0.16875754725017719</v>
      </c>
      <c r="C193" s="50">
        <f>$V$5*Performance!$E$12*(1/A193)+Performance!$E$23*(1/Constraints!$V$5)*Constraints!A193</f>
        <v>0.13818904413046074</v>
      </c>
      <c r="D193" s="52">
        <f t="shared" si="2"/>
        <v>0.29568042822540824</v>
      </c>
    </row>
    <row r="194" spans="1:4" x14ac:dyDescent="0.3">
      <c r="A194" s="51">
        <v>87</v>
      </c>
      <c r="B194" s="50">
        <f>$V$4*Performance!$E$12*(1/A194)+Performance!$E$23*(1/Constraints!$V$4)*Constraints!A194</f>
        <v>0.16965287450400507</v>
      </c>
      <c r="C194" s="50">
        <f>$V$5*Performance!$E$12*(1/A194)+Performance!$E$23*(1/Constraints!$V$5)*Constraints!A194</f>
        <v>0.13888768229164503</v>
      </c>
      <c r="D194" s="52">
        <f t="shared" si="2"/>
        <v>0.29595271393769385</v>
      </c>
    </row>
    <row r="195" spans="1:4" x14ac:dyDescent="0.3">
      <c r="A195" s="51">
        <v>87.5</v>
      </c>
      <c r="B195" s="50">
        <f>$V$4*Performance!$E$12*(1/A195)+Performance!$E$23*(1/Constraints!$V$4)*Constraints!A195</f>
        <v>0.17054865843736647</v>
      </c>
      <c r="C195" s="50">
        <f>$V$5*Performance!$E$12*(1/A195)+Performance!$E$23*(1/Constraints!$V$5)*Constraints!A195</f>
        <v>0.13958689104623384</v>
      </c>
      <c r="D195" s="52">
        <f t="shared" si="2"/>
        <v>0.29622499964997945</v>
      </c>
    </row>
    <row r="196" spans="1:4" x14ac:dyDescent="0.3">
      <c r="A196" s="51">
        <v>88</v>
      </c>
      <c r="B196" s="50">
        <f>$V$4*Performance!$E$12*(1/A196)+Performance!$E$23*(1/Constraints!$V$4)*Constraints!A196</f>
        <v>0.17144489126595122</v>
      </c>
      <c r="C196" s="50">
        <f>$V$5*Performance!$E$12*(1/A196)+Performance!$E$23*(1/Constraints!$V$5)*Constraints!A196</f>
        <v>0.14028666066820325</v>
      </c>
      <c r="D196" s="52">
        <f t="shared" si="2"/>
        <v>0.29649728536226505</v>
      </c>
    </row>
    <row r="197" spans="1:4" x14ac:dyDescent="0.3">
      <c r="A197" s="51">
        <v>88.5</v>
      </c>
      <c r="B197" s="50">
        <f>$V$4*Performance!$E$12*(1/A197)+Performance!$E$23*(1/Constraints!$V$4)*Constraints!A197</f>
        <v>0.17234156538136572</v>
      </c>
      <c r="C197" s="50">
        <f>$V$5*Performance!$E$12*(1/A197)+Performance!$E$23*(1/Constraints!$V$5)*Constraints!A197</f>
        <v>0.1409869816513265</v>
      </c>
      <c r="D197" s="52">
        <f t="shared" si="2"/>
        <v>0.29676957107455065</v>
      </c>
    </row>
    <row r="198" spans="1:4" x14ac:dyDescent="0.3">
      <c r="A198" s="51">
        <v>89</v>
      </c>
      <c r="B198" s="50">
        <f>$V$4*Performance!$E$12*(1/A198)+Performance!$E$23*(1/Constraints!$V$4)*Constraints!A198</f>
        <v>0.17323867334619142</v>
      </c>
      <c r="C198" s="50">
        <f>$V$5*Performance!$E$12*(1/A198)+Performance!$E$23*(1/Constraints!$V$5)*Constraints!A198</f>
        <v>0.14168784470299986</v>
      </c>
      <c r="D198" s="52">
        <f t="shared" si="2"/>
        <v>0.29704185678683626</v>
      </c>
    </row>
    <row r="199" spans="1:4" x14ac:dyDescent="0.3">
      <c r="A199" s="51">
        <v>89.5</v>
      </c>
      <c r="B199" s="50">
        <f>$V$4*Performance!$E$12*(1/A199)+Performance!$E$23*(1/Constraints!$V$4)*Constraints!A199</f>
        <v>0.17413620788920922</v>
      </c>
      <c r="C199" s="50">
        <f>$V$5*Performance!$E$12*(1/A199)+Performance!$E$23*(1/Constraints!$V$5)*Constraints!A199</f>
        <v>0.14238924073827552</v>
      </c>
      <c r="D199" s="52">
        <f t="shared" si="2"/>
        <v>0.29731414249912186</v>
      </c>
    </row>
    <row r="200" spans="1:4" x14ac:dyDescent="0.3">
      <c r="A200" s="51">
        <v>90</v>
      </c>
      <c r="B200" s="50">
        <f>$V$4*Performance!$E$12*(1/A200)+Performance!$E$23*(1/Constraints!$V$4)*Constraints!A200</f>
        <v>0.17503416190078253</v>
      </c>
      <c r="C200" s="50">
        <f>$V$5*Performance!$E$12*(1/A200)+Performance!$E$23*(1/Constraints!$V$5)*Constraints!A200</f>
        <v>0.14309116087409349</v>
      </c>
      <c r="D200" s="52">
        <f t="shared" si="2"/>
        <v>0.29758642821140746</v>
      </c>
    </row>
    <row r="201" spans="1:4" x14ac:dyDescent="0.3">
      <c r="A201" s="51">
        <v>90.5</v>
      </c>
      <c r="B201" s="50">
        <f>$V$4*Performance!$E$12*(1/A201)+Performance!$E$23*(1/Constraints!$V$4)*Constraints!A201</f>
        <v>0.17593252842839385</v>
      </c>
      <c r="C201" s="50">
        <f>$V$5*Performance!$E$12*(1/A201)+Performance!$E$23*(1/Constraints!$V$5)*Constraints!A201</f>
        <v>0.14379359642370443</v>
      </c>
      <c r="D201" s="52">
        <f t="shared" si="2"/>
        <v>0.29785871392369301</v>
      </c>
    </row>
    <row r="202" spans="1:4" x14ac:dyDescent="0.3">
      <c r="A202" s="51">
        <v>91</v>
      </c>
      <c r="B202" s="50">
        <f>$V$4*Performance!$E$12*(1/A202)+Performance!$E$23*(1/Constraints!$V$4)*Constraints!A202</f>
        <v>0.1768313006723283</v>
      </c>
      <c r="C202" s="50">
        <f>$V$5*Performance!$E$12*(1/A202)+Performance!$E$23*(1/Constraints!$V$5)*Constraints!A202</f>
        <v>0.14449653889127659</v>
      </c>
      <c r="D202" s="52">
        <f t="shared" si="2"/>
        <v>0.29813099963597861</v>
      </c>
    </row>
    <row r="203" spans="1:4" x14ac:dyDescent="0.3">
      <c r="A203" s="51">
        <v>91.5</v>
      </c>
      <c r="B203" s="50">
        <f>$V$4*Performance!$E$12*(1/A203)+Performance!$E$23*(1/Constraints!$V$4)*Constraints!A203</f>
        <v>0.17773047198149861</v>
      </c>
      <c r="C203" s="50">
        <f>$V$5*Performance!$E$12*(1/A203)+Performance!$E$23*(1/Constraints!$V$5)*Constraints!A203</f>
        <v>0.14519997996667947</v>
      </c>
      <c r="D203" s="52">
        <f t="shared" si="2"/>
        <v>0.29840328534826421</v>
      </c>
    </row>
    <row r="204" spans="1:4" x14ac:dyDescent="0.3">
      <c r="A204" s="51">
        <v>92</v>
      </c>
      <c r="B204" s="50">
        <f>$V$4*Performance!$E$12*(1/A204)+Performance!$E$23*(1/Constraints!$V$4)*Constraints!A204</f>
        <v>0.17863003584940634</v>
      </c>
      <c r="C204" s="50">
        <f>$V$5*Performance!$E$12*(1/A204)+Performance!$E$23*(1/Constraints!$V$5)*Constraints!A204</f>
        <v>0.14590391152043755</v>
      </c>
      <c r="D204" s="52">
        <f t="shared" si="2"/>
        <v>0.29867557106054982</v>
      </c>
    </row>
    <row r="205" spans="1:4" x14ac:dyDescent="0.3">
      <c r="A205" s="51">
        <v>92.5</v>
      </c>
      <c r="B205" s="50">
        <f>$V$4*Performance!$E$12*(1/A205)+Performance!$E$23*(1/Constraints!$V$4)*Constraints!A205</f>
        <v>0.1795299859102342</v>
      </c>
      <c r="C205" s="50">
        <f>$V$5*Performance!$E$12*(1/A205)+Performance!$E$23*(1/Constraints!$V$5)*Constraints!A205</f>
        <v>0.14660832559884782</v>
      </c>
      <c r="D205" s="52">
        <f t="shared" si="2"/>
        <v>0.29894785677283542</v>
      </c>
    </row>
    <row r="206" spans="1:4" x14ac:dyDescent="0.3">
      <c r="A206" s="51">
        <v>93</v>
      </c>
      <c r="B206" s="50">
        <f>$V$4*Performance!$E$12*(1/A206)+Performance!$E$23*(1/Constraints!$V$4)*Constraints!A206</f>
        <v>0.18043031593506403</v>
      </c>
      <c r="C206" s="50">
        <f>$V$5*Performance!$E$12*(1/A206)+Performance!$E$23*(1/Constraints!$V$5)*Constraints!A206</f>
        <v>0.14731321441925452</v>
      </c>
      <c r="D206" s="52">
        <f t="shared" si="2"/>
        <v>0.29922014248512102</v>
      </c>
    </row>
    <row r="207" spans="1:4" x14ac:dyDescent="0.3">
      <c r="A207" s="51">
        <v>93.5</v>
      </c>
      <c r="B207" s="50">
        <f>$V$4*Performance!$E$12*(1/A207)+Performance!$E$23*(1/Constraints!$V$4)*Constraints!A207</f>
        <v>0.18133101982821673</v>
      </c>
      <c r="C207" s="50">
        <f>$V$5*Performance!$E$12*(1/A207)+Performance!$E$23*(1/Constraints!$V$5)*Constraints!A207</f>
        <v>0.14801857036547592</v>
      </c>
      <c r="D207" s="52">
        <f t="shared" si="2"/>
        <v>0.29949242819740662</v>
      </c>
    </row>
    <row r="208" spans="1:4" x14ac:dyDescent="0.3">
      <c r="A208" s="51">
        <v>94</v>
      </c>
      <c r="B208" s="50">
        <f>$V$4*Performance!$E$12*(1/A208)+Performance!$E$23*(1/Constraints!$V$4)*Constraints!A208</f>
        <v>0.18223209162370835</v>
      </c>
      <c r="C208" s="50">
        <f>$V$5*Performance!$E$12*(1/A208)+Performance!$E$23*(1/Constraints!$V$5)*Constraints!A208</f>
        <v>0.14872438598337673</v>
      </c>
      <c r="D208" s="52">
        <f t="shared" si="2"/>
        <v>0.29976471390969223</v>
      </c>
    </row>
    <row r="209" spans="1:4" x14ac:dyDescent="0.3">
      <c r="A209" s="51">
        <v>94.5</v>
      </c>
      <c r="B209" s="50">
        <f>$V$4*Performance!$E$12*(1/A209)+Performance!$E$23*(1/Constraints!$V$4)*Constraints!A209</f>
        <v>0.18313352548181927</v>
      </c>
      <c r="C209" s="50">
        <f>$V$5*Performance!$E$12*(1/A209)+Performance!$E$23*(1/Constraints!$V$5)*Constraints!A209</f>
        <v>0.14943065397658103</v>
      </c>
      <c r="D209" s="52">
        <f t="shared" si="2"/>
        <v>0.30003699962197783</v>
      </c>
    </row>
    <row r="210" spans="1:4" x14ac:dyDescent="0.3">
      <c r="A210" s="51">
        <v>95</v>
      </c>
      <c r="B210" s="50">
        <f>$V$4*Performance!$E$12*(1/A210)+Performance!$E$23*(1/Constraints!$V$4)*Constraints!A210</f>
        <v>0.18403531568577133</v>
      </c>
      <c r="C210" s="50">
        <f>$V$5*Performance!$E$12*(1/A210)+Performance!$E$23*(1/Constraints!$V$5)*Constraints!A210</f>
        <v>0.15013736720232088</v>
      </c>
      <c r="D210" s="52">
        <f t="shared" si="2"/>
        <v>0.30030928533426338</v>
      </c>
    </row>
    <row r="211" spans="1:4" x14ac:dyDescent="0.3">
      <c r="A211" s="51">
        <v>95.5</v>
      </c>
      <c r="B211" s="50">
        <f>$V$4*Performance!$E$12*(1/A211)+Performance!$E$23*(1/Constraints!$V$4)*Constraints!A211</f>
        <v>0.18493745663850936</v>
      </c>
      <c r="C211" s="50">
        <f>$V$5*Performance!$E$12*(1/A211)+Performance!$E$23*(1/Constraints!$V$5)*Constraints!A211</f>
        <v>0.15084451866741511</v>
      </c>
      <c r="D211" s="52">
        <f t="shared" si="2"/>
        <v>0.30058157104654898</v>
      </c>
    </row>
    <row r="212" spans="1:4" x14ac:dyDescent="0.3">
      <c r="A212" s="51">
        <v>96</v>
      </c>
      <c r="B212" s="50">
        <f>$V$4*Performance!$E$12*(1/A212)+Performance!$E$23*(1/Constraints!$V$4)*Constraints!A212</f>
        <v>0.18583994285958363</v>
      </c>
      <c r="C212" s="50">
        <f>$V$5*Performance!$E$12*(1/A212)+Performance!$E$23*(1/Constraints!$V$5)*Constraints!A212</f>
        <v>0.15155210152437382</v>
      </c>
      <c r="D212" s="52">
        <f t="shared" si="2"/>
        <v>0.30085385675883458</v>
      </c>
    </row>
    <row r="213" spans="1:4" x14ac:dyDescent="0.3">
      <c r="A213" s="51">
        <v>96.5</v>
      </c>
      <c r="B213" s="50">
        <f>$V$4*Performance!$E$12*(1/A213)+Performance!$E$23*(1/Constraints!$V$4)*Constraints!A213</f>
        <v>0.18674276898212874</v>
      </c>
      <c r="C213" s="50">
        <f>$V$5*Performance!$E$12*(1/A213)+Performance!$E$23*(1/Constraints!$V$5)*Constraints!A213</f>
        <v>0.15226010906762391</v>
      </c>
      <c r="D213" s="52">
        <f t="shared" si="2"/>
        <v>0.30112614247112018</v>
      </c>
    </row>
    <row r="214" spans="1:4" x14ac:dyDescent="0.3">
      <c r="A214" s="51">
        <v>97</v>
      </c>
      <c r="B214" s="50">
        <f>$V$4*Performance!$E$12*(1/A214)+Performance!$E$23*(1/Constraints!$V$4)*Constraints!A214</f>
        <v>0.18764592974993646</v>
      </c>
      <c r="C214" s="50">
        <f>$V$5*Performance!$E$12*(1/A214)+Performance!$E$23*(1/Constraints!$V$5)*Constraints!A214</f>
        <v>0.15296853472985167</v>
      </c>
      <c r="D214" s="52">
        <f t="shared" si="2"/>
        <v>0.30139842818340579</v>
      </c>
    </row>
    <row r="215" spans="1:4" x14ac:dyDescent="0.3">
      <c r="A215" s="51">
        <v>97.5</v>
      </c>
      <c r="B215" s="50">
        <f>$V$4*Performance!$E$12*(1/A215)+Performance!$E$23*(1/Constraints!$V$4)*Constraints!A215</f>
        <v>0.18854942001461811</v>
      </c>
      <c r="C215" s="50">
        <f>$V$5*Performance!$E$12*(1/A215)+Performance!$E$23*(1/Constraints!$V$5)*Constraints!A215</f>
        <v>0.15367737207845747</v>
      </c>
      <c r="D215" s="52">
        <f t="shared" ref="D215:D278" si="3">1.21/(9.8*$N$7*$N$8*$N$5)*A215+0.605/$N$8*($N$11-$N$6*$N$10)+$N$6</f>
        <v>0.30167071389569139</v>
      </c>
    </row>
    <row r="216" spans="1:4" x14ac:dyDescent="0.3">
      <c r="A216" s="51">
        <v>98</v>
      </c>
      <c r="B216" s="50">
        <f>$V$4*Performance!$E$12*(1/A216)+Performance!$E$23*(1/Constraints!$V$4)*Constraints!A216</f>
        <v>0.18945323473285416</v>
      </c>
      <c r="C216" s="50">
        <f>$V$5*Performance!$E$12*(1/A216)+Performance!$E$23*(1/Constraints!$V$5)*Constraints!A216</f>
        <v>0.1543866148121191</v>
      </c>
      <c r="D216" s="52">
        <f t="shared" si="3"/>
        <v>0.30194299960797699</v>
      </c>
    </row>
    <row r="217" spans="1:4" x14ac:dyDescent="0.3">
      <c r="A217" s="51">
        <v>98.5</v>
      </c>
      <c r="B217" s="50">
        <f>$V$4*Performance!$E$12*(1/A217)+Performance!$E$23*(1/Constraints!$V$4)*Constraints!A217</f>
        <v>0.19035736896372757</v>
      </c>
      <c r="C217" s="50">
        <f>$V$5*Performance!$E$12*(1/A217)+Performance!$E$23*(1/Constraints!$V$5)*Constraints!A217</f>
        <v>0.15509625675746014</v>
      </c>
      <c r="D217" s="52">
        <f t="shared" si="3"/>
        <v>0.30221528532026259</v>
      </c>
    </row>
    <row r="218" spans="1:4" x14ac:dyDescent="0.3">
      <c r="A218" s="51">
        <v>99</v>
      </c>
      <c r="B218" s="50">
        <f>$V$4*Performance!$E$12*(1/A218)+Performance!$E$23*(1/Constraints!$V$4)*Constraints!A218</f>
        <v>0.19126181786613777</v>
      </c>
      <c r="C218" s="50">
        <f>$V$5*Performance!$E$12*(1/A218)+Performance!$E$23*(1/Constraints!$V$5)*Constraints!A218</f>
        <v>0.15580629186581876</v>
      </c>
      <c r="D218" s="52">
        <f t="shared" si="3"/>
        <v>0.3024875710325482</v>
      </c>
    </row>
    <row r="219" spans="1:4" x14ac:dyDescent="0.3">
      <c r="A219" s="51">
        <v>99.5</v>
      </c>
      <c r="B219" s="50">
        <f>$V$4*Performance!$E$12*(1/A219)+Performance!$E$23*(1/Constraints!$V$4)*Constraints!A219</f>
        <v>0.19216657669629272</v>
      </c>
      <c r="C219" s="50">
        <f>$V$5*Performance!$E$12*(1/A219)+Performance!$E$23*(1/Constraints!$V$5)*Constraints!A219</f>
        <v>0.15651671421011434</v>
      </c>
      <c r="D219" s="52">
        <f t="shared" si="3"/>
        <v>0.30275985674483374</v>
      </c>
    </row>
    <row r="220" spans="1:4" x14ac:dyDescent="0.3">
      <c r="A220" s="51">
        <v>100</v>
      </c>
      <c r="B220" s="50">
        <f>$V$4*Performance!$E$12*(1/A220)+Performance!$E$23*(1/Constraints!$V$4)*Constraints!A220</f>
        <v>0.19307164080527633</v>
      </c>
      <c r="C220" s="50">
        <f>$V$5*Performance!$E$12*(1/A220)+Performance!$E$23*(1/Constraints!$V$5)*Constraints!A220</f>
        <v>0.15722751798180773</v>
      </c>
      <c r="D220" s="52">
        <f t="shared" si="3"/>
        <v>0.30303214245711935</v>
      </c>
    </row>
    <row r="221" spans="1:4" x14ac:dyDescent="0.3">
      <c r="A221" s="51">
        <v>100.5</v>
      </c>
      <c r="B221" s="50">
        <f>$V$4*Performance!$E$12*(1/A221)+Performance!$E$23*(1/Constraints!$V$4)*Constraints!A221</f>
        <v>0.19397700563668804</v>
      </c>
      <c r="C221" s="50">
        <f>$V$5*Performance!$E$12*(1/A221)+Performance!$E$23*(1/Constraints!$V$5)*Constraints!A221</f>
        <v>0.15793869748795278</v>
      </c>
      <c r="D221" s="52">
        <f t="shared" si="3"/>
        <v>0.30330442816940495</v>
      </c>
    </row>
    <row r="222" spans="1:4" x14ac:dyDescent="0.3">
      <c r="A222" s="51">
        <v>101</v>
      </c>
      <c r="B222" s="50">
        <f>$V$4*Performance!$E$12*(1/A222)+Performance!$E$23*(1/Constraints!$V$4)*Constraints!A222</f>
        <v>0.19488266672435328</v>
      </c>
      <c r="C222" s="50">
        <f>$V$5*Performance!$E$12*(1/A222)+Performance!$E$23*(1/Constraints!$V$5)*Constraints!A222</f>
        <v>0.15865024714833484</v>
      </c>
      <c r="D222" s="52">
        <f t="shared" si="3"/>
        <v>0.30357671388169055</v>
      </c>
    </row>
    <row r="223" spans="1:4" x14ac:dyDescent="0.3">
      <c r="A223" s="51">
        <v>101.5</v>
      </c>
      <c r="B223" s="50">
        <f>$V$4*Performance!$E$12*(1/A223)+Performance!$E$23*(1/Constraints!$V$4)*Constraints!A223</f>
        <v>0.19578861969010081</v>
      </c>
      <c r="C223" s="50">
        <f>$V$5*Performance!$E$12*(1/A223)+Performance!$E$23*(1/Constraints!$V$5)*Constraints!A223</f>
        <v>0.15936216149269422</v>
      </c>
      <c r="D223" s="52">
        <f t="shared" si="3"/>
        <v>0.30384899959397615</v>
      </c>
    </row>
    <row r="224" spans="1:4" x14ac:dyDescent="0.3">
      <c r="A224" s="51">
        <v>102</v>
      </c>
      <c r="B224" s="50">
        <f>$V$4*Performance!$E$12*(1/A224)+Performance!$E$23*(1/Constraints!$V$4)*Constraints!A224</f>
        <v>0.19669486024160582</v>
      </c>
      <c r="C224" s="50">
        <f>$V$5*Performance!$E$12*(1/A224)+Performance!$E$23*(1/Constraints!$V$5)*Constraints!A224</f>
        <v>0.1600744351580313</v>
      </c>
      <c r="D224" s="52">
        <f t="shared" si="3"/>
        <v>0.30412128530626176</v>
      </c>
    </row>
    <row r="225" spans="1:4" x14ac:dyDescent="0.3">
      <c r="A225" s="51">
        <v>102.5</v>
      </c>
      <c r="B225" s="50">
        <f>$V$4*Performance!$E$12*(1/A225)+Performance!$E$23*(1/Constraints!$V$4)*Constraints!A225</f>
        <v>0.19760138417029632</v>
      </c>
      <c r="C225" s="50">
        <f>$V$5*Performance!$E$12*(1/A225)+Performance!$E$23*(1/Constraints!$V$5)*Constraints!A225</f>
        <v>0.16078706288599026</v>
      </c>
      <c r="D225" s="52">
        <f t="shared" si="3"/>
        <v>0.30439357101854736</v>
      </c>
    </row>
    <row r="226" spans="1:4" x14ac:dyDescent="0.3">
      <c r="A226" s="51">
        <v>103</v>
      </c>
      <c r="B226" s="50">
        <f>$V$4*Performance!$E$12*(1/A226)+Performance!$E$23*(1/Constraints!$V$4)*Constraints!A226</f>
        <v>0.19850818734932008</v>
      </c>
      <c r="C226" s="50">
        <f>$V$5*Performance!$E$12*(1/A226)+Performance!$E$23*(1/Constraints!$V$5)*Constraints!A226</f>
        <v>0.16150003952031936</v>
      </c>
      <c r="D226" s="52">
        <f t="shared" si="3"/>
        <v>0.30466585673083296</v>
      </c>
    </row>
    <row r="227" spans="1:4" x14ac:dyDescent="0.3">
      <c r="A227" s="51">
        <v>103.5</v>
      </c>
      <c r="B227" s="50">
        <f>$V$4*Performance!$E$12*(1/A227)+Performance!$E$23*(1/Constraints!$V$4)*Constraints!A227</f>
        <v>0.19941526573157076</v>
      </c>
      <c r="C227" s="50">
        <f>$V$5*Performance!$E$12*(1/A227)+Performance!$E$23*(1/Constraints!$V$5)*Constraints!A227</f>
        <v>0.16221336000440453</v>
      </c>
      <c r="D227" s="52">
        <f t="shared" si="3"/>
        <v>0.30493814244311856</v>
      </c>
    </row>
    <row r="228" spans="1:4" x14ac:dyDescent="0.3">
      <c r="A228" s="51">
        <v>104</v>
      </c>
      <c r="B228" s="50">
        <f>$V$4*Performance!$E$12*(1/A228)+Performance!$E$23*(1/Constraints!$V$4)*Constraints!A228</f>
        <v>0.20032261534777115</v>
      </c>
      <c r="C228" s="50">
        <f>$V$5*Performance!$E$12*(1/A228)+Performance!$E$23*(1/Constraints!$V$5)*Constraints!A228</f>
        <v>0.16292701937887427</v>
      </c>
      <c r="D228" s="52">
        <f t="shared" si="3"/>
        <v>0.30521042815540417</v>
      </c>
    </row>
    <row r="229" spans="1:4" x14ac:dyDescent="0.3">
      <c r="A229" s="51">
        <v>104.5</v>
      </c>
      <c r="B229" s="50">
        <f>$V$4*Performance!$E$12*(1/A229)+Performance!$E$23*(1/Constraints!$V$4)*Constraints!A229</f>
        <v>0.2012302323046109</v>
      </c>
      <c r="C229" s="50">
        <f>$V$5*Performance!$E$12*(1/A229)+Performance!$E$23*(1/Constraints!$V$5)*Constraints!A229</f>
        <v>0.16364101277927334</v>
      </c>
      <c r="D229" s="52">
        <f t="shared" si="3"/>
        <v>0.30548271386768977</v>
      </c>
    </row>
    <row r="230" spans="1:4" x14ac:dyDescent="0.3">
      <c r="A230" s="51">
        <v>105</v>
      </c>
      <c r="B230" s="50">
        <f>$V$4*Performance!$E$12*(1/A230)+Performance!$E$23*(1/Constraints!$V$4)*Constraints!A230</f>
        <v>0.202138112782938</v>
      </c>
      <c r="C230" s="50">
        <f>$V$5*Performance!$E$12*(1/A230)+Performance!$E$23*(1/Constraints!$V$5)*Constraints!A230</f>
        <v>0.16435533543380271</v>
      </c>
      <c r="D230" s="52">
        <f t="shared" si="3"/>
        <v>0.30575499957997532</v>
      </c>
    </row>
    <row r="231" spans="1:4" x14ac:dyDescent="0.3">
      <c r="A231" s="51">
        <v>105.5</v>
      </c>
      <c r="B231" s="50">
        <f>$V$4*Performance!$E$12*(1/A231)+Performance!$E$23*(1/Constraints!$V$4)*Constraints!A231</f>
        <v>0.20304625303600152</v>
      </c>
      <c r="C231" s="50">
        <f>$V$5*Performance!$E$12*(1/A231)+Performance!$E$23*(1/Constraints!$V$5)*Constraints!A231</f>
        <v>0.16506998266112405</v>
      </c>
      <c r="D231" s="52">
        <f t="shared" si="3"/>
        <v>0.30602728529226092</v>
      </c>
    </row>
    <row r="232" spans="1:4" x14ac:dyDescent="0.3">
      <c r="A232" s="51">
        <v>106</v>
      </c>
      <c r="B232" s="50">
        <f>$V$4*Performance!$E$12*(1/A232)+Performance!$E$23*(1/Constraints!$V$4)*Constraints!A232</f>
        <v>0.2039546493877438</v>
      </c>
      <c r="C232" s="50">
        <f>$V$5*Performance!$E$12*(1/A232)+Performance!$E$23*(1/Constraints!$V$5)*Constraints!A232</f>
        <v>0.16578494986822614</v>
      </c>
      <c r="D232" s="52">
        <f t="shared" si="3"/>
        <v>0.30629957100454652</v>
      </c>
    </row>
    <row r="233" spans="1:4" x14ac:dyDescent="0.3">
      <c r="A233" s="51">
        <v>106.5</v>
      </c>
      <c r="B233" s="50">
        <f>$V$4*Performance!$E$12*(1/A233)+Performance!$E$23*(1/Constraints!$V$4)*Constraints!A233</f>
        <v>0.20486329823114127</v>
      </c>
      <c r="C233" s="50">
        <f>$V$5*Performance!$E$12*(1/A233)+Performance!$E$23*(1/Constraints!$V$5)*Constraints!A233</f>
        <v>0.16650023254835156</v>
      </c>
      <c r="D233" s="52">
        <f t="shared" si="3"/>
        <v>0.30657185671683213</v>
      </c>
    </row>
    <row r="234" spans="1:4" x14ac:dyDescent="0.3">
      <c r="A234" s="51">
        <v>107</v>
      </c>
      <c r="B234" s="50">
        <f>$V$4*Performance!$E$12*(1/A234)+Performance!$E$23*(1/Constraints!$V$4)*Constraints!A234</f>
        <v>0.20577219602659119</v>
      </c>
      <c r="C234" s="50">
        <f>$V$5*Performance!$E$12*(1/A234)+Performance!$E$23*(1/Constraints!$V$5)*Constraints!A234</f>
        <v>0.16721582627898121</v>
      </c>
      <c r="D234" s="52">
        <f t="shared" si="3"/>
        <v>0.30684414242911773</v>
      </c>
    </row>
    <row r="235" spans="1:4" x14ac:dyDescent="0.3">
      <c r="A235" s="51">
        <v>107.5</v>
      </c>
      <c r="B235" s="50">
        <f>$V$4*Performance!$E$12*(1/A235)+Performance!$E$23*(1/Constraints!$V$4)*Constraints!A235</f>
        <v>0.20668133930034405</v>
      </c>
      <c r="C235" s="50">
        <f>$V$5*Performance!$E$12*(1/A235)+Performance!$E$23*(1/Constraints!$V$5)*Constraints!A235</f>
        <v>0.16793172671987555</v>
      </c>
      <c r="D235" s="52">
        <f t="shared" si="3"/>
        <v>0.30711642814140333</v>
      </c>
    </row>
    <row r="236" spans="1:4" x14ac:dyDescent="0.3">
      <c r="A236" s="51">
        <v>108</v>
      </c>
      <c r="B236" s="50">
        <f>$V$4*Performance!$E$12*(1/A236)+Performance!$E$23*(1/Constraints!$V$4)*Constraints!A236</f>
        <v>0.20759072464297901</v>
      </c>
      <c r="C236" s="50">
        <f>$V$5*Performance!$E$12*(1/A236)+Performance!$E$23*(1/Constraints!$V$5)*Constraints!A236</f>
        <v>0.16864792961116978</v>
      </c>
      <c r="D236" s="52">
        <f t="shared" si="3"/>
        <v>0.30738871385368893</v>
      </c>
    </row>
    <row r="237" spans="1:4" x14ac:dyDescent="0.3">
      <c r="A237" s="51">
        <v>108.5</v>
      </c>
      <c r="B237" s="50">
        <f>$V$4*Performance!$E$12*(1/A237)+Performance!$E$23*(1/Constraints!$V$4)*Constraints!A237</f>
        <v>0.20850034870792156</v>
      </c>
      <c r="C237" s="50">
        <f>$V$5*Performance!$E$12*(1/A237)+Performance!$E$23*(1/Constraints!$V$5)*Constraints!A237</f>
        <v>0.16936443077152197</v>
      </c>
      <c r="D237" s="52">
        <f t="shared" si="3"/>
        <v>0.30766099956597454</v>
      </c>
    </row>
    <row r="238" spans="1:4" x14ac:dyDescent="0.3">
      <c r="A238" s="51">
        <v>109</v>
      </c>
      <c r="B238" s="50">
        <f>$V$4*Performance!$E$12*(1/A238)+Performance!$E$23*(1/Constraints!$V$4)*Constraints!A238</f>
        <v>0.20941020821000242</v>
      </c>
      <c r="C238" s="50">
        <f>$V$5*Performance!$E$12*(1/A238)+Performance!$E$23*(1/Constraints!$V$5)*Constraints!A238</f>
        <v>0.17008122609631202</v>
      </c>
      <c r="D238" s="52">
        <f t="shared" si="3"/>
        <v>0.30793328527826014</v>
      </c>
    </row>
    <row r="239" spans="1:4" x14ac:dyDescent="0.3">
      <c r="A239" s="51">
        <v>109.5</v>
      </c>
      <c r="B239" s="50">
        <f>$V$4*Performance!$E$12*(1/A239)+Performance!$E$23*(1/Constraints!$V$4)*Constraints!A239</f>
        <v>0.21032029992405529</v>
      </c>
      <c r="C239" s="50">
        <f>$V$5*Performance!$E$12*(1/A239)+Performance!$E$23*(1/Constraints!$V$5)*Constraints!A239</f>
        <v>0.17079831155589015</v>
      </c>
      <c r="D239" s="52">
        <f t="shared" si="3"/>
        <v>0.30820557099054569</v>
      </c>
    </row>
    <row r="240" spans="1:4" x14ac:dyDescent="0.3">
      <c r="A240" s="51">
        <v>110</v>
      </c>
      <c r="B240" s="50">
        <f>$V$4*Performance!$E$12*(1/A240)+Performance!$E$23*(1/Constraints!$V$4)*Constraints!A240</f>
        <v>0.21123062068355325</v>
      </c>
      <c r="C240" s="50">
        <f>$V$5*Performance!$E$12*(1/A240)+Performance!$E$23*(1/Constraints!$V$5)*Constraints!A240</f>
        <v>0.17151568319387286</v>
      </c>
      <c r="D240" s="52">
        <f t="shared" si="3"/>
        <v>0.30847785670283129</v>
      </c>
    </row>
    <row r="241" spans="1:4" x14ac:dyDescent="0.3">
      <c r="A241" s="51">
        <v>110.5</v>
      </c>
      <c r="B241" s="50">
        <f>$V$4*Performance!$E$12*(1/A241)+Performance!$E$23*(1/Constraints!$V$4)*Constraints!A241</f>
        <v>0.21214116737928215</v>
      </c>
      <c r="C241" s="50">
        <f>$V$5*Performance!$E$12*(1/A241)+Performance!$E$23*(1/Constraints!$V$5)*Constraints!A241</f>
        <v>0.17223333712548544</v>
      </c>
      <c r="D241" s="52">
        <f t="shared" si="3"/>
        <v>0.30875014241511689</v>
      </c>
    </row>
    <row r="242" spans="1:4" x14ac:dyDescent="0.3">
      <c r="A242" s="51">
        <v>111</v>
      </c>
      <c r="B242" s="50">
        <f>$V$4*Performance!$E$12*(1/A242)+Performance!$E$23*(1/Constraints!$V$4)*Constraints!A242</f>
        <v>0.21305193695804966</v>
      </c>
      <c r="C242" s="50">
        <f>$V$5*Performance!$E$12*(1/A242)+Performance!$E$23*(1/Constraints!$V$5)*Constraints!A242</f>
        <v>0.17295126953594908</v>
      </c>
      <c r="D242" s="52">
        <f t="shared" si="3"/>
        <v>0.30902242812740249</v>
      </c>
    </row>
    <row r="243" spans="1:4" x14ac:dyDescent="0.3">
      <c r="A243" s="51">
        <v>111.5</v>
      </c>
      <c r="B243" s="50">
        <f>$V$4*Performance!$E$12*(1/A243)+Performance!$E$23*(1/Constraints!$V$4)*Constraints!A243</f>
        <v>0.21396292642142922</v>
      </c>
      <c r="C243" s="50">
        <f>$V$5*Performance!$E$12*(1/A243)+Performance!$E$23*(1/Constraints!$V$5)*Constraints!A243</f>
        <v>0.17366947667891156</v>
      </c>
      <c r="D243" s="52">
        <f t="shared" si="3"/>
        <v>0.3092947138396881</v>
      </c>
    </row>
    <row r="244" spans="1:4" x14ac:dyDescent="0.3">
      <c r="A244" s="51">
        <v>112</v>
      </c>
      <c r="B244" s="50">
        <f>$V$4*Performance!$E$12*(1/A244)+Performance!$E$23*(1/Constraints!$V$4)*Constraints!A244</f>
        <v>0.21487413282453774</v>
      </c>
      <c r="C244" s="50">
        <f>$V$5*Performance!$E$12*(1/A244)+Performance!$E$23*(1/Constraints!$V$5)*Constraints!A244</f>
        <v>0.17438795487491973</v>
      </c>
      <c r="D244" s="52">
        <f t="shared" si="3"/>
        <v>0.3095669995519737</v>
      </c>
    </row>
    <row r="245" spans="1:4" x14ac:dyDescent="0.3">
      <c r="A245" s="51">
        <v>112.5</v>
      </c>
      <c r="B245" s="50">
        <f>$V$4*Performance!$E$12*(1/A245)+Performance!$E$23*(1/Constraints!$V$4)*Constraints!A245</f>
        <v>0.21578555327484539</v>
      </c>
      <c r="C245" s="50">
        <f>$V$5*Performance!$E$12*(1/A245)+Performance!$E$23*(1/Constraints!$V$5)*Constraints!A245</f>
        <v>0.17510670050993299</v>
      </c>
      <c r="D245" s="52">
        <f t="shared" si="3"/>
        <v>0.3098392852642593</v>
      </c>
    </row>
    <row r="246" spans="1:4" x14ac:dyDescent="0.3">
      <c r="A246" s="51">
        <v>113</v>
      </c>
      <c r="B246" s="50">
        <f>$V$4*Performance!$E$12*(1/A246)+Performance!$E$23*(1/Constraints!$V$4)*Constraints!A246</f>
        <v>0.21669718493101772</v>
      </c>
      <c r="C246" s="50">
        <f>$V$5*Performance!$E$12*(1/A246)+Performance!$E$23*(1/Constraints!$V$5)*Constraints!A246</f>
        <v>0.17582571003387609</v>
      </c>
      <c r="D246" s="52">
        <f t="shared" si="3"/>
        <v>0.3101115709765449</v>
      </c>
    </row>
    <row r="247" spans="1:4" x14ac:dyDescent="0.3">
      <c r="A247" s="51">
        <v>113.5</v>
      </c>
      <c r="B247" s="50">
        <f>$V$4*Performance!$E$12*(1/A247)+Performance!$E$23*(1/Constraints!$V$4)*Constraints!A247</f>
        <v>0.21760902500178775</v>
      </c>
      <c r="C247" s="50">
        <f>$V$5*Performance!$E$12*(1/A247)+Performance!$E$23*(1/Constraints!$V$5)*Constraints!A247</f>
        <v>0.1765449799592301</v>
      </c>
      <c r="D247" s="52">
        <f t="shared" si="3"/>
        <v>0.31038385668883051</v>
      </c>
    </row>
    <row r="248" spans="1:4" x14ac:dyDescent="0.3">
      <c r="A248" s="51">
        <v>114</v>
      </c>
      <c r="B248" s="50">
        <f>$V$4*Performance!$E$12*(1/A248)+Performance!$E$23*(1/Constraints!$V$4)*Constraints!A248</f>
        <v>0.21852107074485819</v>
      </c>
      <c r="C248" s="50">
        <f>$V$5*Performance!$E$12*(1/A248)+Performance!$E$23*(1/Constraints!$V$5)*Constraints!A248</f>
        <v>0.17726450685966069</v>
      </c>
      <c r="D248" s="52">
        <f t="shared" si="3"/>
        <v>0.31065614240111605</v>
      </c>
    </row>
    <row r="249" spans="1:4" x14ac:dyDescent="0.3">
      <c r="A249" s="51">
        <v>114.5</v>
      </c>
      <c r="B249" s="50">
        <f>$V$4*Performance!$E$12*(1/A249)+Performance!$E$23*(1/Constraints!$V$4)*Constraints!A249</f>
        <v>0.21943331946583208</v>
      </c>
      <c r="C249" s="50">
        <f>$V$5*Performance!$E$12*(1/A249)+Performance!$E$23*(1/Constraints!$V$5)*Constraints!A249</f>
        <v>0.1779842873686821</v>
      </c>
      <c r="D249" s="52">
        <f t="shared" si="3"/>
        <v>0.31092842811340166</v>
      </c>
    </row>
    <row r="250" spans="1:4" x14ac:dyDescent="0.3">
      <c r="A250" s="51">
        <v>115</v>
      </c>
      <c r="B250" s="50">
        <f>$V$4*Performance!$E$12*(1/A250)+Performance!$E$23*(1/Constraints!$V$4)*Constraints!A250</f>
        <v>0.22034576851717155</v>
      </c>
      <c r="C250" s="50">
        <f>$V$5*Performance!$E$12*(1/A250)+Performance!$E$23*(1/Constraints!$V$5)*Constraints!A250</f>
        <v>0.17870431817835622</v>
      </c>
      <c r="D250" s="52">
        <f t="shared" si="3"/>
        <v>0.31120071382568726</v>
      </c>
    </row>
    <row r="251" spans="1:4" x14ac:dyDescent="0.3">
      <c r="A251" s="51">
        <v>115.5</v>
      </c>
      <c r="B251" s="50">
        <f>$V$4*Performance!$E$12*(1/A251)+Performance!$E$23*(1/Constraints!$V$4)*Constraints!A251</f>
        <v>0.22125841529718351</v>
      </c>
      <c r="C251" s="50">
        <f>$V$5*Performance!$E$12*(1/A251)+Performance!$E$23*(1/Constraints!$V$5)*Constraints!A251</f>
        <v>0.17942459603802521</v>
      </c>
      <c r="D251" s="52">
        <f t="shared" si="3"/>
        <v>0.31147299953797286</v>
      </c>
    </row>
    <row r="252" spans="1:4" x14ac:dyDescent="0.3">
      <c r="A252" s="51">
        <v>116</v>
      </c>
      <c r="B252" s="50">
        <f>$V$4*Performance!$E$12*(1/A252)+Performance!$E$23*(1/Constraints!$V$4)*Constraints!A252</f>
        <v>0.22217125724903175</v>
      </c>
      <c r="C252" s="50">
        <f>$V$5*Performance!$E$12*(1/A252)+Performance!$E$23*(1/Constraints!$V$5)*Constraints!A252</f>
        <v>0.18014511775307707</v>
      </c>
      <c r="D252" s="52">
        <f t="shared" si="3"/>
        <v>0.31174528525025846</v>
      </c>
    </row>
    <row r="253" spans="1:4" x14ac:dyDescent="0.3">
      <c r="A253" s="51">
        <v>116.5</v>
      </c>
      <c r="B253" s="50">
        <f>$V$4*Performance!$E$12*(1/A253)+Performance!$E$23*(1/Constraints!$V$4)*Constraints!A253</f>
        <v>0.2230842918597741</v>
      </c>
      <c r="C253" s="50">
        <f>$V$5*Performance!$E$12*(1/A253)+Performance!$E$23*(1/Constraints!$V$5)*Constraints!A253</f>
        <v>0.18086588018374294</v>
      </c>
      <c r="D253" s="52">
        <f t="shared" si="3"/>
        <v>0.31201757096254407</v>
      </c>
    </row>
    <row r="254" spans="1:4" x14ac:dyDescent="0.3">
      <c r="A254" s="51">
        <v>117</v>
      </c>
      <c r="B254" s="50">
        <f>$V$4*Performance!$E$12*(1/A254)+Performance!$E$23*(1/Constraints!$V$4)*Constraints!A254</f>
        <v>0.2239975166594248</v>
      </c>
      <c r="C254" s="50">
        <f>$V$5*Performance!$E$12*(1/A254)+Performance!$E$23*(1/Constraints!$V$5)*Constraints!A254</f>
        <v>0.18158688024392519</v>
      </c>
      <c r="D254" s="52">
        <f t="shared" si="3"/>
        <v>0.31228985667482967</v>
      </c>
    </row>
    <row r="255" spans="1:4" x14ac:dyDescent="0.3">
      <c r="A255" s="51">
        <v>117.5</v>
      </c>
      <c r="B255" s="50">
        <f>$V$4*Performance!$E$12*(1/A255)+Performance!$E$23*(1/Constraints!$V$4)*Constraints!A255</f>
        <v>0.22491092922004025</v>
      </c>
      <c r="C255" s="50">
        <f>$V$5*Performance!$E$12*(1/A255)+Performance!$E$23*(1/Constraints!$V$5)*Constraints!A255</f>
        <v>0.18230811490005552</v>
      </c>
      <c r="D255" s="52">
        <f t="shared" si="3"/>
        <v>0.31256214238711527</v>
      </c>
    </row>
    <row r="256" spans="1:4" x14ac:dyDescent="0.3">
      <c r="A256" s="51">
        <v>118</v>
      </c>
      <c r="B256" s="50">
        <f>$V$4*Performance!$E$12*(1/A256)+Performance!$E$23*(1/Constraints!$V$4)*Constraints!A256</f>
        <v>0.22582452715482859</v>
      </c>
      <c r="C256" s="50">
        <f>$V$5*Performance!$E$12*(1/A256)+Performance!$E$23*(1/Constraints!$V$5)*Constraints!A256</f>
        <v>0.18302958116998203</v>
      </c>
      <c r="D256" s="52">
        <f t="shared" si="3"/>
        <v>0.31283442809940087</v>
      </c>
    </row>
    <row r="257" spans="1:4" x14ac:dyDescent="0.3">
      <c r="A257" s="51">
        <v>118.5</v>
      </c>
      <c r="B257" s="50">
        <f>$V$4*Performance!$E$12*(1/A257)+Performance!$E$23*(1/Constraints!$V$4)*Constraints!A257</f>
        <v>0.22673830811728132</v>
      </c>
      <c r="C257" s="50">
        <f>$V$5*Performance!$E$12*(1/A257)+Performance!$E$23*(1/Constraints!$V$5)*Constraints!A257</f>
        <v>0.18375127612188458</v>
      </c>
      <c r="D257" s="52">
        <f t="shared" si="3"/>
        <v>0.31310671381168648</v>
      </c>
    </row>
    <row r="258" spans="1:4" x14ac:dyDescent="0.3">
      <c r="A258" s="51">
        <v>119</v>
      </c>
      <c r="B258" s="50">
        <f>$V$4*Performance!$E$12*(1/A258)+Performance!$E$23*(1/Constraints!$V$4)*Constraints!A258</f>
        <v>0.22765226980032696</v>
      </c>
      <c r="C258" s="50">
        <f>$V$5*Performance!$E$12*(1/A258)+Performance!$E$23*(1/Constraints!$V$5)*Constraints!A258</f>
        <v>0.18447319687321717</v>
      </c>
      <c r="D258" s="52">
        <f t="shared" si="3"/>
        <v>0.31337899952397202</v>
      </c>
    </row>
    <row r="259" spans="1:4" x14ac:dyDescent="0.3">
      <c r="A259" s="51">
        <v>119.5</v>
      </c>
      <c r="B259" s="50">
        <f>$V$4*Performance!$E$12*(1/A259)+Performance!$E$23*(1/Constraints!$V$4)*Constraints!A259</f>
        <v>0.22856640993550625</v>
      </c>
      <c r="C259" s="50">
        <f>$V$5*Performance!$E$12*(1/A259)+Performance!$E$23*(1/Constraints!$V$5)*Constraints!A259</f>
        <v>0.1851953405896774</v>
      </c>
      <c r="D259" s="52">
        <f t="shared" si="3"/>
        <v>0.31365128523625763</v>
      </c>
    </row>
    <row r="260" spans="1:4" x14ac:dyDescent="0.3">
      <c r="A260" s="51">
        <v>120</v>
      </c>
      <c r="B260" s="50">
        <f>$V$4*Performance!$E$12*(1/A260)+Performance!$E$23*(1/Constraints!$V$4)*Constraints!A260</f>
        <v>0.22948072629216754</v>
      </c>
      <c r="C260" s="50">
        <f>$V$5*Performance!$E$12*(1/A260)+Performance!$E$23*(1/Constraints!$V$5)*Constraints!A260</f>
        <v>0.18591770448420111</v>
      </c>
      <c r="D260" s="52">
        <f t="shared" si="3"/>
        <v>0.31392357094854323</v>
      </c>
    </row>
    <row r="261" spans="1:4" x14ac:dyDescent="0.3">
      <c r="A261" s="51">
        <v>120.5</v>
      </c>
      <c r="B261" s="50">
        <f>$V$4*Performance!$E$12*(1/A261)+Performance!$E$23*(1/Constraints!$V$4)*Constraints!A261</f>
        <v>0.23039521667668236</v>
      </c>
      <c r="C261" s="50">
        <f>$V$5*Performance!$E$12*(1/A261)+Performance!$E$23*(1/Constraints!$V$5)*Constraints!A261</f>
        <v>0.18664028581598263</v>
      </c>
      <c r="D261" s="52">
        <f t="shared" si="3"/>
        <v>0.31419585666082883</v>
      </c>
    </row>
    <row r="262" spans="1:4" x14ac:dyDescent="0.3">
      <c r="A262" s="51">
        <v>121</v>
      </c>
      <c r="B262" s="50">
        <f>$V$4*Performance!$E$12*(1/A262)+Performance!$E$23*(1/Constraints!$V$4)*Constraints!A262</f>
        <v>0.23130987893168067</v>
      </c>
      <c r="C262" s="50">
        <f>$V$5*Performance!$E$12*(1/A262)+Performance!$E$23*(1/Constraints!$V$5)*Constraints!A262</f>
        <v>0.18736308188951864</v>
      </c>
      <c r="D262" s="52">
        <f t="shared" si="3"/>
        <v>0.31446814237311443</v>
      </c>
    </row>
    <row r="263" spans="1:4" x14ac:dyDescent="0.3">
      <c r="A263" s="51">
        <v>121.5</v>
      </c>
      <c r="B263" s="50">
        <f>$V$4*Performance!$E$12*(1/A263)+Performance!$E$23*(1/Constraints!$V$4)*Constraints!A263</f>
        <v>0.23222471093530461</v>
      </c>
      <c r="C263" s="50">
        <f>$V$5*Performance!$E$12*(1/A263)+Performance!$E$23*(1/Constraints!$V$5)*Constraints!A263</f>
        <v>0.18808609005367646</v>
      </c>
      <c r="D263" s="52">
        <f t="shared" si="3"/>
        <v>0.31474042808540004</v>
      </c>
    </row>
    <row r="264" spans="1:4" x14ac:dyDescent="0.3">
      <c r="A264" s="51">
        <v>122</v>
      </c>
      <c r="B264" s="50">
        <f>$V$4*Performance!$E$12*(1/A264)+Performance!$E$23*(1/Constraints!$V$4)*Constraints!A264</f>
        <v>0.23313971060048094</v>
      </c>
      <c r="C264" s="50">
        <f>$V$5*Performance!$E$12*(1/A264)+Performance!$E$23*(1/Constraints!$V$5)*Constraints!A264</f>
        <v>0.1888093077007845</v>
      </c>
      <c r="D264" s="52">
        <f t="shared" si="3"/>
        <v>0.31501271379768564</v>
      </c>
    </row>
    <row r="265" spans="1:4" x14ac:dyDescent="0.3">
      <c r="A265" s="51">
        <v>122.5</v>
      </c>
      <c r="B265" s="50">
        <f>$V$4*Performance!$E$12*(1/A265)+Performance!$E$23*(1/Constraints!$V$4)*Constraints!A265</f>
        <v>0.23405487587421109</v>
      </c>
      <c r="C265" s="50">
        <f>$V$5*Performance!$E$12*(1/A265)+Performance!$E$23*(1/Constraints!$V$5)*Constraints!A265</f>
        <v>0.18953273226574535</v>
      </c>
      <c r="D265" s="52">
        <f t="shared" si="3"/>
        <v>0.31528499950997124</v>
      </c>
    </row>
    <row r="266" spans="1:4" x14ac:dyDescent="0.3">
      <c r="A266" s="51">
        <v>123</v>
      </c>
      <c r="B266" s="50">
        <f>$V$4*Performance!$E$12*(1/A266)+Performance!$E$23*(1/Constraints!$V$4)*Constraints!A266</f>
        <v>0.23497020473687849</v>
      </c>
      <c r="C266" s="50">
        <f>$V$5*Performance!$E$12*(1/A266)+Performance!$E$23*(1/Constraints!$V$5)*Constraints!A266</f>
        <v>0.19025636122517059</v>
      </c>
      <c r="D266" s="52">
        <f t="shared" si="3"/>
        <v>0.31555728522225684</v>
      </c>
    </row>
    <row r="267" spans="1:4" x14ac:dyDescent="0.3">
      <c r="A267" s="51">
        <v>123.5</v>
      </c>
      <c r="B267" s="50">
        <f>$V$4*Performance!$E$12*(1/A267)+Performance!$E$23*(1/Constraints!$V$4)*Constraints!A267</f>
        <v>0.23588569520157301</v>
      </c>
      <c r="C267" s="50">
        <f>$V$5*Performance!$E$12*(1/A267)+Performance!$E$23*(1/Constraints!$V$5)*Constraints!A267</f>
        <v>0.19098019209653638</v>
      </c>
      <c r="D267" s="52">
        <f t="shared" si="3"/>
        <v>0.31582957093454245</v>
      </c>
    </row>
    <row r="268" spans="1:4" x14ac:dyDescent="0.3">
      <c r="A268" s="51">
        <v>124</v>
      </c>
      <c r="B268" s="50">
        <f>$V$4*Performance!$E$12*(1/A268)+Performance!$E$23*(1/Constraints!$V$4)*Constraints!A268</f>
        <v>0.23680134531343139</v>
      </c>
      <c r="C268" s="50">
        <f>$V$5*Performance!$E$12*(1/A268)+Performance!$E$23*(1/Constraints!$V$5)*Constraints!A268</f>
        <v>0.1917042224373596</v>
      </c>
      <c r="D268" s="52">
        <f t="shared" si="3"/>
        <v>0.31610185664682799</v>
      </c>
    </row>
    <row r="269" spans="1:4" x14ac:dyDescent="0.3">
      <c r="A269" s="51">
        <v>124.5</v>
      </c>
      <c r="B269" s="50">
        <f>$V$4*Performance!$E$12*(1/A269)+Performance!$E$23*(1/Constraints!$V$4)*Constraints!A269</f>
        <v>0.23771715314899383</v>
      </c>
      <c r="C269" s="50">
        <f>$V$5*Performance!$E$12*(1/A269)+Performance!$E$23*(1/Constraints!$V$5)*Constraints!A269</f>
        <v>0.19242844984439372</v>
      </c>
      <c r="D269" s="52">
        <f t="shared" si="3"/>
        <v>0.3163741423591136</v>
      </c>
    </row>
    <row r="270" spans="1:4" x14ac:dyDescent="0.3">
      <c r="A270" s="51">
        <v>125</v>
      </c>
      <c r="B270" s="50">
        <f>$V$4*Performance!$E$12*(1/A270)+Performance!$E$23*(1/Constraints!$V$4)*Constraints!A270</f>
        <v>0.23863311681557592</v>
      </c>
      <c r="C270" s="50">
        <f>$V$5*Performance!$E$12*(1/A270)+Performance!$E$23*(1/Constraints!$V$5)*Constraints!A270</f>
        <v>0.1931528719528442</v>
      </c>
      <c r="D270" s="52">
        <f t="shared" si="3"/>
        <v>0.3166464280713992</v>
      </c>
    </row>
    <row r="271" spans="1:4" x14ac:dyDescent="0.3">
      <c r="A271" s="51">
        <v>125.5</v>
      </c>
      <c r="B271" s="50">
        <f>$V$4*Performance!$E$12*(1/A271)+Performance!$E$23*(1/Constraints!$V$4)*Constraints!A271</f>
        <v>0.23954923445065546</v>
      </c>
      <c r="C271" s="50">
        <f>$V$5*Performance!$E$12*(1/A271)+Performance!$E$23*(1/Constraints!$V$5)*Constraints!A271</f>
        <v>0.19387748643560254</v>
      </c>
      <c r="D271" s="52">
        <f t="shared" si="3"/>
        <v>0.3169187137836848</v>
      </c>
    </row>
    <row r="272" spans="1:4" x14ac:dyDescent="0.3">
      <c r="A272" s="51">
        <v>126</v>
      </c>
      <c r="B272" s="50">
        <f>$V$4*Performance!$E$12*(1/A272)+Performance!$E$23*(1/Constraints!$V$4)*Constraints!A272</f>
        <v>0.24046550422127416</v>
      </c>
      <c r="C272" s="50">
        <f>$V$5*Performance!$E$12*(1/A272)+Performance!$E$23*(1/Constraints!$V$5)*Constraints!A272</f>
        <v>0.19460229100249835</v>
      </c>
      <c r="D272" s="52">
        <f t="shared" si="3"/>
        <v>0.3171909994959704</v>
      </c>
    </row>
    <row r="273" spans="1:4" x14ac:dyDescent="0.3">
      <c r="A273" s="51">
        <v>126.5</v>
      </c>
      <c r="B273" s="50">
        <f>$V$4*Performance!$E$12*(1/A273)+Performance!$E$23*(1/Constraints!$V$4)*Constraints!A273</f>
        <v>0.24138192432345332</v>
      </c>
      <c r="C273" s="50">
        <f>$V$5*Performance!$E$12*(1/A273)+Performance!$E$23*(1/Constraints!$V$5)*Constraints!A273</f>
        <v>0.19532728339956953</v>
      </c>
      <c r="D273" s="52">
        <f t="shared" si="3"/>
        <v>0.31746328520825601</v>
      </c>
    </row>
    <row r="274" spans="1:4" x14ac:dyDescent="0.3">
      <c r="A274" s="51">
        <v>127</v>
      </c>
      <c r="B274" s="50">
        <f>$V$4*Performance!$E$12*(1/A274)+Performance!$E$23*(1/Constraints!$V$4)*Constraints!A274</f>
        <v>0.24229849298162331</v>
      </c>
      <c r="C274" s="50">
        <f>$V$5*Performance!$E$12*(1/A274)+Performance!$E$23*(1/Constraints!$V$5)*Constraints!A274</f>
        <v>0.19605246140834948</v>
      </c>
      <c r="D274" s="52">
        <f t="shared" si="3"/>
        <v>0.31773557092054161</v>
      </c>
    </row>
    <row r="275" spans="1:4" x14ac:dyDescent="0.3">
      <c r="A275" s="51">
        <v>127.5</v>
      </c>
      <c r="B275" s="50">
        <f>$V$4*Performance!$E$12*(1/A275)+Performance!$E$23*(1/Constraints!$V$4)*Constraints!A275</f>
        <v>0.24321520844806663</v>
      </c>
      <c r="C275" s="50">
        <f>$V$5*Performance!$E$12*(1/A275)+Performance!$E$23*(1/Constraints!$V$5)*Constraints!A275</f>
        <v>0.19677782284517101</v>
      </c>
      <c r="D275" s="52">
        <f t="shared" si="3"/>
        <v>0.31800785663282721</v>
      </c>
    </row>
    <row r="276" spans="1:4" x14ac:dyDescent="0.3">
      <c r="A276" s="51">
        <v>128</v>
      </c>
      <c r="B276" s="50">
        <f>$V$4*Performance!$E$12*(1/A276)+Performance!$E$23*(1/Constraints!$V$4)*Constraints!A276</f>
        <v>0.24413206900237375</v>
      </c>
      <c r="C276" s="50">
        <f>$V$5*Performance!$E$12*(1/A276)+Performance!$E$23*(1/Constraints!$V$5)*Constraints!A276</f>
        <v>0.19750336556048675</v>
      </c>
      <c r="D276" s="52">
        <f t="shared" si="3"/>
        <v>0.31828014234511282</v>
      </c>
    </row>
    <row r="277" spans="1:4" x14ac:dyDescent="0.3">
      <c r="A277" s="51">
        <v>128.5</v>
      </c>
      <c r="B277" s="50">
        <f>$V$4*Performance!$E$12*(1/A277)+Performance!$E$23*(1/Constraints!$V$4)*Constraints!A277</f>
        <v>0.24504907295091205</v>
      </c>
      <c r="C277" s="50">
        <f>$V$5*Performance!$E$12*(1/A277)+Performance!$E$23*(1/Constraints!$V$5)*Constraints!A277</f>
        <v>0.19822908743820536</v>
      </c>
      <c r="D277" s="52">
        <f t="shared" si="3"/>
        <v>0.31855242805739842</v>
      </c>
    </row>
    <row r="278" spans="1:4" x14ac:dyDescent="0.3">
      <c r="A278" s="51">
        <v>129</v>
      </c>
      <c r="B278" s="50">
        <f>$V$4*Performance!$E$12*(1/A278)+Performance!$E$23*(1/Constraints!$V$4)*Constraints!A278</f>
        <v>0.2459662186263068</v>
      </c>
      <c r="C278" s="50">
        <f>$V$5*Performance!$E$12*(1/A278)+Performance!$E$23*(1/Constraints!$V$5)*Constraints!A278</f>
        <v>0.19895498639504308</v>
      </c>
      <c r="D278" s="52">
        <f t="shared" si="3"/>
        <v>0.31882471376968397</v>
      </c>
    </row>
    <row r="279" spans="1:4" x14ac:dyDescent="0.3">
      <c r="A279" s="51">
        <v>129.5</v>
      </c>
      <c r="B279" s="50">
        <f>$V$4*Performance!$E$12*(1/A279)+Performance!$E$23*(1/Constraints!$V$4)*Constraints!A279</f>
        <v>0.24688350438693413</v>
      </c>
      <c r="C279" s="50">
        <f>$V$5*Performance!$E$12*(1/A279)+Performance!$E$23*(1/Constraints!$V$5)*Constraints!A279</f>
        <v>0.19968106037989039</v>
      </c>
      <c r="D279" s="52">
        <f t="shared" ref="D279:D342" si="4">1.21/(9.8*$N$7*$N$8*$N$5)*A279+0.605/$N$8*($N$11-$N$6*$N$10)+$N$6</f>
        <v>0.31909699948196957</v>
      </c>
    </row>
    <row r="280" spans="1:4" x14ac:dyDescent="0.3">
      <c r="A280" s="51">
        <v>130</v>
      </c>
      <c r="B280" s="50">
        <f>$V$4*Performance!$E$12*(1/A280)+Performance!$E$23*(1/Constraints!$V$4)*Constraints!A280</f>
        <v>0.24780092861642597</v>
      </c>
      <c r="C280" s="50">
        <f>$V$5*Performance!$E$12*(1/A280)+Performance!$E$23*(1/Constraints!$V$5)*Constraints!A280</f>
        <v>0.20040730737319334</v>
      </c>
      <c r="D280" s="52">
        <f t="shared" si="4"/>
        <v>0.31936928519425517</v>
      </c>
    </row>
    <row r="281" spans="1:4" x14ac:dyDescent="0.3">
      <c r="A281" s="51">
        <v>130.5</v>
      </c>
      <c r="B281" s="50">
        <f>$V$4*Performance!$E$12*(1/A281)+Performance!$E$23*(1/Constraints!$V$4)*Constraints!A281</f>
        <v>0.24871848972318619</v>
      </c>
      <c r="C281" s="50">
        <f>$V$5*Performance!$E$12*(1/A281)+Performance!$E$23*(1/Constraints!$V$5)*Constraints!A281</f>
        <v>0.20113372538634902</v>
      </c>
      <c r="D281" s="52">
        <f t="shared" si="4"/>
        <v>0.31964157090654077</v>
      </c>
    </row>
    <row r="282" spans="1:4" x14ac:dyDescent="0.3">
      <c r="A282" s="51">
        <v>131</v>
      </c>
      <c r="B282" s="50">
        <f>$V$4*Performance!$E$12*(1/A282)+Performance!$E$23*(1/Constraints!$V$4)*Constraints!A282</f>
        <v>0.24963618613991781</v>
      </c>
      <c r="C282" s="50">
        <f>$V$5*Performance!$E$12*(1/A282)+Performance!$E$23*(1/Constraints!$V$5)*Constraints!A282</f>
        <v>0.20186031246111485</v>
      </c>
      <c r="D282" s="52">
        <f t="shared" si="4"/>
        <v>0.31991385661882638</v>
      </c>
    </row>
    <row r="283" spans="1:4" x14ac:dyDescent="0.3">
      <c r="A283" s="51">
        <v>131.5</v>
      </c>
      <c r="B283" s="50">
        <f>$V$4*Performance!$E$12*(1/A283)+Performance!$E$23*(1/Constraints!$V$4)*Constraints!A283</f>
        <v>0.2505540163231611</v>
      </c>
      <c r="C283" s="50">
        <f>$V$5*Performance!$E$12*(1/A283)+Performance!$E$23*(1/Constraints!$V$5)*Constraints!A283</f>
        <v>0.20258706666903134</v>
      </c>
      <c r="D283" s="52">
        <f t="shared" si="4"/>
        <v>0.32018614233111198</v>
      </c>
    </row>
    <row r="284" spans="1:4" x14ac:dyDescent="0.3">
      <c r="A284" s="51">
        <v>132</v>
      </c>
      <c r="B284" s="50">
        <f>$V$4*Performance!$E$12*(1/A284)+Performance!$E$23*(1/Constraints!$V$4)*Constraints!A284</f>
        <v>0.25147197875284205</v>
      </c>
      <c r="C284" s="50">
        <f>$V$5*Performance!$E$12*(1/A284)+Performance!$E$23*(1/Constraints!$V$5)*Constraints!A284</f>
        <v>0.20331398611085819</v>
      </c>
      <c r="D284" s="52">
        <f t="shared" si="4"/>
        <v>0.32045842804339758</v>
      </c>
    </row>
    <row r="285" spans="1:4" x14ac:dyDescent="0.3">
      <c r="A285" s="51">
        <v>132.5</v>
      </c>
      <c r="B285" s="50">
        <f>$V$4*Performance!$E$12*(1/A285)+Performance!$E$23*(1/Constraints!$V$4)*Constraints!A285</f>
        <v>0.25239007193183116</v>
      </c>
      <c r="C285" s="50">
        <f>$V$5*Performance!$E$12*(1/A285)+Performance!$E$23*(1/Constraints!$V$5)*Constraints!A285</f>
        <v>0.20404106891602283</v>
      </c>
      <c r="D285" s="52">
        <f t="shared" si="4"/>
        <v>0.32073071375568318</v>
      </c>
    </row>
    <row r="286" spans="1:4" x14ac:dyDescent="0.3">
      <c r="A286" s="51">
        <v>133</v>
      </c>
      <c r="B286" s="50">
        <f>$V$4*Performance!$E$12*(1/A286)+Performance!$E$23*(1/Constraints!$V$4)*Constraints!A286</f>
        <v>0.25330829438551228</v>
      </c>
      <c r="C286" s="50">
        <f>$V$5*Performance!$E$12*(1/A286)+Performance!$E$23*(1/Constraints!$V$5)*Constraints!A286</f>
        <v>0.20476831324208156</v>
      </c>
      <c r="D286" s="52">
        <f t="shared" si="4"/>
        <v>0.32100299946796879</v>
      </c>
    </row>
    <row r="287" spans="1:4" x14ac:dyDescent="0.3">
      <c r="A287" s="51">
        <v>133.5</v>
      </c>
      <c r="B287" s="50">
        <f>$V$4*Performance!$E$12*(1/A287)+Performance!$E$23*(1/Constraints!$V$4)*Constraints!A287</f>
        <v>0.25422664466136063</v>
      </c>
      <c r="C287" s="50">
        <f>$V$5*Performance!$E$12*(1/A287)+Performance!$E$23*(1/Constraints!$V$5)*Constraints!A287</f>
        <v>0.20549571727419291</v>
      </c>
      <c r="D287" s="52">
        <f t="shared" si="4"/>
        <v>0.32127528518025433</v>
      </c>
    </row>
    <row r="288" spans="1:4" x14ac:dyDescent="0.3">
      <c r="A288" s="51">
        <v>134</v>
      </c>
      <c r="B288" s="50">
        <f>$V$4*Performance!$E$12*(1/A288)+Performance!$E$23*(1/Constraints!$V$4)*Constraints!A288</f>
        <v>0.25514512132853112</v>
      </c>
      <c r="C288" s="50">
        <f>$V$5*Performance!$E$12*(1/A288)+Performance!$E$23*(1/Constraints!$V$5)*Constraints!A288</f>
        <v>0.20622327922460254</v>
      </c>
      <c r="D288" s="52">
        <f t="shared" si="4"/>
        <v>0.32154757089253994</v>
      </c>
    </row>
    <row r="289" spans="1:4" x14ac:dyDescent="0.3">
      <c r="A289" s="51">
        <v>134.5</v>
      </c>
      <c r="B289" s="50">
        <f>$V$4*Performance!$E$12*(1/A289)+Performance!$E$23*(1/Constraints!$V$4)*Constraints!A289</f>
        <v>0.25606372297745511</v>
      </c>
      <c r="C289" s="50">
        <f>$V$5*Performance!$E$12*(1/A289)+Performance!$E$23*(1/Constraints!$V$5)*Constraints!A289</f>
        <v>0.2069509973321399</v>
      </c>
      <c r="D289" s="52">
        <f t="shared" si="4"/>
        <v>0.32181985660482554</v>
      </c>
    </row>
    <row r="290" spans="1:4" x14ac:dyDescent="0.3">
      <c r="A290" s="51">
        <v>135</v>
      </c>
      <c r="B290" s="50">
        <f>$V$4*Performance!$E$12*(1/A290)+Performance!$E$23*(1/Constraints!$V$4)*Constraints!A290</f>
        <v>0.25698244821944644</v>
      </c>
      <c r="C290" s="50">
        <f>$V$5*Performance!$E$12*(1/A290)+Performance!$E$23*(1/Constraints!$V$5)*Constraints!A290</f>
        <v>0.20767886986172568</v>
      </c>
      <c r="D290" s="52">
        <f t="shared" si="4"/>
        <v>0.32209214231711114</v>
      </c>
    </row>
    <row r="291" spans="1:4" x14ac:dyDescent="0.3">
      <c r="A291" s="51">
        <v>135.5</v>
      </c>
      <c r="B291" s="50">
        <f>$V$4*Performance!$E$12*(1/A291)+Performance!$E$23*(1/Constraints!$V$4)*Constraints!A291</f>
        <v>0.25790129568631615</v>
      </c>
      <c r="C291" s="50">
        <f>$V$5*Performance!$E$12*(1/A291)+Performance!$E$23*(1/Constraints!$V$5)*Constraints!A291</f>
        <v>0.20840689510389079</v>
      </c>
      <c r="D291" s="52">
        <f t="shared" si="4"/>
        <v>0.32236442802939674</v>
      </c>
    </row>
    <row r="292" spans="1:4" x14ac:dyDescent="0.3">
      <c r="A292" s="51">
        <v>136</v>
      </c>
      <c r="B292" s="50">
        <f>$V$4*Performance!$E$12*(1/A292)+Performance!$E$23*(1/Constraints!$V$4)*Constraints!A292</f>
        <v>0.25882026402999581</v>
      </c>
      <c r="C292" s="50">
        <f>$V$5*Performance!$E$12*(1/A292)+Performance!$E$23*(1/Constraints!$V$5)*Constraints!A292</f>
        <v>0.20913507137430531</v>
      </c>
      <c r="D292" s="52">
        <f t="shared" si="4"/>
        <v>0.32263671374168235</v>
      </c>
    </row>
    <row r="293" spans="1:4" x14ac:dyDescent="0.3">
      <c r="A293" s="51">
        <v>136.5</v>
      </c>
      <c r="B293" s="50">
        <f>$V$4*Performance!$E$12*(1/A293)+Performance!$E$23*(1/Constraints!$V$4)*Constraints!A293</f>
        <v>0.25973935192216874</v>
      </c>
      <c r="C293" s="50">
        <f>$V$5*Performance!$E$12*(1/A293)+Performance!$E$23*(1/Constraints!$V$5)*Constraints!A293</f>
        <v>0.2098633970133181</v>
      </c>
      <c r="D293" s="52">
        <f t="shared" si="4"/>
        <v>0.32290899945396795</v>
      </c>
    </row>
    <row r="294" spans="1:4" x14ac:dyDescent="0.3">
      <c r="A294" s="51">
        <v>137</v>
      </c>
      <c r="B294" s="50">
        <f>$V$4*Performance!$E$12*(1/A294)+Performance!$E$23*(1/Constraints!$V$4)*Constraints!A294</f>
        <v>0.26065855805390981</v>
      </c>
      <c r="C294" s="50">
        <f>$V$5*Performance!$E$12*(1/A294)+Performance!$E$23*(1/Constraints!$V$5)*Constraints!A294</f>
        <v>0.21059187038550656</v>
      </c>
      <c r="D294" s="52">
        <f t="shared" si="4"/>
        <v>0.32318128516625355</v>
      </c>
    </row>
    <row r="295" spans="1:4" x14ac:dyDescent="0.3">
      <c r="A295" s="51">
        <v>137.5</v>
      </c>
      <c r="B295" s="50">
        <f>$V$4*Performance!$E$12*(1/A295)+Performance!$E$23*(1/Constraints!$V$4)*Constraints!A295</f>
        <v>0.26157788113533292</v>
      </c>
      <c r="C295" s="50">
        <f>$V$5*Performance!$E$12*(1/A295)+Performance!$E$23*(1/Constraints!$V$5)*Constraints!A295</f>
        <v>0.2113204898792361</v>
      </c>
      <c r="D295" s="52">
        <f t="shared" si="4"/>
        <v>0.32345357087853915</v>
      </c>
    </row>
    <row r="296" spans="1:4" x14ac:dyDescent="0.3">
      <c r="A296" s="51">
        <v>138</v>
      </c>
      <c r="B296" s="50">
        <f>$V$4*Performance!$E$12*(1/A296)+Performance!$E$23*(1/Constraints!$V$4)*Constraints!A296</f>
        <v>0.26249731989524583</v>
      </c>
      <c r="C296" s="50">
        <f>$V$5*Performance!$E$12*(1/A296)+Performance!$E$23*(1/Constraints!$V$5)*Constraints!A296</f>
        <v>0.21204925390622908</v>
      </c>
      <c r="D296" s="52">
        <f t="shared" si="4"/>
        <v>0.32372585659082476</v>
      </c>
    </row>
    <row r="297" spans="1:4" x14ac:dyDescent="0.3">
      <c r="A297" s="51">
        <v>138.5</v>
      </c>
      <c r="B297" s="50">
        <f>$V$4*Performance!$E$12*(1/A297)+Performance!$E$23*(1/Constraints!$V$4)*Constraints!A297</f>
        <v>0.26341687308081296</v>
      </c>
      <c r="C297" s="50">
        <f>$V$5*Performance!$E$12*(1/A297)+Performance!$E$23*(1/Constraints!$V$5)*Constraints!A297</f>
        <v>0.21277816090114324</v>
      </c>
      <c r="D297" s="52">
        <f t="shared" si="4"/>
        <v>0.3239981423031103</v>
      </c>
    </row>
    <row r="298" spans="1:4" x14ac:dyDescent="0.3">
      <c r="A298" s="51">
        <v>139</v>
      </c>
      <c r="B298" s="50">
        <f>$V$4*Performance!$E$12*(1/A298)+Performance!$E$23*(1/Constraints!$V$4)*Constraints!A298</f>
        <v>0.26433653945722491</v>
      </c>
      <c r="C298" s="50">
        <f>$V$5*Performance!$E$12*(1/A298)+Performance!$E$23*(1/Constraints!$V$5)*Constraints!A298</f>
        <v>0.21350720932115935</v>
      </c>
      <c r="D298" s="52">
        <f t="shared" si="4"/>
        <v>0.32427042801539591</v>
      </c>
    </row>
    <row r="299" spans="1:4" x14ac:dyDescent="0.3">
      <c r="A299" s="51">
        <v>139.5</v>
      </c>
      <c r="B299" s="50">
        <f>$V$4*Performance!$E$12*(1/A299)+Performance!$E$23*(1/Constraints!$V$4)*Constraints!A299</f>
        <v>0.26525631780737607</v>
      </c>
      <c r="C299" s="50">
        <f>$V$5*Performance!$E$12*(1/A299)+Performance!$E$23*(1/Constraints!$V$5)*Constraints!A299</f>
        <v>0.21423639764557736</v>
      </c>
      <c r="D299" s="52">
        <f t="shared" si="4"/>
        <v>0.32454271372768151</v>
      </c>
    </row>
    <row r="300" spans="1:4" x14ac:dyDescent="0.3">
      <c r="A300" s="51">
        <v>140</v>
      </c>
      <c r="B300" s="50">
        <f>$V$4*Performance!$E$12*(1/A300)+Performance!$E$23*(1/Constraints!$V$4)*Constraints!A300</f>
        <v>0.26617620693154764</v>
      </c>
      <c r="C300" s="50">
        <f>$V$5*Performance!$E$12*(1/A300)+Performance!$E$23*(1/Constraints!$V$5)*Constraints!A300</f>
        <v>0.21496572437542155</v>
      </c>
      <c r="D300" s="52">
        <f t="shared" si="4"/>
        <v>0.32481499943996711</v>
      </c>
    </row>
    <row r="301" spans="1:4" x14ac:dyDescent="0.3">
      <c r="A301" s="51">
        <v>140.5</v>
      </c>
      <c r="B301" s="50">
        <f>$V$4*Performance!$E$12*(1/A301)+Performance!$E$23*(1/Constraints!$V$4)*Constraints!A301</f>
        <v>0.26709620564709885</v>
      </c>
      <c r="C301" s="50">
        <f>$V$5*Performance!$E$12*(1/A301)+Performance!$E$23*(1/Constraints!$V$5)*Constraints!A301</f>
        <v>0.2156951880330539</v>
      </c>
      <c r="D301" s="52">
        <f t="shared" si="4"/>
        <v>0.32508728515225271</v>
      </c>
    </row>
    <row r="302" spans="1:4" x14ac:dyDescent="0.3">
      <c r="A302" s="51">
        <v>141</v>
      </c>
      <c r="B302" s="50">
        <f>$V$4*Performance!$E$12*(1/A302)+Performance!$E$23*(1/Constraints!$V$4)*Constraints!A302</f>
        <v>0.26801631278816401</v>
      </c>
      <c r="C302" s="50">
        <f>$V$5*Performance!$E$12*(1/A302)+Performance!$E$23*(1/Constraints!$V$5)*Constraints!A302</f>
        <v>0.21642478716179583</v>
      </c>
      <c r="D302" s="52">
        <f t="shared" si="4"/>
        <v>0.32535957086453832</v>
      </c>
    </row>
    <row r="303" spans="1:4" x14ac:dyDescent="0.3">
      <c r="A303" s="51">
        <v>141.5</v>
      </c>
      <c r="B303" s="50">
        <f>$V$4*Performance!$E$12*(1/A303)+Performance!$E$23*(1/Constraints!$V$4)*Constraints!A303</f>
        <v>0.26893652720535605</v>
      </c>
      <c r="C303" s="50">
        <f>$V$5*Performance!$E$12*(1/A303)+Performance!$E$23*(1/Constraints!$V$5)*Constraints!A303</f>
        <v>0.21715452032555785</v>
      </c>
      <c r="D303" s="52">
        <f t="shared" si="4"/>
        <v>0.32563185657682392</v>
      </c>
    </row>
    <row r="304" spans="1:4" x14ac:dyDescent="0.3">
      <c r="A304" s="51">
        <v>142</v>
      </c>
      <c r="B304" s="50">
        <f>$V$4*Performance!$E$12*(1/A304)+Performance!$E$23*(1/Constraints!$V$4)*Constraints!A304</f>
        <v>0.26985684776547636</v>
      </c>
      <c r="C304" s="50">
        <f>$V$5*Performance!$E$12*(1/A304)+Performance!$E$23*(1/Constraints!$V$5)*Constraints!A304</f>
        <v>0.21788438610847705</v>
      </c>
      <c r="D304" s="52">
        <f t="shared" si="4"/>
        <v>0.32590414228910952</v>
      </c>
    </row>
    <row r="305" spans="1:4" x14ac:dyDescent="0.3">
      <c r="A305" s="51">
        <v>142.5</v>
      </c>
      <c r="B305" s="50">
        <f>$V$4*Performance!$E$12*(1/A305)+Performance!$E$23*(1/Constraints!$V$4)*Constraints!A305</f>
        <v>0.27077727335123108</v>
      </c>
      <c r="C305" s="50">
        <f>$V$5*Performance!$E$12*(1/A305)+Performance!$E$23*(1/Constraints!$V$5)*Constraints!A305</f>
        <v>0.21861438311456227</v>
      </c>
      <c r="D305" s="52">
        <f t="shared" si="4"/>
        <v>0.32617642800139512</v>
      </c>
    </row>
    <row r="306" spans="1:4" x14ac:dyDescent="0.3">
      <c r="A306" s="51">
        <v>143</v>
      </c>
      <c r="B306" s="50">
        <f>$V$4*Performance!$E$12*(1/A306)+Performance!$E$23*(1/Constraints!$V$4)*Constraints!A306</f>
        <v>0.27169780286095263</v>
      </c>
      <c r="C306" s="50">
        <f>$V$5*Performance!$E$12*(1/A306)+Performance!$E$23*(1/Constraints!$V$5)*Constraints!A306</f>
        <v>0.21934450996734681</v>
      </c>
      <c r="D306" s="52">
        <f t="shared" si="4"/>
        <v>0.32644871371368073</v>
      </c>
    </row>
    <row r="307" spans="1:4" x14ac:dyDescent="0.3">
      <c r="A307" s="51">
        <v>143.5</v>
      </c>
      <c r="B307" s="50">
        <f>$V$4*Performance!$E$12*(1/A307)+Performance!$E$23*(1/Constraints!$V$4)*Constraints!A307</f>
        <v>0.27261843520832779</v>
      </c>
      <c r="C307" s="50">
        <f>$V$5*Performance!$E$12*(1/A307)+Performance!$E$23*(1/Constraints!$V$5)*Constraints!A307</f>
        <v>0.22007476530954803</v>
      </c>
      <c r="D307" s="52">
        <f t="shared" si="4"/>
        <v>0.32672099942596627</v>
      </c>
    </row>
    <row r="308" spans="1:4" x14ac:dyDescent="0.3">
      <c r="A308" s="51">
        <v>144</v>
      </c>
      <c r="B308" s="50">
        <f>$V$4*Performance!$E$12*(1/A308)+Performance!$E$23*(1/Constraints!$V$4)*Constraints!A308</f>
        <v>0.27353916932213101</v>
      </c>
      <c r="C308" s="50">
        <f>$V$5*Performance!$E$12*(1/A308)+Performance!$E$23*(1/Constraints!$V$5)*Constraints!A308</f>
        <v>0.22080514780273455</v>
      </c>
      <c r="D308" s="52">
        <f t="shared" si="4"/>
        <v>0.32699328513825188</v>
      </c>
    </row>
    <row r="309" spans="1:4" x14ac:dyDescent="0.3">
      <c r="A309" s="51">
        <v>144.5</v>
      </c>
      <c r="B309" s="50">
        <f>$V$4*Performance!$E$12*(1/A309)+Performance!$E$23*(1/Constraints!$V$4)*Constraints!A309</f>
        <v>0.27446000414596339</v>
      </c>
      <c r="C309" s="50">
        <f>$V$5*Performance!$E$12*(1/A309)+Performance!$E$23*(1/Constraints!$V$5)*Constraints!A309</f>
        <v>0.22153565612699994</v>
      </c>
      <c r="D309" s="52">
        <f t="shared" si="4"/>
        <v>0.32726557085053748</v>
      </c>
    </row>
    <row r="310" spans="1:4" x14ac:dyDescent="0.3">
      <c r="A310" s="51">
        <v>145</v>
      </c>
      <c r="B310" s="50">
        <f>$V$4*Performance!$E$12*(1/A310)+Performance!$E$23*(1/Constraints!$V$4)*Constraints!A310</f>
        <v>0.27538093863799706</v>
      </c>
      <c r="C310" s="50">
        <f>$V$5*Performance!$E$12*(1/A310)+Performance!$E$23*(1/Constraints!$V$5)*Constraints!A310</f>
        <v>0.22226628898064338</v>
      </c>
      <c r="D310" s="52">
        <f t="shared" si="4"/>
        <v>0.32753785656282308</v>
      </c>
    </row>
    <row r="311" spans="1:4" x14ac:dyDescent="0.3">
      <c r="A311" s="51">
        <v>145.5</v>
      </c>
      <c r="B311" s="50">
        <f>$V$4*Performance!$E$12*(1/A311)+Performance!$E$23*(1/Constraints!$V$4)*Constraints!A311</f>
        <v>0.27630197177072469</v>
      </c>
      <c r="C311" s="50">
        <f>$V$5*Performance!$E$12*(1/A311)+Performance!$E$23*(1/Constraints!$V$5)*Constraints!A311</f>
        <v>0.22299704507985682</v>
      </c>
      <c r="D311" s="52">
        <f t="shared" si="4"/>
        <v>0.32781014227510868</v>
      </c>
    </row>
    <row r="312" spans="1:4" x14ac:dyDescent="0.3">
      <c r="A312" s="51">
        <v>146</v>
      </c>
      <c r="B312" s="50">
        <f>$V$4*Performance!$E$12*(1/A312)+Performance!$E$23*(1/Constraints!$V$4)*Constraints!A312</f>
        <v>0.27722310253071458</v>
      </c>
      <c r="C312" s="50">
        <f>$V$5*Performance!$E$12*(1/A312)+Performance!$E$23*(1/Constraints!$V$5)*Constraints!A312</f>
        <v>0.22372792315841869</v>
      </c>
      <c r="D312" s="52">
        <f t="shared" si="4"/>
        <v>0.32808242798739429</v>
      </c>
    </row>
    <row r="313" spans="1:4" x14ac:dyDescent="0.3">
      <c r="A313" s="51">
        <v>146.5</v>
      </c>
      <c r="B313" s="50">
        <f>$V$4*Performance!$E$12*(1/A313)+Performance!$E$23*(1/Constraints!$V$4)*Constraints!A313</f>
        <v>0.27814432991837024</v>
      </c>
      <c r="C313" s="50">
        <f>$V$5*Performance!$E$12*(1/A313)+Performance!$E$23*(1/Constraints!$V$5)*Constraints!A313</f>
        <v>0.22445892196739367</v>
      </c>
      <c r="D313" s="52">
        <f t="shared" si="4"/>
        <v>0.32835471369967989</v>
      </c>
    </row>
    <row r="314" spans="1:4" x14ac:dyDescent="0.3">
      <c r="A314" s="51">
        <v>147</v>
      </c>
      <c r="B314" s="50">
        <f>$V$4*Performance!$E$12*(1/A314)+Performance!$E$23*(1/Constraints!$V$4)*Constraints!A314</f>
        <v>0.27906565294769492</v>
      </c>
      <c r="C314" s="50">
        <f>$V$5*Performance!$E$12*(1/A314)+Performance!$E$23*(1/Constraints!$V$5)*Constraints!A314</f>
        <v>0.22519004027483877</v>
      </c>
      <c r="D314" s="52">
        <f t="shared" si="4"/>
        <v>0.32862699941196549</v>
      </c>
    </row>
    <row r="315" spans="1:4" x14ac:dyDescent="0.3">
      <c r="A315" s="51">
        <v>147.5</v>
      </c>
      <c r="B315" s="50">
        <f>$V$4*Performance!$E$12*(1/A315)+Performance!$E$23*(1/Constraints!$V$4)*Constraints!A315</f>
        <v>0.2799870706460616</v>
      </c>
      <c r="C315" s="50">
        <f>$V$5*Performance!$E$12*(1/A315)+Performance!$E$23*(1/Constraints!$V$5)*Constraints!A315</f>
        <v>0.22592127686551527</v>
      </c>
      <c r="D315" s="52">
        <f t="shared" si="4"/>
        <v>0.3288992851242511</v>
      </c>
    </row>
    <row r="316" spans="1:4" x14ac:dyDescent="0.3">
      <c r="A316" s="51">
        <v>148</v>
      </c>
      <c r="B316" s="50">
        <f>$V$4*Performance!$E$12*(1/A316)+Performance!$E$23*(1/Constraints!$V$4)*Constraints!A316</f>
        <v>0.28090858205398672</v>
      </c>
      <c r="C316" s="50">
        <f>$V$5*Performance!$E$12*(1/A316)+Performance!$E$23*(1/Constraints!$V$5)*Constraints!A316</f>
        <v>0.22665263054060672</v>
      </c>
      <c r="D316" s="52">
        <f t="shared" si="4"/>
        <v>0.32917157083653664</v>
      </c>
    </row>
    <row r="317" spans="1:4" x14ac:dyDescent="0.3">
      <c r="A317" s="51">
        <v>148.5</v>
      </c>
      <c r="B317" s="50">
        <f>$V$4*Performance!$E$12*(1/A317)+Performance!$E$23*(1/Constraints!$V$4)*Constraints!A317</f>
        <v>0.28183018622490907</v>
      </c>
      <c r="C317" s="50">
        <f>$V$5*Performance!$E$12*(1/A317)+Performance!$E$23*(1/Constraints!$V$5)*Constraints!A317</f>
        <v>0.22738410011744223</v>
      </c>
      <c r="D317" s="52">
        <f t="shared" si="4"/>
        <v>0.32944385654882224</v>
      </c>
    </row>
    <row r="318" spans="1:4" x14ac:dyDescent="0.3">
      <c r="A318" s="51">
        <v>149</v>
      </c>
      <c r="B318" s="50">
        <f>$V$4*Performance!$E$12*(1/A318)+Performance!$E$23*(1/Constraints!$V$4)*Constraints!A318</f>
        <v>0.28275188222497299</v>
      </c>
      <c r="C318" s="50">
        <f>$V$5*Performance!$E$12*(1/A318)+Performance!$E$23*(1/Constraints!$V$5)*Constraints!A318</f>
        <v>0.22811568442922567</v>
      </c>
      <c r="D318" s="52">
        <f t="shared" si="4"/>
        <v>0.32971614226110785</v>
      </c>
    </row>
    <row r="319" spans="1:4" x14ac:dyDescent="0.3">
      <c r="A319" s="51">
        <v>149.5</v>
      </c>
      <c r="B319" s="50">
        <f>$V$4*Performance!$E$12*(1/A319)+Performance!$E$23*(1/Constraints!$V$4)*Constraints!A319</f>
        <v>0.28367366913281589</v>
      </c>
      <c r="C319" s="50">
        <f>$V$5*Performance!$E$12*(1/A319)+Performance!$E$23*(1/Constraints!$V$5)*Constraints!A319</f>
        <v>0.22884738232477028</v>
      </c>
      <c r="D319" s="52">
        <f t="shared" si="4"/>
        <v>0.32998842797339345</v>
      </c>
    </row>
    <row r="320" spans="1:4" x14ac:dyDescent="0.3">
      <c r="A320" s="51">
        <v>150</v>
      </c>
      <c r="B320" s="50">
        <f>$V$4*Performance!$E$12*(1/A320)+Performance!$E$23*(1/Constraints!$V$4)*Constraints!A320</f>
        <v>0.28459554603935983</v>
      </c>
      <c r="C320" s="50">
        <f>$V$5*Performance!$E$12*(1/A320)+Performance!$E$23*(1/Constraints!$V$5)*Constraints!A320</f>
        <v>0.22957919266823854</v>
      </c>
      <c r="D320" s="52">
        <f t="shared" si="4"/>
        <v>0.33026071368567905</v>
      </c>
    </row>
    <row r="321" spans="1:4" x14ac:dyDescent="0.3">
      <c r="A321" s="51">
        <v>150.5</v>
      </c>
      <c r="B321" s="50">
        <f>$V$4*Performance!$E$12*(1/A321)+Performance!$E$23*(1/Constraints!$V$4)*Constraints!A321</f>
        <v>0.285517512047608</v>
      </c>
      <c r="C321" s="50">
        <f>$V$5*Performance!$E$12*(1/A321)+Performance!$E$23*(1/Constraints!$V$5)*Constraints!A321</f>
        <v>0.2303111143388869</v>
      </c>
      <c r="D321" s="52">
        <f t="shared" si="4"/>
        <v>0.33053299939796466</v>
      </c>
    </row>
    <row r="322" spans="1:4" x14ac:dyDescent="0.3">
      <c r="A322" s="51">
        <v>151</v>
      </c>
      <c r="B322" s="50">
        <f>$V$4*Performance!$E$12*(1/A322)+Performance!$E$23*(1/Constraints!$V$4)*Constraints!A322</f>
        <v>0.28643956627244399</v>
      </c>
      <c r="C322" s="50">
        <f>$V$5*Performance!$E$12*(1/A322)+Performance!$E$23*(1/Constraints!$V$5)*Constraints!A322</f>
        <v>0.23104314623081632</v>
      </c>
      <c r="D322" s="52">
        <f t="shared" si="4"/>
        <v>0.33080528511025026</v>
      </c>
    </row>
    <row r="323" spans="1:4" x14ac:dyDescent="0.3">
      <c r="A323" s="51">
        <v>151.5</v>
      </c>
      <c r="B323" s="50">
        <f>$V$4*Performance!$E$12*(1/A323)+Performance!$E$23*(1/Constraints!$V$4)*Constraints!A323</f>
        <v>0.28736170784043624</v>
      </c>
      <c r="C323" s="50">
        <f>$V$5*Performance!$E$12*(1/A323)+Performance!$E$23*(1/Constraints!$V$5)*Constraints!A323</f>
        <v>0.23177528725272692</v>
      </c>
      <c r="D323" s="52">
        <f t="shared" si="4"/>
        <v>0.33107757082253586</v>
      </c>
    </row>
    <row r="324" spans="1:4" x14ac:dyDescent="0.3">
      <c r="A324" s="51">
        <v>152</v>
      </c>
      <c r="B324" s="50">
        <f>$V$4*Performance!$E$12*(1/A324)+Performance!$E$23*(1/Constraints!$V$4)*Constraints!A324</f>
        <v>0.28828393588964579</v>
      </c>
      <c r="C324" s="50">
        <f>$V$5*Performance!$E$12*(1/A324)+Performance!$E$23*(1/Constraints!$V$5)*Constraints!A324</f>
        <v>0.23250753632767815</v>
      </c>
      <c r="D324" s="52">
        <f t="shared" si="4"/>
        <v>0.33134985653482146</v>
      </c>
    </row>
    <row r="325" spans="1:4" x14ac:dyDescent="0.3">
      <c r="A325" s="51">
        <v>152.5</v>
      </c>
      <c r="B325" s="50">
        <f>$V$4*Performance!$E$12*(1/A325)+Performance!$E$23*(1/Constraints!$V$4)*Constraints!A325</f>
        <v>0.28920624956943769</v>
      </c>
      <c r="C325" s="50">
        <f>$V$5*Performance!$E$12*(1/A325)+Performance!$E$23*(1/Constraints!$V$5)*Constraints!A325</f>
        <v>0.23323989239285314</v>
      </c>
      <c r="D325" s="52">
        <f t="shared" si="4"/>
        <v>0.33162214224710707</v>
      </c>
    </row>
    <row r="326" spans="1:4" x14ac:dyDescent="0.3">
      <c r="A326" s="51">
        <v>153</v>
      </c>
      <c r="B326" s="50">
        <f>$V$4*Performance!$E$12*(1/A326)+Performance!$E$23*(1/Constraints!$V$4)*Constraints!A326</f>
        <v>0.29012864804029642</v>
      </c>
      <c r="C326" s="50">
        <f>$V$5*Performance!$E$12*(1/A326)+Performance!$E$23*(1/Constraints!$V$5)*Constraints!A326</f>
        <v>0.23397235439932823</v>
      </c>
      <c r="D326" s="52">
        <f t="shared" si="4"/>
        <v>0.33189442795939261</v>
      </c>
    </row>
    <row r="327" spans="1:4" x14ac:dyDescent="0.3">
      <c r="A327" s="51">
        <v>153.5</v>
      </c>
      <c r="B327" s="50">
        <f>$V$4*Performance!$E$12*(1/A327)+Performance!$E$23*(1/Constraints!$V$4)*Constraints!A327</f>
        <v>0.29105113047364467</v>
      </c>
      <c r="C327" s="50">
        <f>$V$5*Performance!$E$12*(1/A327)+Performance!$E$23*(1/Constraints!$V$5)*Constraints!A327</f>
        <v>0.23470492131184634</v>
      </c>
      <c r="D327" s="52">
        <f t="shared" si="4"/>
        <v>0.33216671367167822</v>
      </c>
    </row>
    <row r="328" spans="1:4" x14ac:dyDescent="0.3">
      <c r="A328" s="51">
        <v>154</v>
      </c>
      <c r="B328" s="50">
        <f>$V$4*Performance!$E$12*(1/A328)+Performance!$E$23*(1/Constraints!$V$4)*Constraints!A328</f>
        <v>0.29197369605166618</v>
      </c>
      <c r="C328" s="50">
        <f>$V$5*Performance!$E$12*(1/A328)+Performance!$E$23*(1/Constraints!$V$5)*Constraints!A328</f>
        <v>0.23543759210859538</v>
      </c>
      <c r="D328" s="52">
        <f t="shared" si="4"/>
        <v>0.33243899938396382</v>
      </c>
    </row>
    <row r="329" spans="1:4" x14ac:dyDescent="0.3">
      <c r="A329" s="51">
        <v>154.5</v>
      </c>
      <c r="B329" s="50">
        <f>$V$4*Performance!$E$12*(1/A329)+Performance!$E$23*(1/Constraints!$V$4)*Constraints!A329</f>
        <v>0.29289634396713099</v>
      </c>
      <c r="C329" s="50">
        <f>$V$5*Performance!$E$12*(1/A329)+Performance!$E$23*(1/Constraints!$V$5)*Constraints!A329</f>
        <v>0.2361703657809906</v>
      </c>
      <c r="D329" s="52">
        <f t="shared" si="4"/>
        <v>0.33271128509624942</v>
      </c>
    </row>
    <row r="330" spans="1:4" x14ac:dyDescent="0.3">
      <c r="A330" s="51">
        <v>155</v>
      </c>
      <c r="B330" s="50">
        <f>$V$4*Performance!$E$12*(1/A330)+Performance!$E$23*(1/Constraints!$V$4)*Constraints!A330</f>
        <v>0.29381907342322511</v>
      </c>
      <c r="C330" s="50">
        <f>$V$5*Performance!$E$12*(1/A330)+Performance!$E$23*(1/Constraints!$V$5)*Constraints!A330</f>
        <v>0.23690324133346122</v>
      </c>
      <c r="D330" s="52">
        <f t="shared" si="4"/>
        <v>0.33298357080853502</v>
      </c>
    </row>
    <row r="331" spans="1:4" x14ac:dyDescent="0.3">
      <c r="A331" s="51">
        <v>155.5</v>
      </c>
      <c r="B331" s="50">
        <f>$V$4*Performance!$E$12*(1/A331)+Performance!$E$23*(1/Constraints!$V$4)*Constraints!A331</f>
        <v>0.29474188363338305</v>
      </c>
      <c r="C331" s="50">
        <f>$V$5*Performance!$E$12*(1/A331)+Performance!$E$23*(1/Constraints!$V$5)*Constraints!A331</f>
        <v>0.23763621778324123</v>
      </c>
      <c r="D331" s="52">
        <f t="shared" si="4"/>
        <v>0.33325585652082063</v>
      </c>
    </row>
    <row r="332" spans="1:4" x14ac:dyDescent="0.3">
      <c r="A332" s="51">
        <v>156</v>
      </c>
      <c r="B332" s="50">
        <f>$V$4*Performance!$E$12*(1/A332)+Performance!$E$23*(1/Constraints!$V$4)*Constraints!A332</f>
        <v>0.29566477382112344</v>
      </c>
      <c r="C332" s="50">
        <f>$V$5*Performance!$E$12*(1/A332)+Performance!$E$23*(1/Constraints!$V$5)*Constraints!A332</f>
        <v>0.23836929416016422</v>
      </c>
      <c r="D332" s="52">
        <f t="shared" si="4"/>
        <v>0.33352814223310623</v>
      </c>
    </row>
    <row r="333" spans="1:4" x14ac:dyDescent="0.3">
      <c r="A333" s="51">
        <v>156.5</v>
      </c>
      <c r="B333" s="50">
        <f>$V$4*Performance!$E$12*(1/A333)+Performance!$E$23*(1/Constraints!$V$4)*Constraints!A333</f>
        <v>0.2965877432198879</v>
      </c>
      <c r="C333" s="50">
        <f>$V$5*Performance!$E$12*(1/A333)+Performance!$E$23*(1/Constraints!$V$5)*Constraints!A333</f>
        <v>0.239102469506462</v>
      </c>
      <c r="D333" s="52">
        <f t="shared" si="4"/>
        <v>0.33380042794539183</v>
      </c>
    </row>
    <row r="334" spans="1:4" x14ac:dyDescent="0.3">
      <c r="A334" s="51">
        <v>157</v>
      </c>
      <c r="B334" s="50">
        <f>$V$4*Performance!$E$12*(1/A334)+Performance!$E$23*(1/Constraints!$V$4)*Constraints!A334</f>
        <v>0.29751079107288331</v>
      </c>
      <c r="C334" s="50">
        <f>$V$5*Performance!$E$12*(1/A334)+Performance!$E$23*(1/Constraints!$V$5)*Constraints!A334</f>
        <v>0.23983574287656736</v>
      </c>
      <c r="D334" s="52">
        <f t="shared" si="4"/>
        <v>0.33407271365767743</v>
      </c>
    </row>
    <row r="335" spans="1:4" x14ac:dyDescent="0.3">
      <c r="A335" s="51">
        <v>157.5</v>
      </c>
      <c r="B335" s="50">
        <f>$V$4*Performance!$E$12*(1/A335)+Performance!$E$23*(1/Constraints!$V$4)*Constraints!A335</f>
        <v>0.29843391663292645</v>
      </c>
      <c r="C335" s="50">
        <f>$V$5*Performance!$E$12*(1/A335)+Performance!$E$23*(1/Constraints!$V$5)*Constraints!A335</f>
        <v>0.24056911333692016</v>
      </c>
      <c r="D335" s="52">
        <f t="shared" si="4"/>
        <v>0.33434499936996304</v>
      </c>
    </row>
    <row r="336" spans="1:4" x14ac:dyDescent="0.3">
      <c r="A336" s="51">
        <v>158</v>
      </c>
      <c r="B336" s="50">
        <f>$V$4*Performance!$E$12*(1/A336)+Performance!$E$23*(1/Constraints!$V$4)*Constraints!A336</f>
        <v>0.29935711916229213</v>
      </c>
      <c r="C336" s="50">
        <f>$V$5*Performance!$E$12*(1/A336)+Performance!$E$23*(1/Constraints!$V$5)*Constraints!A336</f>
        <v>0.24130257996577759</v>
      </c>
      <c r="D336" s="52">
        <f t="shared" si="4"/>
        <v>0.33461728508224858</v>
      </c>
    </row>
    <row r="337" spans="1:4" x14ac:dyDescent="0.3">
      <c r="A337" s="51">
        <v>158.5</v>
      </c>
      <c r="B337" s="50">
        <f>$V$4*Performance!$E$12*(1/A337)+Performance!$E$23*(1/Constraints!$V$4)*Constraints!A337</f>
        <v>0.30028039793256422</v>
      </c>
      <c r="C337" s="50">
        <f>$V$5*Performance!$E$12*(1/A337)+Performance!$E$23*(1/Constraints!$V$5)*Constraints!A337</f>
        <v>0.2420361418530276</v>
      </c>
      <c r="D337" s="52">
        <f t="shared" si="4"/>
        <v>0.33488957079453419</v>
      </c>
    </row>
    <row r="338" spans="1:4" x14ac:dyDescent="0.3">
      <c r="A338" s="51">
        <v>159</v>
      </c>
      <c r="B338" s="50">
        <f>$V$4*Performance!$E$12*(1/A338)+Performance!$E$23*(1/Constraints!$V$4)*Constraints!A338</f>
        <v>0.30120375222448875</v>
      </c>
      <c r="C338" s="50">
        <f>$V$5*Performance!$E$12*(1/A338)+Performance!$E$23*(1/Constraints!$V$5)*Constraints!A338</f>
        <v>0.24276979810000615</v>
      </c>
      <c r="D338" s="52">
        <f t="shared" si="4"/>
        <v>0.33516185650681979</v>
      </c>
    </row>
    <row r="339" spans="1:4" x14ac:dyDescent="0.3">
      <c r="A339" s="51">
        <v>159.5</v>
      </c>
      <c r="B339" s="50">
        <f>$V$4*Performance!$E$12*(1/A339)+Performance!$E$23*(1/Constraints!$V$4)*Constraints!A339</f>
        <v>0.30212718132783078</v>
      </c>
      <c r="C339" s="50">
        <f>$V$5*Performance!$E$12*(1/A339)+Performance!$E$23*(1/Constraints!$V$5)*Constraints!A339</f>
        <v>0.2435035478193176</v>
      </c>
      <c r="D339" s="52">
        <f t="shared" si="4"/>
        <v>0.33543414221910539</v>
      </c>
    </row>
    <row r="340" spans="1:4" x14ac:dyDescent="0.3">
      <c r="A340" s="51">
        <v>160</v>
      </c>
      <c r="B340" s="50">
        <f>$V$4*Performance!$E$12*(1/A340)+Performance!$E$23*(1/Constraints!$V$4)*Constraints!A340</f>
        <v>0.30305068454123318</v>
      </c>
      <c r="C340" s="50">
        <f>$V$5*Performance!$E$12*(1/A340)+Performance!$E$23*(1/Constraints!$V$5)*Constraints!A340</f>
        <v>0.24423739013465887</v>
      </c>
      <c r="D340" s="52">
        <f t="shared" si="4"/>
        <v>0.33570642793139099</v>
      </c>
    </row>
    <row r="341" spans="1:4" x14ac:dyDescent="0.3">
      <c r="A341" s="51">
        <v>160.5</v>
      </c>
      <c r="B341" s="50">
        <f>$V$4*Performance!$E$12*(1/A341)+Performance!$E$23*(1/Constraints!$V$4)*Constraints!A341</f>
        <v>0.30397426117207876</v>
      </c>
      <c r="C341" s="50">
        <f>$V$5*Performance!$E$12*(1/A341)+Performance!$E$23*(1/Constraints!$V$5)*Constraints!A341</f>
        <v>0.24497132418064652</v>
      </c>
      <c r="D341" s="52">
        <f t="shared" si="4"/>
        <v>0.3359787136436766</v>
      </c>
    </row>
    <row r="342" spans="1:4" x14ac:dyDescent="0.3">
      <c r="A342" s="51">
        <v>161</v>
      </c>
      <c r="B342" s="50">
        <f>$V$4*Performance!$E$12*(1/A342)+Performance!$E$23*(1/Constraints!$V$4)*Constraints!A342</f>
        <v>0.3048979105363539</v>
      </c>
      <c r="C342" s="50">
        <f>$V$5*Performance!$E$12*(1/A342)+Performance!$E$23*(1/Constraints!$V$5)*Constraints!A342</f>
        <v>0.24570534910264716</v>
      </c>
      <c r="D342" s="52">
        <f t="shared" si="4"/>
        <v>0.3362509993559622</v>
      </c>
    </row>
    <row r="343" spans="1:4" x14ac:dyDescent="0.3">
      <c r="A343" s="51">
        <v>161.5</v>
      </c>
      <c r="B343" s="50">
        <f>$V$4*Performance!$E$12*(1/A343)+Performance!$E$23*(1/Constraints!$V$4)*Constraints!A343</f>
        <v>0.30582163195851597</v>
      </c>
      <c r="C343" s="50">
        <f>$V$5*Performance!$E$12*(1/A343)+Performance!$E$23*(1/Constraints!$V$5)*Constraints!A343</f>
        <v>0.24643946405661116</v>
      </c>
      <c r="D343" s="52">
        <f t="shared" ref="D343:D406" si="5">1.21/(9.8*$N$7*$N$8*$N$5)*A343+0.605/$N$8*($N$11-$N$6*$N$10)+$N$6</f>
        <v>0.3365232850682478</v>
      </c>
    </row>
    <row r="344" spans="1:4" x14ac:dyDescent="0.3">
      <c r="A344" s="51">
        <v>162</v>
      </c>
      <c r="B344" s="50">
        <f>$V$4*Performance!$E$12*(1/A344)+Performance!$E$23*(1/Constraints!$V$4)*Constraints!A344</f>
        <v>0.30674542477136235</v>
      </c>
      <c r="C344" s="50">
        <f>$V$5*Performance!$E$12*(1/A344)+Performance!$E$23*(1/Constraints!$V$5)*Constraints!A344</f>
        <v>0.24717366820890921</v>
      </c>
      <c r="D344" s="52">
        <f t="shared" si="5"/>
        <v>0.3367955707805334</v>
      </c>
    </row>
    <row r="345" spans="1:4" x14ac:dyDescent="0.3">
      <c r="A345" s="51">
        <v>162.5</v>
      </c>
      <c r="B345" s="50">
        <f>$V$4*Performance!$E$12*(1/A345)+Performance!$E$23*(1/Constraints!$V$4)*Constraints!A345</f>
        <v>0.30766928831590207</v>
      </c>
      <c r="C345" s="50">
        <f>$V$5*Performance!$E$12*(1/A345)+Performance!$E$23*(1/Constraints!$V$5)*Constraints!A345</f>
        <v>0.24790796073617211</v>
      </c>
      <c r="D345" s="52">
        <f t="shared" si="5"/>
        <v>0.33706785649281895</v>
      </c>
    </row>
    <row r="346" spans="1:4" x14ac:dyDescent="0.3">
      <c r="A346" s="51">
        <v>163</v>
      </c>
      <c r="B346" s="50">
        <f>$V$4*Performance!$E$12*(1/A346)+Performance!$E$23*(1/Constraints!$V$4)*Constraints!A346</f>
        <v>0.30859322194122996</v>
      </c>
      <c r="C346" s="50">
        <f>$V$5*Performance!$E$12*(1/A346)+Performance!$E$23*(1/Constraints!$V$5)*Constraints!A346</f>
        <v>0.24864234082513328</v>
      </c>
      <c r="D346" s="52">
        <f t="shared" si="5"/>
        <v>0.33734014220510455</v>
      </c>
    </row>
    <row r="347" spans="1:4" x14ac:dyDescent="0.3">
      <c r="A347" s="51">
        <v>163.5</v>
      </c>
      <c r="B347" s="50">
        <f>$V$4*Performance!$E$12*(1/A347)+Performance!$E$23*(1/Constraints!$V$4)*Constraints!A347</f>
        <v>0.3095172250044031</v>
      </c>
      <c r="C347" s="50">
        <f>$V$5*Performance!$E$12*(1/A347)+Performance!$E$23*(1/Constraints!$V$5)*Constraints!A347</f>
        <v>0.24937680767247439</v>
      </c>
      <c r="D347" s="52">
        <f t="shared" si="5"/>
        <v>0.33761242791739016</v>
      </c>
    </row>
    <row r="348" spans="1:4" x14ac:dyDescent="0.3">
      <c r="A348" s="51">
        <v>164</v>
      </c>
      <c r="B348" s="50">
        <f>$V$4*Performance!$E$12*(1/A348)+Performance!$E$23*(1/Constraints!$V$4)*Constraints!A348</f>
        <v>0.31044129687031913</v>
      </c>
      <c r="C348" s="50">
        <f>$V$5*Performance!$E$12*(1/A348)+Performance!$E$23*(1/Constraints!$V$5)*Constraints!A348</f>
        <v>0.25011136048467369</v>
      </c>
      <c r="D348" s="52">
        <f t="shared" si="5"/>
        <v>0.33788471362967576</v>
      </c>
    </row>
    <row r="349" spans="1:4" x14ac:dyDescent="0.3">
      <c r="A349" s="51">
        <v>164.5</v>
      </c>
      <c r="B349" s="50">
        <f>$V$4*Performance!$E$12*(1/A349)+Performance!$E$23*(1/Constraints!$V$4)*Constraints!A349</f>
        <v>0.3113654369115974</v>
      </c>
      <c r="C349" s="50">
        <f>$V$5*Performance!$E$12*(1/A349)+Performance!$E$23*(1/Constraints!$V$5)*Constraints!A349</f>
        <v>0.25084599847785705</v>
      </c>
      <c r="D349" s="52">
        <f t="shared" si="5"/>
        <v>0.33815699934196136</v>
      </c>
    </row>
    <row r="350" spans="1:4" x14ac:dyDescent="0.3">
      <c r="A350" s="51">
        <v>165</v>
      </c>
      <c r="B350" s="50">
        <f>$V$4*Performance!$E$12*(1/A350)+Performance!$E$23*(1/Constraints!$V$4)*Constraints!A350</f>
        <v>0.31228964450846203</v>
      </c>
      <c r="C350" s="50">
        <f>$V$5*Performance!$E$12*(1/A350)+Performance!$E$23*(1/Constraints!$V$5)*Constraints!A350</f>
        <v>0.25158072087765193</v>
      </c>
      <c r="D350" s="52">
        <f t="shared" si="5"/>
        <v>0.33842928505424696</v>
      </c>
    </row>
    <row r="351" spans="1:4" x14ac:dyDescent="0.3">
      <c r="A351" s="51">
        <v>165.5</v>
      </c>
      <c r="B351" s="50">
        <f>$V$4*Performance!$E$12*(1/A351)+Performance!$E$23*(1/Constraints!$V$4)*Constraints!A351</f>
        <v>0.31321391904862667</v>
      </c>
      <c r="C351" s="50">
        <f>$V$5*Performance!$E$12*(1/A351)+Performance!$E$23*(1/Constraints!$V$5)*Constraints!A351</f>
        <v>0.25231552691904374</v>
      </c>
      <c r="D351" s="52">
        <f t="shared" si="5"/>
        <v>0.33870157076653257</v>
      </c>
    </row>
    <row r="352" spans="1:4" x14ac:dyDescent="0.3">
      <c r="A352" s="51">
        <v>166</v>
      </c>
      <c r="B352" s="50">
        <f>$V$4*Performance!$E$12*(1/A352)+Performance!$E$23*(1/Constraints!$V$4)*Constraints!A352</f>
        <v>0.31413825992718197</v>
      </c>
      <c r="C352" s="50">
        <f>$V$5*Performance!$E$12*(1/A352)+Performance!$E$23*(1/Constraints!$V$5)*Constraints!A352</f>
        <v>0.25305041584623489</v>
      </c>
      <c r="D352" s="52">
        <f t="shared" si="5"/>
        <v>0.33897385647881817</v>
      </c>
    </row>
    <row r="353" spans="1:4" x14ac:dyDescent="0.3">
      <c r="A353" s="51">
        <v>166.5</v>
      </c>
      <c r="B353" s="50">
        <f>$V$4*Performance!$E$12*(1/A353)+Performance!$E$23*(1/Constraints!$V$4)*Constraints!A353</f>
        <v>0.31506266654648474</v>
      </c>
      <c r="C353" s="50">
        <f>$V$5*Performance!$E$12*(1/A353)+Performance!$E$23*(1/Constraints!$V$5)*Constraints!A353</f>
        <v>0.25378538691250641</v>
      </c>
      <c r="D353" s="52">
        <f t="shared" si="5"/>
        <v>0.33924614219110377</v>
      </c>
    </row>
    <row r="354" spans="1:4" x14ac:dyDescent="0.3">
      <c r="A354" s="51">
        <v>167</v>
      </c>
      <c r="B354" s="50">
        <f>$V$4*Performance!$E$12*(1/A354)+Performance!$E$23*(1/Constraints!$V$4)*Constraints!A354</f>
        <v>0.3159871383160493</v>
      </c>
      <c r="C354" s="50">
        <f>$V$5*Performance!$E$12*(1/A354)+Performance!$E$23*(1/Constraints!$V$5)*Constraints!A354</f>
        <v>0.25452043938008223</v>
      </c>
      <c r="D354" s="52">
        <f t="shared" si="5"/>
        <v>0.33951842790338937</v>
      </c>
    </row>
    <row r="355" spans="1:4" x14ac:dyDescent="0.3">
      <c r="A355" s="51">
        <v>167.5</v>
      </c>
      <c r="B355" s="50">
        <f>$V$4*Performance!$E$12*(1/A355)+Performance!$E$23*(1/Constraints!$V$4)*Constraints!A355</f>
        <v>0.31691167465244041</v>
      </c>
      <c r="C355" s="50">
        <f>$V$5*Performance!$E$12*(1/A355)+Performance!$E$23*(1/Constraints!$V$5)*Constraints!A355</f>
        <v>0.25525557251999537</v>
      </c>
      <c r="D355" s="52">
        <f t="shared" si="5"/>
        <v>0.33979071361567492</v>
      </c>
    </row>
    <row r="356" spans="1:4" x14ac:dyDescent="0.3">
      <c r="A356" s="51">
        <v>168</v>
      </c>
      <c r="B356" s="50">
        <f>$V$4*Performance!$E$12*(1/A356)+Performance!$E$23*(1/Constraints!$V$4)*Constraints!A356</f>
        <v>0.31783627497916855</v>
      </c>
      <c r="C356" s="50">
        <f>$V$5*Performance!$E$12*(1/A356)+Performance!$E$23*(1/Constraints!$V$5)*Constraints!A356</f>
        <v>0.25599078561195721</v>
      </c>
      <c r="D356" s="52">
        <f t="shared" si="5"/>
        <v>0.34006299932796052</v>
      </c>
    </row>
    <row r="357" spans="1:4" x14ac:dyDescent="0.3">
      <c r="A357" s="51">
        <v>168.5</v>
      </c>
      <c r="B357" s="50">
        <f>$V$4*Performance!$E$12*(1/A357)+Performance!$E$23*(1/Constraints!$V$4)*Constraints!A357</f>
        <v>0.31876093872658684</v>
      </c>
      <c r="C357" s="50">
        <f>$V$5*Performance!$E$12*(1/A357)+Performance!$E$23*(1/Constraints!$V$5)*Constraints!A357</f>
        <v>0.2567260779442283</v>
      </c>
      <c r="D357" s="52">
        <f t="shared" si="5"/>
        <v>0.34033528504024613</v>
      </c>
    </row>
    <row r="358" spans="1:4" x14ac:dyDescent="0.3">
      <c r="A358" s="51">
        <v>169</v>
      </c>
      <c r="B358" s="50">
        <f>$V$4*Performance!$E$12*(1/A358)+Performance!$E$23*(1/Constraints!$V$4)*Constraints!A358</f>
        <v>0.31968566533178971</v>
      </c>
      <c r="C358" s="50">
        <f>$V$5*Performance!$E$12*(1/A358)+Performance!$E$23*(1/Constraints!$V$5)*Constraints!A358</f>
        <v>0.25746144881349237</v>
      </c>
      <c r="D358" s="52">
        <f t="shared" si="5"/>
        <v>0.34060757075253173</v>
      </c>
    </row>
    <row r="359" spans="1:4" x14ac:dyDescent="0.3">
      <c r="A359" s="51">
        <v>169.5</v>
      </c>
      <c r="B359" s="50">
        <f>$V$4*Performance!$E$12*(1/A359)+Performance!$E$23*(1/Constraints!$V$4)*Constraints!A359</f>
        <v>0.32061045423851359</v>
      </c>
      <c r="C359" s="50">
        <f>$V$5*Performance!$E$12*(1/A359)+Performance!$E$23*(1/Constraints!$V$5)*Constraints!A359</f>
        <v>0.25819689752473179</v>
      </c>
      <c r="D359" s="52">
        <f t="shared" si="5"/>
        <v>0.34087985646481733</v>
      </c>
    </row>
    <row r="360" spans="1:4" x14ac:dyDescent="0.3">
      <c r="A360" s="51">
        <v>170</v>
      </c>
      <c r="B360" s="50">
        <f>$V$4*Performance!$E$12*(1/A360)+Performance!$E$23*(1/Constraints!$V$4)*Constraints!A360</f>
        <v>0.32153530489703924</v>
      </c>
      <c r="C360" s="50">
        <f>$V$5*Performance!$E$12*(1/A360)+Performance!$E$23*(1/Constraints!$V$5)*Constraints!A360</f>
        <v>0.2589324233911055</v>
      </c>
      <c r="D360" s="52">
        <f t="shared" si="5"/>
        <v>0.34115214217710293</v>
      </c>
    </row>
    <row r="361" spans="1:4" x14ac:dyDescent="0.3">
      <c r="A361" s="51">
        <v>170.5</v>
      </c>
      <c r="B361" s="50">
        <f>$V$4*Performance!$E$12*(1/A361)+Performance!$E$23*(1/Constraints!$V$4)*Constraints!A361</f>
        <v>0.32246021676409559</v>
      </c>
      <c r="C361" s="50">
        <f>$V$5*Performance!$E$12*(1/A361)+Performance!$E$23*(1/Constraints!$V$5)*Constraints!A361</f>
        <v>0.25966802573382947</v>
      </c>
      <c r="D361" s="52">
        <f t="shared" si="5"/>
        <v>0.34142442788938854</v>
      </c>
    </row>
    <row r="362" spans="1:4" x14ac:dyDescent="0.3">
      <c r="A362" s="51">
        <v>171</v>
      </c>
      <c r="B362" s="50">
        <f>$V$4*Performance!$E$12*(1/A362)+Performance!$E$23*(1/Constraints!$V$4)*Constraints!A362</f>
        <v>0.32338518930276566</v>
      </c>
      <c r="C362" s="50">
        <f>$V$5*Performance!$E$12*(1/A362)+Performance!$E$23*(1/Constraints!$V$5)*Constraints!A362</f>
        <v>0.26040370388205852</v>
      </c>
      <c r="D362" s="52">
        <f t="shared" si="5"/>
        <v>0.34169671360167414</v>
      </c>
    </row>
    <row r="363" spans="1:4" x14ac:dyDescent="0.3">
      <c r="A363" s="51">
        <v>171.5</v>
      </c>
      <c r="B363" s="50">
        <f>$V$4*Performance!$E$12*(1/A363)+Performance!$E$23*(1/Constraints!$V$4)*Constraints!A363</f>
        <v>0.32431022198239412</v>
      </c>
      <c r="C363" s="50">
        <f>$V$5*Performance!$E$12*(1/A363)+Performance!$E$23*(1/Constraints!$V$5)*Constraints!A363</f>
        <v>0.26113945717277054</v>
      </c>
      <c r="D363" s="52">
        <f t="shared" si="5"/>
        <v>0.34196899931395974</v>
      </c>
    </row>
    <row r="364" spans="1:4" x14ac:dyDescent="0.3">
      <c r="A364" s="51">
        <v>172</v>
      </c>
      <c r="B364" s="50">
        <f>$V$4*Performance!$E$12*(1/A364)+Performance!$E$23*(1/Constraints!$V$4)*Constraints!A364</f>
        <v>0.32523531427849572</v>
      </c>
      <c r="C364" s="50">
        <f>$V$5*Performance!$E$12*(1/A364)+Performance!$E$23*(1/Constraints!$V$5)*Constraints!A364</f>
        <v>0.26187528495065343</v>
      </c>
      <c r="D364" s="52">
        <f t="shared" si="5"/>
        <v>0.34224128502624535</v>
      </c>
    </row>
    <row r="365" spans="1:4" x14ac:dyDescent="0.3">
      <c r="A365" s="51">
        <v>172.5</v>
      </c>
      <c r="B365" s="50">
        <f>$V$4*Performance!$E$12*(1/A365)+Performance!$E$23*(1/Constraints!$V$4)*Constraints!A365</f>
        <v>0.32616046567266638</v>
      </c>
      <c r="C365" s="50">
        <f>$V$5*Performance!$E$12*(1/A365)+Performance!$E$23*(1/Constraints!$V$5)*Constraints!A365</f>
        <v>0.26261118656799254</v>
      </c>
      <c r="D365" s="52">
        <f t="shared" si="5"/>
        <v>0.34251357073853089</v>
      </c>
    </row>
    <row r="366" spans="1:4" x14ac:dyDescent="0.3">
      <c r="A366" s="51">
        <v>173</v>
      </c>
      <c r="B366" s="50">
        <f>$V$4*Performance!$E$12*(1/A366)+Performance!$E$23*(1/Constraints!$V$4)*Constraints!A366</f>
        <v>0.32708567565249508</v>
      </c>
      <c r="C366" s="50">
        <f>$V$5*Performance!$E$12*(1/A366)+Performance!$E$23*(1/Constraints!$V$5)*Constraints!A366</f>
        <v>0.26334716138456132</v>
      </c>
      <c r="D366" s="52">
        <f t="shared" si="5"/>
        <v>0.3427858564508165</v>
      </c>
    </row>
    <row r="367" spans="1:4" x14ac:dyDescent="0.3">
      <c r="A367" s="51">
        <v>173.5</v>
      </c>
      <c r="B367" s="50">
        <f>$V$4*Performance!$E$12*(1/A367)+Performance!$E$23*(1/Constraints!$V$4)*Constraints!A367</f>
        <v>0.3280109437114776</v>
      </c>
      <c r="C367" s="50">
        <f>$V$5*Performance!$E$12*(1/A367)+Performance!$E$23*(1/Constraints!$V$5)*Constraints!A367</f>
        <v>0.26408320876751351</v>
      </c>
      <c r="D367" s="52">
        <f t="shared" si="5"/>
        <v>0.3430581421631021</v>
      </c>
    </row>
    <row r="368" spans="1:4" x14ac:dyDescent="0.3">
      <c r="A368" s="51">
        <v>174</v>
      </c>
      <c r="B368" s="50">
        <f>$V$4*Performance!$E$12*(1/A368)+Performance!$E$23*(1/Constraints!$V$4)*Constraints!A368</f>
        <v>0.32893626934893161</v>
      </c>
      <c r="C368" s="50">
        <f>$V$5*Performance!$E$12*(1/A368)+Performance!$E$23*(1/Constraints!$V$5)*Constraints!A368</f>
        <v>0.26481932809127678</v>
      </c>
      <c r="D368" s="52">
        <f t="shared" si="5"/>
        <v>0.3433304278753877</v>
      </c>
    </row>
    <row r="369" spans="1:4" x14ac:dyDescent="0.3">
      <c r="A369" s="51">
        <v>174.5</v>
      </c>
      <c r="B369" s="50">
        <f>$V$4*Performance!$E$12*(1/A369)+Performance!$E$23*(1/Constraints!$V$4)*Constraints!A369</f>
        <v>0.32986165206991314</v>
      </c>
      <c r="C369" s="50">
        <f>$V$5*Performance!$E$12*(1/A369)+Performance!$E$23*(1/Constraints!$V$5)*Constraints!A369</f>
        <v>0.2655555187374487</v>
      </c>
      <c r="D369" s="52">
        <f t="shared" si="5"/>
        <v>0.3436027135876733</v>
      </c>
    </row>
    <row r="370" spans="1:4" x14ac:dyDescent="0.3">
      <c r="A370" s="51">
        <v>175</v>
      </c>
      <c r="B370" s="50">
        <f>$V$4*Performance!$E$12*(1/A370)+Performance!$E$23*(1/Constraints!$V$4)*Constraints!A370</f>
        <v>0.3307870913851349</v>
      </c>
      <c r="C370" s="50">
        <f>$V$5*Performance!$E$12*(1/A370)+Performance!$E$23*(1/Constraints!$V$5)*Constraints!A370</f>
        <v>0.26629178009469445</v>
      </c>
      <c r="D370" s="52">
        <f t="shared" si="5"/>
        <v>0.34387499929995891</v>
      </c>
    </row>
    <row r="371" spans="1:4" x14ac:dyDescent="0.3">
      <c r="A371" s="51">
        <v>175.5</v>
      </c>
      <c r="B371" s="50">
        <f>$V$4*Performance!$E$12*(1/A371)+Performance!$E$23*(1/Constraints!$V$4)*Constraints!A371</f>
        <v>0.33171258681088539</v>
      </c>
      <c r="C371" s="50">
        <f>$V$5*Performance!$E$12*(1/A371)+Performance!$E$23*(1/Constraints!$V$5)*Constraints!A371</f>
        <v>0.26702811155864586</v>
      </c>
      <c r="D371" s="52">
        <f t="shared" si="5"/>
        <v>0.34414728501224451</v>
      </c>
    </row>
    <row r="372" spans="1:4" x14ac:dyDescent="0.3">
      <c r="A372" s="51">
        <v>176</v>
      </c>
      <c r="B372" s="50">
        <f>$V$4*Performance!$E$12*(1/A372)+Performance!$E$23*(1/Constraints!$V$4)*Constraints!A372</f>
        <v>0.3326381378689498</v>
      </c>
      <c r="C372" s="50">
        <f>$V$5*Performance!$E$12*(1/A372)+Performance!$E$23*(1/Constraints!$V$5)*Constraints!A372</f>
        <v>0.26776451253180245</v>
      </c>
      <c r="D372" s="52">
        <f t="shared" si="5"/>
        <v>0.34441957072453011</v>
      </c>
    </row>
    <row r="373" spans="1:4" x14ac:dyDescent="0.3">
      <c r="A373" s="51">
        <v>176.5</v>
      </c>
      <c r="B373" s="50">
        <f>$V$4*Performance!$E$12*(1/A373)+Performance!$E$23*(1/Constraints!$V$4)*Constraints!A373</f>
        <v>0.33356374408653244</v>
      </c>
      <c r="C373" s="50">
        <f>$V$5*Performance!$E$12*(1/A373)+Performance!$E$23*(1/Constraints!$V$5)*Constraints!A373</f>
        <v>0.26850098242343462</v>
      </c>
      <c r="D373" s="52">
        <f t="shared" si="5"/>
        <v>0.34469185643681571</v>
      </c>
    </row>
    <row r="374" spans="1:4" x14ac:dyDescent="0.3">
      <c r="A374" s="51">
        <v>177</v>
      </c>
      <c r="B374" s="50">
        <f>$V$4*Performance!$E$12*(1/A374)+Performance!$E$23*(1/Constraints!$V$4)*Constraints!A374</f>
        <v>0.33448940499617968</v>
      </c>
      <c r="C374" s="50">
        <f>$V$5*Performance!$E$12*(1/A374)+Performance!$E$23*(1/Constraints!$V$5)*Constraints!A374</f>
        <v>0.26923752064948736</v>
      </c>
      <c r="D374" s="52">
        <f t="shared" si="5"/>
        <v>0.34496414214910126</v>
      </c>
    </row>
    <row r="375" spans="1:4" x14ac:dyDescent="0.3">
      <c r="A375" s="51">
        <v>177.5</v>
      </c>
      <c r="B375" s="50">
        <f>$V$4*Performance!$E$12*(1/A375)+Performance!$E$23*(1/Constraints!$V$4)*Constraints!A375</f>
        <v>0.33541512013570496</v>
      </c>
      <c r="C375" s="50">
        <f>$V$5*Performance!$E$12*(1/A375)+Performance!$E$23*(1/Constraints!$V$5)*Constraints!A375</f>
        <v>0.26997412663248682</v>
      </c>
      <c r="D375" s="52">
        <f t="shared" si="5"/>
        <v>0.34523642786138686</v>
      </c>
    </row>
    <row r="376" spans="1:4" x14ac:dyDescent="0.3">
      <c r="A376" s="51">
        <v>178</v>
      </c>
      <c r="B376" s="50">
        <f>$V$4*Performance!$E$12*(1/A376)+Performance!$E$23*(1/Constraints!$V$4)*Constraints!A376</f>
        <v>0.3363408890481151</v>
      </c>
      <c r="C376" s="50">
        <f>$V$5*Performance!$E$12*(1/A376)+Performance!$E$23*(1/Constraints!$V$5)*Constraints!A376</f>
        <v>0.27071079980144735</v>
      </c>
      <c r="D376" s="52">
        <f t="shared" si="5"/>
        <v>0.34550871357367247</v>
      </c>
    </row>
    <row r="377" spans="1:4" x14ac:dyDescent="0.3">
      <c r="A377" s="51">
        <v>178.5</v>
      </c>
      <c r="B377" s="50">
        <f>$V$4*Performance!$E$12*(1/A377)+Performance!$E$23*(1/Constraints!$V$4)*Constraints!A377</f>
        <v>0.33726671128153701</v>
      </c>
      <c r="C377" s="50">
        <f>$V$5*Performance!$E$12*(1/A377)+Performance!$E$23*(1/Constraints!$V$5)*Constraints!A377</f>
        <v>0.27144753959178114</v>
      </c>
      <c r="D377" s="52">
        <f t="shared" si="5"/>
        <v>0.34578099928595807</v>
      </c>
    </row>
    <row r="378" spans="1:4" x14ac:dyDescent="0.3">
      <c r="A378" s="51">
        <v>179</v>
      </c>
      <c r="B378" s="50">
        <f>$V$4*Performance!$E$12*(1/A378)+Performance!$E$23*(1/Constraints!$V$4)*Constraints!A378</f>
        <v>0.33819258638914662</v>
      </c>
      <c r="C378" s="50">
        <f>$V$5*Performance!$E$12*(1/A378)+Performance!$E$23*(1/Constraints!$V$5)*Constraints!A378</f>
        <v>0.27218434544520848</v>
      </c>
      <c r="D378" s="52">
        <f t="shared" si="5"/>
        <v>0.34605328499824367</v>
      </c>
    </row>
    <row r="379" spans="1:4" x14ac:dyDescent="0.3">
      <c r="A379" s="51">
        <v>179.5</v>
      </c>
      <c r="B379" s="50">
        <f>$V$4*Performance!$E$12*(1/A379)+Performance!$E$23*(1/Constraints!$V$4)*Constraints!A379</f>
        <v>0.33911851392909825</v>
      </c>
      <c r="C379" s="50">
        <f>$V$5*Performance!$E$12*(1/A379)+Performance!$E$23*(1/Constraints!$V$5)*Constraints!A379</f>
        <v>0.27292121680967019</v>
      </c>
      <c r="D379" s="52">
        <f t="shared" si="5"/>
        <v>0.34632557071052927</v>
      </c>
    </row>
    <row r="380" spans="1:4" x14ac:dyDescent="0.3">
      <c r="A380" s="51">
        <v>180</v>
      </c>
      <c r="B380" s="50">
        <f>$V$4*Performance!$E$12*(1/A380)+Performance!$E$23*(1/Constraints!$V$4)*Constraints!A380</f>
        <v>0.34004449346445581</v>
      </c>
      <c r="C380" s="50">
        <f>$V$5*Performance!$E$12*(1/A380)+Performance!$E$23*(1/Constraints!$V$5)*Constraints!A380</f>
        <v>0.27365815313924075</v>
      </c>
      <c r="D380" s="52">
        <f t="shared" si="5"/>
        <v>0.34659785642281488</v>
      </c>
    </row>
    <row r="381" spans="1:4" x14ac:dyDescent="0.3">
      <c r="A381" s="51">
        <v>180.5</v>
      </c>
      <c r="B381" s="50">
        <f>$V$4*Performance!$E$12*(1/A381)+Performance!$E$23*(1/Constraints!$V$4)*Constraints!A381</f>
        <v>0.34097052456312454</v>
      </c>
      <c r="C381" s="50">
        <f>$V$5*Performance!$E$12*(1/A381)+Performance!$E$23*(1/Constraints!$V$5)*Constraints!A381</f>
        <v>0.27439515389404417</v>
      </c>
      <c r="D381" s="52">
        <f t="shared" si="5"/>
        <v>0.34687014213510048</v>
      </c>
    </row>
    <row r="382" spans="1:4" x14ac:dyDescent="0.3">
      <c r="A382" s="51">
        <v>181</v>
      </c>
      <c r="B382" s="50">
        <f>$V$4*Performance!$E$12*(1/A382)+Performance!$E$23*(1/Constraints!$V$4)*Constraints!A382</f>
        <v>0.34189660679778405</v>
      </c>
      <c r="C382" s="50">
        <f>$V$5*Performance!$E$12*(1/A382)+Performance!$E$23*(1/Constraints!$V$5)*Constraints!A382</f>
        <v>0.27513221854016956</v>
      </c>
      <c r="D382" s="52">
        <f t="shared" si="5"/>
        <v>0.34714242784738608</v>
      </c>
    </row>
    <row r="383" spans="1:4" x14ac:dyDescent="0.3">
      <c r="A383" s="51">
        <v>181.5</v>
      </c>
      <c r="B383" s="50">
        <f>$V$4*Performance!$E$12*(1/A383)+Performance!$E$23*(1/Constraints!$V$4)*Constraints!A383</f>
        <v>0.342822739745823</v>
      </c>
      <c r="C383" s="50">
        <f>$V$5*Performance!$E$12*(1/A383)+Performance!$E$23*(1/Constraints!$V$5)*Constraints!A383</f>
        <v>0.27586934654958944</v>
      </c>
      <c r="D383" s="52">
        <f t="shared" si="5"/>
        <v>0.34741471355967168</v>
      </c>
    </row>
    <row r="384" spans="1:4" x14ac:dyDescent="0.3">
      <c r="A384" s="51">
        <v>182</v>
      </c>
      <c r="B384" s="50">
        <f>$V$4*Performance!$E$12*(1/A384)+Performance!$E$23*(1/Constraints!$V$4)*Constraints!A384</f>
        <v>0.3437489229892739</v>
      </c>
      <c r="C384" s="50">
        <f>$V$5*Performance!$E$12*(1/A384)+Performance!$E$23*(1/Constraints!$V$5)*Constraints!A384</f>
        <v>0.27660653740007896</v>
      </c>
      <c r="D384" s="52">
        <f t="shared" si="5"/>
        <v>0.34768699927195723</v>
      </c>
    </row>
    <row r="385" spans="1:4" x14ac:dyDescent="0.3">
      <c r="A385" s="51">
        <v>182.5</v>
      </c>
      <c r="B385" s="50">
        <f>$V$4*Performance!$E$12*(1/A385)+Performance!$E$23*(1/Constraints!$V$4)*Constraints!A385</f>
        <v>0.34467515611474975</v>
      </c>
      <c r="C385" s="50">
        <f>$V$5*Performance!$E$12*(1/A385)+Performance!$E$23*(1/Constraints!$V$5)*Constraints!A385</f>
        <v>0.27734379057513608</v>
      </c>
      <c r="D385" s="52">
        <f t="shared" si="5"/>
        <v>0.34795928498424283</v>
      </c>
    </row>
    <row r="386" spans="1:4" x14ac:dyDescent="0.3">
      <c r="A386" s="51">
        <v>183</v>
      </c>
      <c r="B386" s="50">
        <f>$V$4*Performance!$E$12*(1/A386)+Performance!$E$23*(1/Constraints!$V$4)*Constraints!A386</f>
        <v>0.34560143871338161</v>
      </c>
      <c r="C386" s="50">
        <f>$V$5*Performance!$E$12*(1/A386)+Performance!$E$23*(1/Constraints!$V$5)*Constraints!A386</f>
        <v>0.2780811055639037</v>
      </c>
      <c r="D386" s="52">
        <f t="shared" si="5"/>
        <v>0.34823157069652844</v>
      </c>
    </row>
    <row r="387" spans="1:4" x14ac:dyDescent="0.3">
      <c r="A387" s="51">
        <v>183.5</v>
      </c>
      <c r="B387" s="50">
        <f>$V$4*Performance!$E$12*(1/A387)+Performance!$E$23*(1/Constraints!$V$4)*Constraints!A387</f>
        <v>0.34652777038075672</v>
      </c>
      <c r="C387" s="50">
        <f>$V$5*Performance!$E$12*(1/A387)+Performance!$E$23*(1/Constraints!$V$5)*Constraints!A387</f>
        <v>0.27881848186109265</v>
      </c>
      <c r="D387" s="52">
        <f t="shared" si="5"/>
        <v>0.34850385640881404</v>
      </c>
    </row>
    <row r="388" spans="1:4" x14ac:dyDescent="0.3">
      <c r="A388" s="51">
        <v>184</v>
      </c>
      <c r="B388" s="50">
        <f>$V$4*Performance!$E$12*(1/A388)+Performance!$E$23*(1/Constraints!$V$4)*Constraints!A388</f>
        <v>0.34745415071685803</v>
      </c>
      <c r="C388" s="50">
        <f>$V$5*Performance!$E$12*(1/A388)+Performance!$E$23*(1/Constraints!$V$5)*Constraints!A388</f>
        <v>0.27955591896690601</v>
      </c>
      <c r="D388" s="52">
        <f t="shared" si="5"/>
        <v>0.34877614212109964</v>
      </c>
    </row>
    <row r="389" spans="1:4" x14ac:dyDescent="0.3">
      <c r="A389" s="51">
        <v>184.5</v>
      </c>
      <c r="B389" s="50">
        <f>$V$4*Performance!$E$12*(1/A389)+Performance!$E$23*(1/Constraints!$V$4)*Constraints!A389</f>
        <v>0.34838057932600502</v>
      </c>
      <c r="C389" s="50">
        <f>$V$5*Performance!$E$12*(1/A389)+Performance!$E$23*(1/Constraints!$V$5)*Constraints!A389</f>
        <v>0.28029341638696476</v>
      </c>
      <c r="D389" s="52">
        <f t="shared" si="5"/>
        <v>0.34904842783338524</v>
      </c>
    </row>
    <row r="390" spans="1:4" x14ac:dyDescent="0.3">
      <c r="A390" s="51">
        <v>185</v>
      </c>
      <c r="B390" s="50">
        <f>$V$4*Performance!$E$12*(1/A390)+Performance!$E$23*(1/Constraints!$V$4)*Constraints!A390</f>
        <v>0.34930705581679455</v>
      </c>
      <c r="C390" s="50">
        <f>$V$5*Performance!$E$12*(1/A390)+Performance!$E$23*(1/Constraints!$V$5)*Constraints!A390</f>
        <v>0.28103097363223445</v>
      </c>
      <c r="D390" s="52">
        <f t="shared" si="5"/>
        <v>0.34932071354567085</v>
      </c>
    </row>
    <row r="391" spans="1:4" x14ac:dyDescent="0.3">
      <c r="A391" s="51">
        <v>185.5</v>
      </c>
      <c r="B391" s="50">
        <f>$V$4*Performance!$E$12*(1/A391)+Performance!$E$23*(1/Constraints!$V$4)*Constraints!A391</f>
        <v>0.35023357980204356</v>
      </c>
      <c r="C391" s="50">
        <f>$V$5*Performance!$E$12*(1/A391)+Performance!$E$23*(1/Constraints!$V$5)*Constraints!A391</f>
        <v>0.28176859021895323</v>
      </c>
      <c r="D391" s="52">
        <f t="shared" si="5"/>
        <v>0.34959299925795645</v>
      </c>
    </row>
    <row r="392" spans="1:4" x14ac:dyDescent="0.3">
      <c r="A392" s="51">
        <v>186</v>
      </c>
      <c r="B392" s="50">
        <f>$V$4*Performance!$E$12*(1/A392)+Performance!$E$23*(1/Constraints!$V$4)*Constraints!A392</f>
        <v>0.35116015089873204</v>
      </c>
      <c r="C392" s="50">
        <f>$V$5*Performance!$E$12*(1/A392)+Performance!$E$23*(1/Constraints!$V$5)*Constraints!A392</f>
        <v>0.28250626566856107</v>
      </c>
      <c r="D392" s="52">
        <f t="shared" si="5"/>
        <v>0.34986528497024205</v>
      </c>
    </row>
    <row r="393" spans="1:4" x14ac:dyDescent="0.3">
      <c r="A393" s="51">
        <v>186.5</v>
      </c>
      <c r="B393" s="50">
        <f>$V$4*Performance!$E$12*(1/A393)+Performance!$E$23*(1/Constraints!$V$4)*Constraints!A393</f>
        <v>0.35208676872794786</v>
      </c>
      <c r="C393" s="50">
        <f>$V$5*Performance!$E$12*(1/A393)+Performance!$E$23*(1/Constraints!$V$5)*Constraints!A393</f>
        <v>0.28324399950762996</v>
      </c>
      <c r="D393" s="52">
        <f t="shared" si="5"/>
        <v>0.35013757068252765</v>
      </c>
    </row>
    <row r="394" spans="1:4" x14ac:dyDescent="0.3">
      <c r="A394" s="51">
        <v>187</v>
      </c>
      <c r="B394" s="50">
        <f>$V$4*Performance!$E$12*(1/A394)+Performance!$E$23*(1/Constraints!$V$4)*Constraints!A394</f>
        <v>0.353013432914831</v>
      </c>
      <c r="C394" s="50">
        <f>$V$5*Performance!$E$12*(1/A394)+Performance!$E$23*(1/Constraints!$V$5)*Constraints!A394</f>
        <v>0.2839817912677951</v>
      </c>
      <c r="D394" s="52">
        <f t="shared" si="5"/>
        <v>0.3504098563948132</v>
      </c>
    </row>
    <row r="395" spans="1:4" x14ac:dyDescent="0.3">
      <c r="A395" s="51">
        <v>187.5</v>
      </c>
      <c r="B395" s="50">
        <f>$V$4*Performance!$E$12*(1/A395)+Performance!$E$23*(1/Constraints!$V$4)*Constraints!A395</f>
        <v>0.35394014308852018</v>
      </c>
      <c r="C395" s="50">
        <f>$V$5*Performance!$E$12*(1/A395)+Performance!$E$23*(1/Constraints!$V$5)*Constraints!A395</f>
        <v>0.28471964048568782</v>
      </c>
      <c r="D395" s="52">
        <f t="shared" si="5"/>
        <v>0.3506821421070988</v>
      </c>
    </row>
    <row r="396" spans="1:4" x14ac:dyDescent="0.3">
      <c r="A396" s="51">
        <v>188</v>
      </c>
      <c r="B396" s="50">
        <f>$V$4*Performance!$E$12*(1/A396)+Performance!$E$23*(1/Constraints!$V$4)*Constraints!A396</f>
        <v>0.35486689888209938</v>
      </c>
      <c r="C396" s="50">
        <f>$V$5*Performance!$E$12*(1/A396)+Performance!$E$23*(1/Constraints!$V$5)*Constraints!A396</f>
        <v>0.28545754670286883</v>
      </c>
      <c r="D396" s="52">
        <f t="shared" si="5"/>
        <v>0.35095442781938441</v>
      </c>
    </row>
    <row r="397" spans="1:4" x14ac:dyDescent="0.3">
      <c r="A397" s="51">
        <v>188.5</v>
      </c>
      <c r="B397" s="50">
        <f>$V$4*Performance!$E$12*(1/A397)+Performance!$E$23*(1/Constraints!$V$4)*Constraints!A397</f>
        <v>0.35579369993254567</v>
      </c>
      <c r="C397" s="50">
        <f>$V$5*Performance!$E$12*(1/A397)+Performance!$E$23*(1/Constraints!$V$5)*Constraints!A397</f>
        <v>0.28619550946576278</v>
      </c>
      <c r="D397" s="52">
        <f t="shared" si="5"/>
        <v>0.35122671353167001</v>
      </c>
    </row>
    <row r="398" spans="1:4" x14ac:dyDescent="0.3">
      <c r="A398" s="51">
        <v>189</v>
      </c>
      <c r="B398" s="50">
        <f>$V$4*Performance!$E$12*(1/A398)+Performance!$E$23*(1/Constraints!$V$4)*Constraints!A398</f>
        <v>0.35672054588067742</v>
      </c>
      <c r="C398" s="50">
        <f>$V$5*Performance!$E$12*(1/A398)+Performance!$E$23*(1/Constraints!$V$5)*Constraints!A398</f>
        <v>0.28693352832559427</v>
      </c>
      <c r="D398" s="52">
        <f t="shared" si="5"/>
        <v>0.35149899924395561</v>
      </c>
    </row>
    <row r="399" spans="1:4" x14ac:dyDescent="0.3">
      <c r="A399" s="51">
        <v>189.5</v>
      </c>
      <c r="B399" s="50">
        <f>$V$4*Performance!$E$12*(1/A399)+Performance!$E$23*(1/Constraints!$V$4)*Constraints!A399</f>
        <v>0.35764743637110413</v>
      </c>
      <c r="C399" s="50">
        <f>$V$5*Performance!$E$12*(1/A399)+Performance!$E$23*(1/Constraints!$V$5)*Constraints!A399</f>
        <v>0.28767160283832416</v>
      </c>
      <c r="D399" s="52">
        <f t="shared" si="5"/>
        <v>0.35177128495624121</v>
      </c>
    </row>
    <row r="400" spans="1:4" x14ac:dyDescent="0.3">
      <c r="A400" s="51">
        <v>190</v>
      </c>
      <c r="B400" s="50">
        <f>$V$4*Performance!$E$12*(1/A400)+Performance!$E$23*(1/Constraints!$V$4)*Constraints!A400</f>
        <v>0.35857437105217604</v>
      </c>
      <c r="C400" s="50">
        <f>$V$5*Performance!$E$12*(1/A400)+Performance!$E$23*(1/Constraints!$V$5)*Constraints!A400</f>
        <v>0.28840973256458746</v>
      </c>
      <c r="D400" s="52">
        <f t="shared" si="5"/>
        <v>0.35204357066852682</v>
      </c>
    </row>
    <row r="401" spans="1:4" x14ac:dyDescent="0.3">
      <c r="A401" s="51">
        <v>190.5</v>
      </c>
      <c r="B401" s="50">
        <f>$V$4*Performance!$E$12*(1/A401)+Performance!$E$23*(1/Constraints!$V$4)*Constraints!A401</f>
        <v>0.35950134957593527</v>
      </c>
      <c r="C401" s="50">
        <f>$V$5*Performance!$E$12*(1/A401)+Performance!$E$23*(1/Constraints!$V$5)*Constraints!A401</f>
        <v>0.28914791706963205</v>
      </c>
      <c r="D401" s="52">
        <f t="shared" si="5"/>
        <v>0.35231585638081242</v>
      </c>
    </row>
    <row r="402" spans="1:4" x14ac:dyDescent="0.3">
      <c r="A402" s="51">
        <v>191</v>
      </c>
      <c r="B402" s="50">
        <f>$V$4*Performance!$E$12*(1/A402)+Performance!$E$23*(1/Constraints!$V$4)*Constraints!A402</f>
        <v>0.36042837159806762</v>
      </c>
      <c r="C402" s="50">
        <f>$V$5*Performance!$E$12*(1/A402)+Performance!$E$23*(1/Constraints!$V$5)*Constraints!A402</f>
        <v>0.28988615592325789</v>
      </c>
      <c r="D402" s="52">
        <f t="shared" si="5"/>
        <v>0.35258814209309802</v>
      </c>
    </row>
    <row r="403" spans="1:4" x14ac:dyDescent="0.3">
      <c r="A403" s="51">
        <v>191.5</v>
      </c>
      <c r="B403" s="50">
        <f>$V$4*Performance!$E$12*(1/A403)+Performance!$E$23*(1/Constraints!$V$4)*Constraints!A403</f>
        <v>0.3613554367778547</v>
      </c>
      <c r="C403" s="50">
        <f>$V$5*Performance!$E$12*(1/A403)+Performance!$E$23*(1/Constraints!$V$5)*Constraints!A403</f>
        <v>0.29062444869975823</v>
      </c>
      <c r="D403" s="52">
        <f t="shared" si="5"/>
        <v>0.35286042780538357</v>
      </c>
    </row>
    <row r="404" spans="1:4" x14ac:dyDescent="0.3">
      <c r="A404" s="51">
        <v>192</v>
      </c>
      <c r="B404" s="50">
        <f>$V$4*Performance!$E$12*(1/A404)+Performance!$E$23*(1/Constraints!$V$4)*Constraints!A404</f>
        <v>0.36228254477812738</v>
      </c>
      <c r="C404" s="50">
        <f>$V$5*Performance!$E$12*(1/A404)+Performance!$E$23*(1/Constraints!$V$5)*Constraints!A404</f>
        <v>0.29136279497786055</v>
      </c>
      <c r="D404" s="52">
        <f t="shared" si="5"/>
        <v>0.35313271351766917</v>
      </c>
    </row>
    <row r="405" spans="1:4" x14ac:dyDescent="0.3">
      <c r="A405" s="51">
        <v>192.5</v>
      </c>
      <c r="B405" s="50">
        <f>$V$4*Performance!$E$12*(1/A405)+Performance!$E$23*(1/Constraints!$V$4)*Constraints!A405</f>
        <v>0.3632096952652194</v>
      </c>
      <c r="C405" s="50">
        <f>$V$5*Performance!$E$12*(1/A405)+Performance!$E$23*(1/Constraints!$V$5)*Constraints!A405</f>
        <v>0.29210119434066922</v>
      </c>
      <c r="D405" s="52">
        <f t="shared" si="5"/>
        <v>0.35340499922995477</v>
      </c>
    </row>
    <row r="406" spans="1:4" x14ac:dyDescent="0.3">
      <c r="A406" s="51">
        <v>193</v>
      </c>
      <c r="B406" s="50">
        <f>$V$4*Performance!$E$12*(1/A406)+Performance!$E$23*(1/Constraints!$V$4)*Constraints!A406</f>
        <v>0.36413688790892251</v>
      </c>
      <c r="C406" s="50">
        <f>$V$5*Performance!$E$12*(1/A406)+Performance!$E$23*(1/Constraints!$V$5)*Constraints!A406</f>
        <v>0.29283964637560889</v>
      </c>
      <c r="D406" s="52">
        <f t="shared" si="5"/>
        <v>0.35367728494224038</v>
      </c>
    </row>
    <row r="407" spans="1:4" x14ac:dyDescent="0.3">
      <c r="A407" s="51">
        <v>193.5</v>
      </c>
      <c r="B407" s="50">
        <f>$V$4*Performance!$E$12*(1/A407)+Performance!$E$23*(1/Constraints!$V$4)*Constraints!A407</f>
        <v>0.36506412238244113</v>
      </c>
      <c r="C407" s="50">
        <f>$V$5*Performance!$E$12*(1/A407)+Performance!$E$23*(1/Constraints!$V$5)*Constraints!A407</f>
        <v>0.29357815067436843</v>
      </c>
      <c r="D407" s="52">
        <f t="shared" ref="D407:D470" si="6">1.21/(9.8*$N$7*$N$8*$N$5)*A407+0.605/$N$8*($N$11-$N$6*$N$10)+$N$6</f>
        <v>0.35394957065452598</v>
      </c>
    </row>
    <row r="408" spans="1:4" x14ac:dyDescent="0.3">
      <c r="A408" s="51">
        <v>194</v>
      </c>
      <c r="B408" s="50">
        <f>$V$4*Performance!$E$12*(1/A408)+Performance!$E$23*(1/Constraints!$V$4)*Constraints!A408</f>
        <v>0.3659913983623489</v>
      </c>
      <c r="C408" s="50">
        <f>$V$5*Performance!$E$12*(1/A408)+Performance!$E$23*(1/Constraints!$V$5)*Constraints!A408</f>
        <v>0.29431670683284605</v>
      </c>
      <c r="D408" s="52">
        <f t="shared" si="6"/>
        <v>0.35422185636681158</v>
      </c>
    </row>
    <row r="409" spans="1:4" x14ac:dyDescent="0.3">
      <c r="A409" s="51">
        <v>194.5</v>
      </c>
      <c r="B409" s="50">
        <f>$V$4*Performance!$E$12*(1/A409)+Performance!$E$23*(1/Constraints!$V$4)*Constraints!A409</f>
        <v>0.36691871552854521</v>
      </c>
      <c r="C409" s="50">
        <f>$V$5*Performance!$E$12*(1/A409)+Performance!$E$23*(1/Constraints!$V$5)*Constraints!A409</f>
        <v>0.29505531445109551</v>
      </c>
      <c r="D409" s="52">
        <f t="shared" si="6"/>
        <v>0.35449414207909719</v>
      </c>
    </row>
    <row r="410" spans="1:4" x14ac:dyDescent="0.3">
      <c r="A410" s="51">
        <v>195</v>
      </c>
      <c r="B410" s="50">
        <f>$V$4*Performance!$E$12*(1/A410)+Performance!$E$23*(1/Constraints!$V$4)*Constraints!A410</f>
        <v>0.36784607356421234</v>
      </c>
      <c r="C410" s="50">
        <f>$V$5*Performance!$E$12*(1/A410)+Performance!$E$23*(1/Constraints!$V$5)*Constraints!A410</f>
        <v>0.29579397313327227</v>
      </c>
      <c r="D410" s="52">
        <f t="shared" si="6"/>
        <v>0.35476642779138279</v>
      </c>
    </row>
    <row r="411" spans="1:4" x14ac:dyDescent="0.3">
      <c r="A411" s="51">
        <v>195.5</v>
      </c>
      <c r="B411" s="50">
        <f>$V$4*Performance!$E$12*(1/A411)+Performance!$E$23*(1/Constraints!$V$4)*Constraints!A411</f>
        <v>0.36877347215577377</v>
      </c>
      <c r="C411" s="50">
        <f>$V$5*Performance!$E$12*(1/A411)+Performance!$E$23*(1/Constraints!$V$5)*Constraints!A411</f>
        <v>0.29653268248758152</v>
      </c>
      <c r="D411" s="52">
        <f t="shared" si="6"/>
        <v>0.35503871350366839</v>
      </c>
    </row>
    <row r="412" spans="1:4" x14ac:dyDescent="0.3">
      <c r="A412" s="51">
        <v>196</v>
      </c>
      <c r="B412" s="50">
        <f>$V$4*Performance!$E$12*(1/A412)+Performance!$E$23*(1/Constraints!$V$4)*Constraints!A412</f>
        <v>0.36970091099285296</v>
      </c>
      <c r="C412" s="50">
        <f>$V$5*Performance!$E$12*(1/A412)+Performance!$E$23*(1/Constraints!$V$5)*Constraints!A412</f>
        <v>0.29727144212622642</v>
      </c>
      <c r="D412" s="52">
        <f t="shared" si="6"/>
        <v>0.35531099921595399</v>
      </c>
    </row>
    <row r="413" spans="1:4" x14ac:dyDescent="0.3">
      <c r="A413" s="51">
        <v>196.5</v>
      </c>
      <c r="B413" s="50">
        <f>$V$4*Performance!$E$12*(1/A413)+Performance!$E$23*(1/Constraints!$V$4)*Constraints!A413</f>
        <v>0.37062838976823198</v>
      </c>
      <c r="C413" s="50">
        <f>$V$5*Performance!$E$12*(1/A413)+Performance!$E$23*(1/Constraints!$V$5)*Constraints!A413</f>
        <v>0.29801025166535694</v>
      </c>
      <c r="D413" s="52">
        <f t="shared" si="6"/>
        <v>0.35558328492823954</v>
      </c>
    </row>
    <row r="414" spans="1:4" x14ac:dyDescent="0.3">
      <c r="A414" s="51">
        <v>197</v>
      </c>
      <c r="B414" s="50">
        <f>$V$4*Performance!$E$12*(1/A414)+Performance!$E$23*(1/Constraints!$V$4)*Constraints!A414</f>
        <v>0.3715559081778122</v>
      </c>
      <c r="C414" s="50">
        <f>$V$5*Performance!$E$12*(1/A414)+Performance!$E$23*(1/Constraints!$V$5)*Constraints!A414</f>
        <v>0.29874911072502019</v>
      </c>
      <c r="D414" s="52">
        <f t="shared" si="6"/>
        <v>0.35585557064052514</v>
      </c>
    </row>
    <row r="415" spans="1:4" x14ac:dyDescent="0.3">
      <c r="A415" s="51">
        <v>197.5</v>
      </c>
      <c r="B415" s="50">
        <f>$V$4*Performance!$E$12*(1/A415)+Performance!$E$23*(1/Constraints!$V$4)*Constraints!A415</f>
        <v>0.37248346592057441</v>
      </c>
      <c r="C415" s="50">
        <f>$V$5*Performance!$E$12*(1/A415)+Performance!$E$23*(1/Constraints!$V$5)*Constraints!A415</f>
        <v>0.29948801892911098</v>
      </c>
      <c r="D415" s="52">
        <f t="shared" si="6"/>
        <v>0.35612785635281075</v>
      </c>
    </row>
    <row r="416" spans="1:4" x14ac:dyDescent="0.3">
      <c r="A416" s="51">
        <v>198</v>
      </c>
      <c r="B416" s="50">
        <f>$V$4*Performance!$E$12*(1/A416)+Performance!$E$23*(1/Constraints!$V$4)*Constraints!A416</f>
        <v>0.37341106269853991</v>
      </c>
      <c r="C416" s="50">
        <f>$V$5*Performance!$E$12*(1/A416)+Performance!$E$23*(1/Constraints!$V$5)*Constraints!A416</f>
        <v>0.30022697590532282</v>
      </c>
      <c r="D416" s="52">
        <f t="shared" si="6"/>
        <v>0.35640014206509635</v>
      </c>
    </row>
    <row r="417" spans="1:4" x14ac:dyDescent="0.3">
      <c r="A417" s="51">
        <v>198.5</v>
      </c>
      <c r="B417" s="50">
        <f>$V$4*Performance!$E$12*(1/A417)+Performance!$E$23*(1/Constraints!$V$4)*Constraints!A417</f>
        <v>0.37433869821673232</v>
      </c>
      <c r="C417" s="50">
        <f>$V$5*Performance!$E$12*(1/A417)+Performance!$E$23*(1/Constraints!$V$5)*Constraints!A417</f>
        <v>0.30096598128510083</v>
      </c>
      <c r="D417" s="52">
        <f t="shared" si="6"/>
        <v>0.35667242777738195</v>
      </c>
    </row>
    <row r="418" spans="1:4" x14ac:dyDescent="0.3">
      <c r="A418" s="51">
        <v>199</v>
      </c>
      <c r="B418" s="50">
        <f>$V$4*Performance!$E$12*(1/A418)+Performance!$E$23*(1/Constraints!$V$4)*Constraints!A418</f>
        <v>0.37526637218313996</v>
      </c>
      <c r="C418" s="50">
        <f>$V$5*Performance!$E$12*(1/A418)+Performance!$E$23*(1/Constraints!$V$5)*Constraints!A418</f>
        <v>0.30170503470359394</v>
      </c>
      <c r="D418" s="52">
        <f t="shared" si="6"/>
        <v>0.35694471348966755</v>
      </c>
    </row>
    <row r="419" spans="1:4" x14ac:dyDescent="0.3">
      <c r="A419" s="51">
        <v>199.5</v>
      </c>
      <c r="B419" s="50">
        <f>$V$4*Performance!$E$12*(1/A419)+Performance!$E$23*(1/Constraints!$V$4)*Constraints!A419</f>
        <v>0.37619408430867846</v>
      </c>
      <c r="C419" s="50">
        <f>$V$5*Performance!$E$12*(1/A419)+Performance!$E$23*(1/Constraints!$V$5)*Constraints!A419</f>
        <v>0.30244413579960872</v>
      </c>
      <c r="D419" s="52">
        <f t="shared" si="6"/>
        <v>0.35721699920195316</v>
      </c>
    </row>
    <row r="420" spans="1:4" x14ac:dyDescent="0.3">
      <c r="A420" s="51">
        <v>200</v>
      </c>
      <c r="B420" s="50">
        <f>$V$4*Performance!$E$12*(1/A420)+Performance!$E$23*(1/Constraints!$V$4)*Constraints!A420</f>
        <v>0.37712183430715435</v>
      </c>
      <c r="C420" s="50">
        <f>$V$5*Performance!$E$12*(1/A420)+Performance!$E$23*(1/Constraints!$V$5)*Constraints!A420</f>
        <v>0.3031832842155639</v>
      </c>
      <c r="D420" s="52">
        <f t="shared" si="6"/>
        <v>0.35748928491423876</v>
      </c>
    </row>
    <row r="421" spans="1:4" x14ac:dyDescent="0.3">
      <c r="A421" s="51">
        <v>200.5</v>
      </c>
      <c r="B421" s="50">
        <f>$V$4*Performance!$E$12*(1/A421)+Performance!$E$23*(1/Constraints!$V$4)*Constraints!A421</f>
        <v>0.37804962189522889</v>
      </c>
      <c r="C421" s="50">
        <f>$V$5*Performance!$E$12*(1/A421)+Performance!$E$23*(1/Constraints!$V$5)*Constraints!A421</f>
        <v>0.30392247959744495</v>
      </c>
      <c r="D421" s="52">
        <f t="shared" si="6"/>
        <v>0.35776157062652436</v>
      </c>
    </row>
    <row r="422" spans="1:4" x14ac:dyDescent="0.3">
      <c r="A422" s="51">
        <v>201</v>
      </c>
      <c r="B422" s="50">
        <f>$V$4*Performance!$E$12*(1/A422)+Performance!$E$23*(1/Constraints!$V$4)*Constraints!A422</f>
        <v>0.37897744679238277</v>
      </c>
      <c r="C422" s="50">
        <f>$V$5*Performance!$E$12*(1/A422)+Performance!$E$23*(1/Constraints!$V$5)*Constraints!A422</f>
        <v>0.30466172159475974</v>
      </c>
      <c r="D422" s="52">
        <f t="shared" si="6"/>
        <v>0.35803385633880996</v>
      </c>
    </row>
    <row r="423" spans="1:4" x14ac:dyDescent="0.3">
      <c r="A423" s="51">
        <v>201.5</v>
      </c>
      <c r="B423" s="50">
        <f>$V$4*Performance!$E$12*(1/A423)+Performance!$E$23*(1/Constraints!$V$4)*Constraints!A423</f>
        <v>0.37990530872088091</v>
      </c>
      <c r="C423" s="50">
        <f>$V$5*Performance!$E$12*(1/A423)+Performance!$E$23*(1/Constraints!$V$5)*Constraints!A423</f>
        <v>0.30540100986049523</v>
      </c>
      <c r="D423" s="52">
        <f t="shared" si="6"/>
        <v>0.35830614205109551</v>
      </c>
    </row>
    <row r="424" spans="1:4" x14ac:dyDescent="0.3">
      <c r="A424" s="51">
        <v>202</v>
      </c>
      <c r="B424" s="50">
        <f>$V$4*Performance!$E$12*(1/A424)+Performance!$E$23*(1/Constraints!$V$4)*Constraints!A424</f>
        <v>0.38083320740573795</v>
      </c>
      <c r="C424" s="50">
        <f>$V$5*Performance!$E$12*(1/A424)+Performance!$E$23*(1/Constraints!$V$5)*Constraints!A424</f>
        <v>0.3061403440510741</v>
      </c>
      <c r="D424" s="52">
        <f t="shared" si="6"/>
        <v>0.35857842776338111</v>
      </c>
    </row>
    <row r="425" spans="1:4" x14ac:dyDescent="0.3">
      <c r="A425" s="51">
        <v>202.5</v>
      </c>
      <c r="B425" s="50">
        <f>$V$4*Performance!$E$12*(1/A425)+Performance!$E$23*(1/Constraints!$V$4)*Constraints!A425</f>
        <v>0.38176114257468474</v>
      </c>
      <c r="C425" s="50">
        <f>$V$5*Performance!$E$12*(1/A425)+Performance!$E$23*(1/Constraints!$V$5)*Constraints!A425</f>
        <v>0.30687972382631212</v>
      </c>
      <c r="D425" s="52">
        <f t="shared" si="6"/>
        <v>0.35885071347566672</v>
      </c>
    </row>
    <row r="426" spans="1:4" x14ac:dyDescent="0.3">
      <c r="A426" s="51">
        <v>203</v>
      </c>
      <c r="B426" s="50">
        <f>$V$4*Performance!$E$12*(1/A426)+Performance!$E$23*(1/Constraints!$V$4)*Constraints!A426</f>
        <v>0.38268911395813432</v>
      </c>
      <c r="C426" s="50">
        <f>$V$5*Performance!$E$12*(1/A426)+Performance!$E$23*(1/Constraints!$V$5)*Constraints!A426</f>
        <v>0.30761914884937708</v>
      </c>
      <c r="D426" s="52">
        <f t="shared" si="6"/>
        <v>0.35912299918795232</v>
      </c>
    </row>
    <row r="427" spans="1:4" x14ac:dyDescent="0.3">
      <c r="A427" s="51">
        <v>203.5</v>
      </c>
      <c r="B427" s="50">
        <f>$V$4*Performance!$E$12*(1/A427)+Performance!$E$23*(1/Constraints!$V$4)*Constraints!A427</f>
        <v>0.38361712128914932</v>
      </c>
      <c r="C427" s="50">
        <f>$V$5*Performance!$E$12*(1/A427)+Performance!$E$23*(1/Constraints!$V$5)*Constraints!A427</f>
        <v>0.30835861878674675</v>
      </c>
      <c r="D427" s="52">
        <f t="shared" si="6"/>
        <v>0.35939528490023792</v>
      </c>
    </row>
    <row r="428" spans="1:4" x14ac:dyDescent="0.3">
      <c r="A428" s="51">
        <v>204</v>
      </c>
      <c r="B428" s="50">
        <f>$V$4*Performance!$E$12*(1/A428)+Performance!$E$23*(1/Constraints!$V$4)*Constraints!A428</f>
        <v>0.3845451643034094</v>
      </c>
      <c r="C428" s="50">
        <f>$V$5*Performance!$E$12*(1/A428)+Performance!$E$23*(1/Constraints!$V$5)*Constraints!A428</f>
        <v>0.30909813330816888</v>
      </c>
      <c r="D428" s="52">
        <f t="shared" si="6"/>
        <v>0.35966757061252352</v>
      </c>
    </row>
    <row r="429" spans="1:4" x14ac:dyDescent="0.3">
      <c r="A429" s="51">
        <v>204.5</v>
      </c>
      <c r="B429" s="50">
        <f>$V$4*Performance!$E$12*(1/A429)+Performance!$E$23*(1/Constraints!$V$4)*Constraints!A429</f>
        <v>0.38547324273917932</v>
      </c>
      <c r="C429" s="50">
        <f>$V$5*Performance!$E$12*(1/A429)+Performance!$E$23*(1/Constraints!$V$5)*Constraints!A429</f>
        <v>0.30983769208662121</v>
      </c>
      <c r="D429" s="52">
        <f t="shared" si="6"/>
        <v>0.35993985632480913</v>
      </c>
    </row>
    <row r="430" spans="1:4" x14ac:dyDescent="0.3">
      <c r="A430" s="51">
        <v>205</v>
      </c>
      <c r="B430" s="50">
        <f>$V$4*Performance!$E$12*(1/A430)+Performance!$E$23*(1/Constraints!$V$4)*Constraints!A430</f>
        <v>0.38640135633727724</v>
      </c>
      <c r="C430" s="50">
        <f>$V$5*Performance!$E$12*(1/A430)+Performance!$E$23*(1/Constraints!$V$5)*Constraints!A430</f>
        <v>0.31057729479827167</v>
      </c>
      <c r="D430" s="52">
        <f t="shared" si="6"/>
        <v>0.36021214203709473</v>
      </c>
    </row>
    <row r="431" spans="1:4" x14ac:dyDescent="0.3">
      <c r="A431" s="51">
        <v>205.5</v>
      </c>
      <c r="B431" s="50">
        <f>$V$4*Performance!$E$12*(1/A431)+Performance!$E$23*(1/Constraints!$V$4)*Constraints!A431</f>
        <v>0.38732950484104384</v>
      </c>
      <c r="C431" s="50">
        <f>$V$5*Performance!$E$12*(1/A431)+Performance!$E$23*(1/Constraints!$V$5)*Constraints!A431</f>
        <v>0.31131694112244007</v>
      </c>
      <c r="D431" s="52">
        <f t="shared" si="6"/>
        <v>0.36048442774938033</v>
      </c>
    </row>
    <row r="432" spans="1:4" x14ac:dyDescent="0.3">
      <c r="A432" s="51">
        <v>206</v>
      </c>
      <c r="B432" s="50">
        <f>$V$4*Performance!$E$12*(1/A432)+Performance!$E$23*(1/Constraints!$V$4)*Constraints!A432</f>
        <v>0.38825768799631172</v>
      </c>
      <c r="C432" s="50">
        <f>$V$5*Performance!$E$12*(1/A432)+Performance!$E$23*(1/Constraints!$V$5)*Constraints!A432</f>
        <v>0.31205663074155954</v>
      </c>
      <c r="D432" s="52">
        <f t="shared" si="6"/>
        <v>0.36075671346166588</v>
      </c>
    </row>
    <row r="433" spans="1:4" x14ac:dyDescent="0.3">
      <c r="A433" s="51">
        <v>206.5</v>
      </c>
      <c r="B433" s="50">
        <f>$V$4*Performance!$E$12*(1/A433)+Performance!$E$23*(1/Constraints!$V$4)*Constraints!A433</f>
        <v>0.38918590555137494</v>
      </c>
      <c r="C433" s="50">
        <f>$V$5*Performance!$E$12*(1/A433)+Performance!$E$23*(1/Constraints!$V$5)*Constraints!A433</f>
        <v>0.31279636334113881</v>
      </c>
      <c r="D433" s="52">
        <f t="shared" si="6"/>
        <v>0.36102899917395148</v>
      </c>
    </row>
    <row r="434" spans="1:4" x14ac:dyDescent="0.3">
      <c r="A434" s="51">
        <v>207</v>
      </c>
      <c r="B434" s="50">
        <f>$V$4*Performance!$E$12*(1/A434)+Performance!$E$23*(1/Constraints!$V$4)*Constraints!A434</f>
        <v>0.39011415725695964</v>
      </c>
      <c r="C434" s="50">
        <f>$V$5*Performance!$E$12*(1/A434)+Performance!$E$23*(1/Constraints!$V$5)*Constraints!A434</f>
        <v>0.3135361386097254</v>
      </c>
      <c r="D434" s="52">
        <f t="shared" si="6"/>
        <v>0.36130128488623708</v>
      </c>
    </row>
    <row r="435" spans="1:4" x14ac:dyDescent="0.3">
      <c r="A435" s="51">
        <v>207.5</v>
      </c>
      <c r="B435" s="50">
        <f>$V$4*Performance!$E$12*(1/A435)+Performance!$E$23*(1/Constraints!$V$4)*Constraints!A435</f>
        <v>0.39104244286619461</v>
      </c>
      <c r="C435" s="50">
        <f>$V$5*Performance!$E$12*(1/A435)+Performance!$E$23*(1/Constraints!$V$5)*Constraints!A435</f>
        <v>0.31427595623886861</v>
      </c>
      <c r="D435" s="52">
        <f t="shared" si="6"/>
        <v>0.36157357059852269</v>
      </c>
    </row>
    <row r="436" spans="1:4" x14ac:dyDescent="0.3">
      <c r="A436" s="51">
        <v>208</v>
      </c>
      <c r="B436" s="50">
        <f>$V$4*Performance!$E$12*(1/A436)+Performance!$E$23*(1/Constraints!$V$4)*Constraints!A436</f>
        <v>0.39197076213458243</v>
      </c>
      <c r="C436" s="50">
        <f>$V$5*Performance!$E$12*(1/A436)+Performance!$E$23*(1/Constraints!$V$5)*Constraints!A436</f>
        <v>0.31501581592308359</v>
      </c>
      <c r="D436" s="52">
        <f t="shared" si="6"/>
        <v>0.36184585631080829</v>
      </c>
    </row>
    <row r="437" spans="1:4" x14ac:dyDescent="0.3">
      <c r="A437" s="51">
        <v>208.5</v>
      </c>
      <c r="B437" s="50">
        <f>$V$4*Performance!$E$12*(1/A437)+Performance!$E$23*(1/Constraints!$V$4)*Constraints!A437</f>
        <v>0.39289911481997075</v>
      </c>
      <c r="C437" s="50">
        <f>$V$5*Performance!$E$12*(1/A437)+Performance!$E$23*(1/Constraints!$V$5)*Constraints!A437</f>
        <v>0.31575571735981595</v>
      </c>
      <c r="D437" s="52">
        <f t="shared" si="6"/>
        <v>0.36211814202309389</v>
      </c>
    </row>
    <row r="438" spans="1:4" x14ac:dyDescent="0.3">
      <c r="A438" s="51">
        <v>209</v>
      </c>
      <c r="B438" s="50">
        <f>$V$4*Performance!$E$12*(1/A438)+Performance!$E$23*(1/Constraints!$V$4)*Constraints!A438</f>
        <v>0.39382750068252487</v>
      </c>
      <c r="C438" s="50">
        <f>$V$5*Performance!$E$12*(1/A438)+Performance!$E$23*(1/Constraints!$V$5)*Constraints!A438</f>
        <v>0.31649566024940645</v>
      </c>
      <c r="D438" s="52">
        <f t="shared" si="6"/>
        <v>0.36239042773537949</v>
      </c>
    </row>
    <row r="439" spans="1:4" x14ac:dyDescent="0.3">
      <c r="A439" s="51">
        <v>209.5</v>
      </c>
      <c r="B439" s="50">
        <f>$V$4*Performance!$E$12*(1/A439)+Performance!$E$23*(1/Constraints!$V$4)*Constraints!A439</f>
        <v>0.39475591948469929</v>
      </c>
      <c r="C439" s="50">
        <f>$V$5*Performance!$E$12*(1/A439)+Performance!$E$23*(1/Constraints!$V$5)*Constraints!A439</f>
        <v>0.31723564429505652</v>
      </c>
      <c r="D439" s="52">
        <f t="shared" si="6"/>
        <v>0.3626627134476651</v>
      </c>
    </row>
    <row r="440" spans="1:4" x14ac:dyDescent="0.3">
      <c r="A440" s="51">
        <v>210</v>
      </c>
      <c r="B440" s="50">
        <f>$V$4*Performance!$E$12*(1/A440)+Performance!$E$23*(1/Constraints!$V$4)*Constraints!A440</f>
        <v>0.39568437099121095</v>
      </c>
      <c r="C440" s="50">
        <f>$V$5*Performance!$E$12*(1/A440)+Performance!$E$23*(1/Constraints!$V$5)*Constraints!A440</f>
        <v>0.31797566920279441</v>
      </c>
      <c r="D440" s="52">
        <f t="shared" si="6"/>
        <v>0.36293499915995064</v>
      </c>
    </row>
    <row r="441" spans="1:4" x14ac:dyDescent="0.3">
      <c r="A441" s="51">
        <v>210.5</v>
      </c>
      <c r="B441" s="50">
        <f>$V$4*Performance!$E$12*(1/A441)+Performance!$E$23*(1/Constraints!$V$4)*Constraints!A441</f>
        <v>0.39661285496901255</v>
      </c>
      <c r="C441" s="50">
        <f>$V$5*Performance!$E$12*(1/A441)+Performance!$E$23*(1/Constraints!$V$5)*Constraints!A441</f>
        <v>0.31871573468144132</v>
      </c>
      <c r="D441" s="52">
        <f t="shared" si="6"/>
        <v>0.3632072848722363</v>
      </c>
    </row>
    <row r="442" spans="1:4" x14ac:dyDescent="0.3">
      <c r="A442" s="51">
        <v>211</v>
      </c>
      <c r="B442" s="50">
        <f>$V$4*Performance!$E$12*(1/A442)+Performance!$E$23*(1/Constraints!$V$4)*Constraints!A442</f>
        <v>0.39754137118726535</v>
      </c>
      <c r="C442" s="50">
        <f>$V$5*Performance!$E$12*(1/A442)+Performance!$E$23*(1/Constraints!$V$5)*Constraints!A442</f>
        <v>0.31945584044257835</v>
      </c>
      <c r="D442" s="52">
        <f t="shared" si="6"/>
        <v>0.36347957058452185</v>
      </c>
    </row>
    <row r="443" spans="1:4" x14ac:dyDescent="0.3">
      <c r="A443" s="51">
        <v>211.5</v>
      </c>
      <c r="B443" s="50">
        <f>$V$4*Performance!$E$12*(1/A443)+Performance!$E$23*(1/Constraints!$V$4)*Constraints!A443</f>
        <v>0.39846991941731363</v>
      </c>
      <c r="C443" s="50">
        <f>$V$5*Performance!$E$12*(1/A443)+Performance!$E$23*(1/Constraints!$V$5)*Constraints!A443</f>
        <v>0.32019598620051426</v>
      </c>
      <c r="D443" s="52">
        <f t="shared" si="6"/>
        <v>0.36375185629680751</v>
      </c>
    </row>
    <row r="444" spans="1:4" x14ac:dyDescent="0.3">
      <c r="A444" s="51">
        <v>212</v>
      </c>
      <c r="B444" s="50">
        <f>$V$4*Performance!$E$12*(1/A444)+Performance!$E$23*(1/Constraints!$V$4)*Constraints!A444</f>
        <v>0.39939849943265904</v>
      </c>
      <c r="C444" s="50">
        <f>$V$5*Performance!$E$12*(1/A444)+Performance!$E$23*(1/Constraints!$V$5)*Constraints!A444</f>
        <v>0.32093617167225269</v>
      </c>
      <c r="D444" s="52">
        <f t="shared" si="6"/>
        <v>0.36402414200909305</v>
      </c>
    </row>
    <row r="445" spans="1:4" x14ac:dyDescent="0.3">
      <c r="A445" s="51">
        <v>212.5</v>
      </c>
      <c r="B445" s="50">
        <f>$V$4*Performance!$E$12*(1/A445)+Performance!$E$23*(1/Constraints!$V$4)*Constraints!A445</f>
        <v>0.40032711100893464</v>
      </c>
      <c r="C445" s="50">
        <f>$V$5*Performance!$E$12*(1/A445)+Performance!$E$23*(1/Constraints!$V$5)*Constraints!A445</f>
        <v>0.32167639657746105</v>
      </c>
      <c r="D445" s="52">
        <f t="shared" si="6"/>
        <v>0.36429642772137866</v>
      </c>
    </row>
    <row r="446" spans="1:4" x14ac:dyDescent="0.3">
      <c r="A446" s="51">
        <v>213</v>
      </c>
      <c r="B446" s="50">
        <f>$V$4*Performance!$E$12*(1/A446)+Performance!$E$23*(1/Constraints!$V$4)*Constraints!A446</f>
        <v>0.40125575392388035</v>
      </c>
      <c r="C446" s="50">
        <f>$V$5*Performance!$E$12*(1/A446)+Performance!$E$23*(1/Constraints!$V$5)*Constraints!A446</f>
        <v>0.32241666063843877</v>
      </c>
      <c r="D446" s="52">
        <f t="shared" si="6"/>
        <v>0.36456871343366426</v>
      </c>
    </row>
    <row r="447" spans="1:4" x14ac:dyDescent="0.3">
      <c r="A447" s="51">
        <v>213.5</v>
      </c>
      <c r="B447" s="50">
        <f>$V$4*Performance!$E$12*(1/A447)+Performance!$E$23*(1/Constraints!$V$4)*Constraints!A447</f>
        <v>0.40218442795731818</v>
      </c>
      <c r="C447" s="50">
        <f>$V$5*Performance!$E$12*(1/A447)+Performance!$E$23*(1/Constraints!$V$5)*Constraints!A447</f>
        <v>0.32315696358008666</v>
      </c>
      <c r="D447" s="52">
        <f t="shared" si="6"/>
        <v>0.36484099914594986</v>
      </c>
    </row>
    <row r="448" spans="1:4" x14ac:dyDescent="0.3">
      <c r="A448" s="51">
        <v>214</v>
      </c>
      <c r="B448" s="50">
        <f>$V$4*Performance!$E$12*(1/A448)+Performance!$E$23*(1/Constraints!$V$4)*Constraints!A448</f>
        <v>0.40311313289112788</v>
      </c>
      <c r="C448" s="50">
        <f>$V$5*Performance!$E$12*(1/A448)+Performance!$E$23*(1/Constraints!$V$5)*Constraints!A448</f>
        <v>0.32389730512987686</v>
      </c>
      <c r="D448" s="52">
        <f t="shared" si="6"/>
        <v>0.36511328485823547</v>
      </c>
    </row>
    <row r="449" spans="1:4" x14ac:dyDescent="0.3">
      <c r="A449" s="51">
        <v>214.5</v>
      </c>
      <c r="B449" s="50">
        <f>$V$4*Performance!$E$12*(1/A449)+Performance!$E$23*(1/Constraints!$V$4)*Constraints!A449</f>
        <v>0.40404186850922297</v>
      </c>
      <c r="C449" s="50">
        <f>$V$5*Performance!$E$12*(1/A449)+Performance!$E$23*(1/Constraints!$V$5)*Constraints!A449</f>
        <v>0.32463768501782225</v>
      </c>
      <c r="D449" s="52">
        <f t="shared" si="6"/>
        <v>0.36538557057052101</v>
      </c>
    </row>
    <row r="450" spans="1:4" x14ac:dyDescent="0.3">
      <c r="A450" s="51">
        <v>215</v>
      </c>
      <c r="B450" s="50">
        <f>$V$4*Performance!$E$12*(1/A450)+Performance!$E$23*(1/Constraints!$V$4)*Constraints!A450</f>
        <v>0.40497063459752691</v>
      </c>
      <c r="C450" s="50">
        <f>$V$5*Performance!$E$12*(1/A450)+Performance!$E$23*(1/Constraints!$V$5)*Constraints!A450</f>
        <v>0.32537810297644731</v>
      </c>
      <c r="D450" s="52">
        <f t="shared" si="6"/>
        <v>0.36565785628280667</v>
      </c>
    </row>
    <row r="451" spans="1:4" x14ac:dyDescent="0.3">
      <c r="A451" s="51">
        <v>215.5</v>
      </c>
      <c r="B451" s="50">
        <f>$V$4*Performance!$E$12*(1/A451)+Performance!$E$23*(1/Constraints!$V$4)*Constraints!A451</f>
        <v>0.4058994309439502</v>
      </c>
      <c r="C451" s="50">
        <f>$V$5*Performance!$E$12*(1/A451)+Performance!$E$23*(1/Constraints!$V$5)*Constraints!A451</f>
        <v>0.32611855874075901</v>
      </c>
      <c r="D451" s="52">
        <f t="shared" si="6"/>
        <v>0.36593014199509222</v>
      </c>
    </row>
    <row r="452" spans="1:4" x14ac:dyDescent="0.3">
      <c r="A452" s="51">
        <v>216</v>
      </c>
      <c r="B452" s="50">
        <f>$V$4*Performance!$E$12*(1/A452)+Performance!$E$23*(1/Constraints!$V$4)*Constraints!A452</f>
        <v>0.40682825733836697</v>
      </c>
      <c r="C452" s="50">
        <f>$V$5*Performance!$E$12*(1/A452)+Performance!$E$23*(1/Constraints!$V$5)*Constraints!A452</f>
        <v>0.32685905204821775</v>
      </c>
      <c r="D452" s="52">
        <f t="shared" si="6"/>
        <v>0.36620242770737788</v>
      </c>
    </row>
    <row r="453" spans="1:4" x14ac:dyDescent="0.3">
      <c r="A453" s="51">
        <v>216.5</v>
      </c>
      <c r="B453" s="50">
        <f>$V$4*Performance!$E$12*(1/A453)+Performance!$E$23*(1/Constraints!$V$4)*Constraints!A453</f>
        <v>0.40775711357259248</v>
      </c>
      <c r="C453" s="50">
        <f>$V$5*Performance!$E$12*(1/A453)+Performance!$E$23*(1/Constraints!$V$5)*Constraints!A453</f>
        <v>0.32759958263870936</v>
      </c>
      <c r="D453" s="52">
        <f t="shared" si="6"/>
        <v>0.36647471341966342</v>
      </c>
    </row>
    <row r="454" spans="1:4" x14ac:dyDescent="0.3">
      <c r="A454" s="51">
        <v>217</v>
      </c>
      <c r="B454" s="50">
        <f>$V$4*Performance!$E$12*(1/A454)+Performance!$E$23*(1/Constraints!$V$4)*Constraints!A454</f>
        <v>0.40868599944036083</v>
      </c>
      <c r="C454" s="50">
        <f>$V$5*Performance!$E$12*(1/A454)+Performance!$E$23*(1/Constraints!$V$5)*Constraints!A454</f>
        <v>0.32834015025451713</v>
      </c>
      <c r="D454" s="52">
        <f t="shared" si="6"/>
        <v>0.36674699913194903</v>
      </c>
    </row>
    <row r="455" spans="1:4" x14ac:dyDescent="0.3">
      <c r="A455" s="51">
        <v>217.5</v>
      </c>
      <c r="B455" s="50">
        <f>$V$4*Performance!$E$12*(1/A455)+Performance!$E$23*(1/Constraints!$V$4)*Constraints!A455</f>
        <v>0.40961491473730272</v>
      </c>
      <c r="C455" s="50">
        <f>$V$5*Performance!$E$12*(1/A455)+Performance!$E$23*(1/Constraints!$V$5)*Constraints!A455</f>
        <v>0.32908075464029396</v>
      </c>
      <c r="D455" s="52">
        <f t="shared" si="6"/>
        <v>0.36701928484423463</v>
      </c>
    </row>
    <row r="456" spans="1:4" x14ac:dyDescent="0.3">
      <c r="A456" s="51">
        <v>218</v>
      </c>
      <c r="B456" s="50">
        <f>$V$4*Performance!$E$12*(1/A456)+Performance!$E$23*(1/Constraints!$V$4)*Constraints!A456</f>
        <v>0.41054385926092379</v>
      </c>
      <c r="C456" s="50">
        <f>$V$5*Performance!$E$12*(1/A456)+Performance!$E$23*(1/Constraints!$V$5)*Constraints!A456</f>
        <v>0.32982139554303547</v>
      </c>
      <c r="D456" s="52">
        <f t="shared" si="6"/>
        <v>0.36729157055652023</v>
      </c>
    </row>
    <row r="457" spans="1:4" x14ac:dyDescent="0.3">
      <c r="A457" s="51">
        <v>218.5</v>
      </c>
      <c r="B457" s="50">
        <f>$V$4*Performance!$E$12*(1/A457)+Performance!$E$23*(1/Constraints!$V$4)*Constraints!A457</f>
        <v>0.41147283281058339</v>
      </c>
      <c r="C457" s="50">
        <f>$V$5*Performance!$E$12*(1/A457)+Performance!$E$23*(1/Constraints!$V$5)*Constraints!A457</f>
        <v>0.33056207271205318</v>
      </c>
      <c r="D457" s="52">
        <f t="shared" si="6"/>
        <v>0.36756385626880583</v>
      </c>
    </row>
    <row r="458" spans="1:4" x14ac:dyDescent="0.3">
      <c r="A458" s="51">
        <v>219</v>
      </c>
      <c r="B458" s="50">
        <f>$V$4*Performance!$E$12*(1/A458)+Performance!$E$23*(1/Constraints!$V$4)*Constraints!A458</f>
        <v>0.41240183518747286</v>
      </c>
      <c r="C458" s="50">
        <f>$V$5*Performance!$E$12*(1/A458)+Performance!$E$23*(1/Constraints!$V$5)*Constraints!A458</f>
        <v>0.33130278589894779</v>
      </c>
      <c r="D458" s="52">
        <f t="shared" si="6"/>
        <v>0.36783614198109144</v>
      </c>
    </row>
    <row r="459" spans="1:4" x14ac:dyDescent="0.3">
      <c r="A459" s="51">
        <v>219.5</v>
      </c>
      <c r="B459" s="50">
        <f>$V$4*Performance!$E$12*(1/A459)+Performance!$E$23*(1/Constraints!$V$4)*Constraints!A459</f>
        <v>0.41333086619459525</v>
      </c>
      <c r="C459" s="50">
        <f>$V$5*Performance!$E$12*(1/A459)+Performance!$E$23*(1/Constraints!$V$5)*Constraints!A459</f>
        <v>0.3320435348575837</v>
      </c>
      <c r="D459" s="52">
        <f t="shared" si="6"/>
        <v>0.36810842769337704</v>
      </c>
    </row>
    <row r="460" spans="1:4" x14ac:dyDescent="0.3">
      <c r="A460" s="51">
        <v>220</v>
      </c>
      <c r="B460" s="50">
        <f>$V$4*Performance!$E$12*(1/A460)+Performance!$E$23*(1/Constraints!$V$4)*Constraints!A460</f>
        <v>0.41425992563674441</v>
      </c>
      <c r="C460" s="50">
        <f>$V$5*Performance!$E$12*(1/A460)+Performance!$E$23*(1/Constraints!$V$5)*Constraints!A460</f>
        <v>0.3327843193440625</v>
      </c>
      <c r="D460" s="52">
        <f t="shared" si="6"/>
        <v>0.36838071340566259</v>
      </c>
    </row>
    <row r="461" spans="1:4" x14ac:dyDescent="0.3">
      <c r="A461" s="51">
        <v>220.5</v>
      </c>
      <c r="B461" s="50">
        <f>$V$4*Performance!$E$12*(1/A461)+Performance!$E$23*(1/Constraints!$V$4)*Constraints!A461</f>
        <v>0.4151890133204848</v>
      </c>
      <c r="C461" s="50">
        <f>$V$5*Performance!$E$12*(1/A461)+Performance!$E$23*(1/Constraints!$V$5)*Constraints!A461</f>
        <v>0.33352513911669818</v>
      </c>
      <c r="D461" s="52">
        <f t="shared" si="6"/>
        <v>0.36865299911794824</v>
      </c>
    </row>
    <row r="462" spans="1:4" x14ac:dyDescent="0.3">
      <c r="A462" s="51">
        <v>221</v>
      </c>
      <c r="B462" s="50">
        <f>$V$4*Performance!$E$12*(1/A462)+Performance!$E$23*(1/Constraints!$V$4)*Constraints!A462</f>
        <v>0.41611812905413148</v>
      </c>
      <c r="C462" s="50">
        <f>$V$5*Performance!$E$12*(1/A462)+Performance!$E$23*(1/Constraints!$V$5)*Constraints!A462</f>
        <v>0.33426599393599205</v>
      </c>
      <c r="D462" s="52">
        <f t="shared" si="6"/>
        <v>0.36892528483023379</v>
      </c>
    </row>
    <row r="463" spans="1:4" x14ac:dyDescent="0.3">
      <c r="A463" s="51">
        <v>221.5</v>
      </c>
      <c r="B463" s="50">
        <f>$V$4*Performance!$E$12*(1/A463)+Performance!$E$23*(1/Constraints!$V$4)*Constraints!A463</f>
        <v>0.41704727264773006</v>
      </c>
      <c r="C463" s="50">
        <f>$V$5*Performance!$E$12*(1/A463)+Performance!$E$23*(1/Constraints!$V$5)*Constraints!A463</f>
        <v>0.33500688356460778</v>
      </c>
      <c r="D463" s="52">
        <f t="shared" si="6"/>
        <v>0.36919757054251945</v>
      </c>
    </row>
    <row r="464" spans="1:4" x14ac:dyDescent="0.3">
      <c r="A464" s="51">
        <v>222</v>
      </c>
      <c r="B464" s="50">
        <f>$V$4*Performance!$E$12*(1/A464)+Performance!$E$23*(1/Constraints!$V$4)*Constraints!A464</f>
        <v>0.41797644391303779</v>
      </c>
      <c r="C464" s="50">
        <f>$V$5*Performance!$E$12*(1/A464)+Performance!$E$23*(1/Constraints!$V$5)*Constraints!A464</f>
        <v>0.3357478077673472</v>
      </c>
      <c r="D464" s="52">
        <f t="shared" si="6"/>
        <v>0.369469856254805</v>
      </c>
    </row>
    <row r="465" spans="1:4" x14ac:dyDescent="0.3">
      <c r="A465" s="51">
        <v>222.5</v>
      </c>
      <c r="B465" s="50">
        <f>$V$4*Performance!$E$12*(1/A465)+Performance!$E$23*(1/Constraints!$V$4)*Constraints!A465</f>
        <v>0.41890564266350372</v>
      </c>
      <c r="C465" s="50">
        <f>$V$5*Performance!$E$12*(1/A465)+Performance!$E$23*(1/Constraints!$V$5)*Constraints!A465</f>
        <v>0.33648876631112634</v>
      </c>
      <c r="D465" s="52">
        <f t="shared" si="6"/>
        <v>0.3697421419670906</v>
      </c>
    </row>
    <row r="466" spans="1:4" x14ac:dyDescent="0.3">
      <c r="A466" s="51">
        <v>223</v>
      </c>
      <c r="B466" s="50">
        <f>$V$4*Performance!$E$12*(1/A466)+Performance!$E$23*(1/Constraints!$V$4)*Constraints!A466</f>
        <v>0.41983486871425013</v>
      </c>
      <c r="C466" s="50">
        <f>$V$5*Performance!$E$12*(1/A466)+Performance!$E$23*(1/Constraints!$V$5)*Constraints!A466</f>
        <v>0.33722975896495172</v>
      </c>
      <c r="D466" s="52">
        <f t="shared" si="6"/>
        <v>0.3700144276793762</v>
      </c>
    </row>
    <row r="467" spans="1:4" x14ac:dyDescent="0.3">
      <c r="A467" s="51">
        <v>223.5</v>
      </c>
      <c r="B467" s="50">
        <f>$V$4*Performance!$E$12*(1/A467)+Performance!$E$23*(1/Constraints!$V$4)*Constraints!A467</f>
        <v>0.4207641218820537</v>
      </c>
      <c r="C467" s="50">
        <f>$V$5*Performance!$E$12*(1/A467)+Performance!$E$23*(1/Constraints!$V$5)*Constraints!A467</f>
        <v>0.33797078549989679</v>
      </c>
      <c r="D467" s="52">
        <f t="shared" si="6"/>
        <v>0.3702867133916618</v>
      </c>
    </row>
    <row r="468" spans="1:4" x14ac:dyDescent="0.3">
      <c r="A468" s="51">
        <v>224</v>
      </c>
      <c r="B468" s="50">
        <f>$V$4*Performance!$E$12*(1/A468)+Performance!$E$23*(1/Constraints!$V$4)*Constraints!A468</f>
        <v>0.42169340198532701</v>
      </c>
      <c r="C468" s="50">
        <f>$V$5*Performance!$E$12*(1/A468)+Performance!$E$23*(1/Constraints!$V$5)*Constraints!A468</f>
        <v>0.33871184568907914</v>
      </c>
      <c r="D468" s="52">
        <f t="shared" si="6"/>
        <v>0.37055899910394741</v>
      </c>
    </row>
    <row r="469" spans="1:4" x14ac:dyDescent="0.3">
      <c r="A469" s="51">
        <v>224.5</v>
      </c>
      <c r="B469" s="50">
        <f>$V$4*Performance!$E$12*(1/A469)+Performance!$E$23*(1/Constraints!$V$4)*Constraints!A469</f>
        <v>0.42262270884410019</v>
      </c>
      <c r="C469" s="50">
        <f>$V$5*Performance!$E$12*(1/A469)+Performance!$E$23*(1/Constraints!$V$5)*Constraints!A469</f>
        <v>0.33945293930763737</v>
      </c>
      <c r="D469" s="52">
        <f t="shared" si="6"/>
        <v>0.37083128481623295</v>
      </c>
    </row>
    <row r="470" spans="1:4" x14ac:dyDescent="0.3">
      <c r="A470" s="51">
        <v>225</v>
      </c>
      <c r="B470" s="50">
        <f>$V$4*Performance!$E$12*(1/A470)+Performance!$E$23*(1/Constraints!$V$4)*Constraints!A470</f>
        <v>0.42355204228000337</v>
      </c>
      <c r="C470" s="50">
        <f>$V$5*Performance!$E$12*(1/A470)+Performance!$E$23*(1/Constraints!$V$5)*Constraints!A470</f>
        <v>0.34019406613270903</v>
      </c>
      <c r="D470" s="52">
        <f t="shared" si="6"/>
        <v>0.37110357052851861</v>
      </c>
    </row>
    <row r="471" spans="1:4" x14ac:dyDescent="0.3">
      <c r="A471" s="51">
        <v>225.5</v>
      </c>
      <c r="B471" s="50">
        <f>$V$4*Performance!$E$12*(1/A471)+Performance!$E$23*(1/Constraints!$V$4)*Constraints!A471</f>
        <v>0.42448140211624852</v>
      </c>
      <c r="C471" s="50">
        <f>$V$5*Performance!$E$12*(1/A471)+Performance!$E$23*(1/Constraints!$V$5)*Constraints!A471</f>
        <v>0.3409352259434083</v>
      </c>
      <c r="D471" s="52">
        <f t="shared" ref="D471:D534" si="7">1.21/(9.8*$N$7*$N$8*$N$5)*A471+0.605/$N$8*($N$11-$N$6*$N$10)+$N$6</f>
        <v>0.37137585624080416</v>
      </c>
    </row>
    <row r="472" spans="1:4" x14ac:dyDescent="0.3">
      <c r="A472" s="51">
        <v>226</v>
      </c>
      <c r="B472" s="50">
        <f>$V$4*Performance!$E$12*(1/A472)+Performance!$E$23*(1/Constraints!$V$4)*Constraints!A472</f>
        <v>0.42541078817761213</v>
      </c>
      <c r="C472" s="50">
        <f>$V$5*Performance!$E$12*(1/A472)+Performance!$E$23*(1/Constraints!$V$5)*Constraints!A472</f>
        <v>0.34167641852080388</v>
      </c>
      <c r="D472" s="52">
        <f t="shared" si="7"/>
        <v>0.37164814195308982</v>
      </c>
    </row>
    <row r="473" spans="1:4" x14ac:dyDescent="0.3">
      <c r="A473" s="51">
        <v>226.5</v>
      </c>
      <c r="B473" s="50">
        <f>$V$4*Performance!$E$12*(1/A473)+Performance!$E$23*(1/Constraints!$V$4)*Constraints!A473</f>
        <v>0.42634020029041786</v>
      </c>
      <c r="C473" s="50">
        <f>$V$5*Performance!$E$12*(1/A473)+Performance!$E$23*(1/Constraints!$V$5)*Constraints!A473</f>
        <v>0.3424176436478979</v>
      </c>
      <c r="D473" s="52">
        <f t="shared" si="7"/>
        <v>0.37192042766537536</v>
      </c>
    </row>
    <row r="474" spans="1:4" x14ac:dyDescent="0.3">
      <c r="A474" s="51">
        <v>227</v>
      </c>
      <c r="B474" s="50">
        <f>$V$4*Performance!$E$12*(1/A474)+Performance!$E$23*(1/Constraints!$V$4)*Constraints!A474</f>
        <v>0.42726963828251974</v>
      </c>
      <c r="C474" s="50">
        <f>$V$5*Performance!$E$12*(1/A474)+Performance!$E$23*(1/Constraints!$V$5)*Constraints!A474</f>
        <v>0.34315890110960423</v>
      </c>
      <c r="D474" s="52">
        <f t="shared" si="7"/>
        <v>0.37219271337766097</v>
      </c>
    </row>
    <row r="475" spans="1:4" x14ac:dyDescent="0.3">
      <c r="A475" s="51">
        <v>227.5</v>
      </c>
      <c r="B475" s="50">
        <f>$V$4*Performance!$E$12*(1/A475)+Performance!$E$23*(1/Constraints!$V$4)*Constraints!A475</f>
        <v>0.42819910198328492</v>
      </c>
      <c r="C475" s="50">
        <f>$V$5*Performance!$E$12*(1/A475)+Performance!$E$23*(1/Constraints!$V$5)*Constraints!A475</f>
        <v>0.34390019069272754</v>
      </c>
      <c r="D475" s="52">
        <f t="shared" si="7"/>
        <v>0.37246499908994657</v>
      </c>
    </row>
    <row r="476" spans="1:4" x14ac:dyDescent="0.3">
      <c r="A476" s="51">
        <v>228</v>
      </c>
      <c r="B476" s="50">
        <f>$V$4*Performance!$E$12*(1/A476)+Performance!$E$23*(1/Constraints!$V$4)*Constraints!A476</f>
        <v>0.42912859122357749</v>
      </c>
      <c r="C476" s="50">
        <f>$V$5*Performance!$E$12*(1/A476)+Performance!$E$23*(1/Constraints!$V$5)*Constraints!A476</f>
        <v>0.3446415121859428</v>
      </c>
      <c r="D476" s="52">
        <f t="shared" si="7"/>
        <v>0.37273728480223217</v>
      </c>
    </row>
    <row r="477" spans="1:4" x14ac:dyDescent="0.3">
      <c r="A477" s="51">
        <v>228.5</v>
      </c>
      <c r="B477" s="50">
        <f>$V$4*Performance!$E$12*(1/A477)+Performance!$E$23*(1/Constraints!$V$4)*Constraints!A477</f>
        <v>0.430058105835742</v>
      </c>
      <c r="C477" s="50">
        <f>$V$5*Performance!$E$12*(1/A477)+Performance!$E$23*(1/Constraints!$V$5)*Constraints!A477</f>
        <v>0.34538286537977453</v>
      </c>
      <c r="D477" s="52">
        <f t="shared" si="7"/>
        <v>0.37300957051451777</v>
      </c>
    </row>
    <row r="478" spans="1:4" x14ac:dyDescent="0.3">
      <c r="A478" s="51">
        <v>229</v>
      </c>
      <c r="B478" s="50">
        <f>$V$4*Performance!$E$12*(1/A478)+Performance!$E$23*(1/Constraints!$V$4)*Constraints!A478</f>
        <v>0.4309876456535871</v>
      </c>
      <c r="C478" s="50">
        <f>$V$5*Performance!$E$12*(1/A478)+Performance!$E$23*(1/Constraints!$V$5)*Constraints!A478</f>
        <v>0.34612425006657677</v>
      </c>
      <c r="D478" s="52">
        <f t="shared" si="7"/>
        <v>0.37328185622680332</v>
      </c>
    </row>
    <row r="479" spans="1:4" x14ac:dyDescent="0.3">
      <c r="A479" s="51">
        <v>229.5</v>
      </c>
      <c r="B479" s="50">
        <f>$V$4*Performance!$E$12*(1/A479)+Performance!$E$23*(1/Constraints!$V$4)*Constraints!A479</f>
        <v>0.43191721051236964</v>
      </c>
      <c r="C479" s="50">
        <f>$V$5*Performance!$E$12*(1/A479)+Performance!$E$23*(1/Constraints!$V$5)*Constraints!A479</f>
        <v>0.34686566604051322</v>
      </c>
      <c r="D479" s="52">
        <f t="shared" si="7"/>
        <v>0.37355414193908898</v>
      </c>
    </row>
    <row r="480" spans="1:4" x14ac:dyDescent="0.3">
      <c r="A480" s="51">
        <v>230</v>
      </c>
      <c r="B480" s="50">
        <f>$V$4*Performance!$E$12*(1/A480)+Performance!$E$23*(1/Constraints!$V$4)*Constraints!A480</f>
        <v>0.43284680024877936</v>
      </c>
      <c r="C480" s="50">
        <f>$V$5*Performance!$E$12*(1/A480)+Performance!$E$23*(1/Constraints!$V$5)*Constraints!A480</f>
        <v>0.34760711309753717</v>
      </c>
      <c r="D480" s="52">
        <f t="shared" si="7"/>
        <v>0.37382642765137453</v>
      </c>
    </row>
    <row r="481" spans="1:4" x14ac:dyDescent="0.3">
      <c r="A481" s="51">
        <v>230.5</v>
      </c>
      <c r="B481" s="50">
        <f>$V$4*Performance!$E$12*(1/A481)+Performance!$E$23*(1/Constraints!$V$4)*Constraints!A481</f>
        <v>0.43377641470092276</v>
      </c>
      <c r="C481" s="50">
        <f>$V$5*Performance!$E$12*(1/A481)+Performance!$E$23*(1/Constraints!$V$5)*Constraints!A481</f>
        <v>0.34834859103537263</v>
      </c>
      <c r="D481" s="52">
        <f t="shared" si="7"/>
        <v>0.37409871336366018</v>
      </c>
    </row>
    <row r="482" spans="1:4" x14ac:dyDescent="0.3">
      <c r="A482" s="51">
        <v>231</v>
      </c>
      <c r="B482" s="50">
        <f>$V$4*Performance!$E$12*(1/A482)+Performance!$E$23*(1/Constraints!$V$4)*Constraints!A482</f>
        <v>0.43470605370830795</v>
      </c>
      <c r="C482" s="50">
        <f>$V$5*Performance!$E$12*(1/A482)+Performance!$E$23*(1/Constraints!$V$5)*Constraints!A482</f>
        <v>0.34909009965349497</v>
      </c>
      <c r="D482" s="52">
        <f t="shared" si="7"/>
        <v>0.37437099907594573</v>
      </c>
    </row>
    <row r="483" spans="1:4" x14ac:dyDescent="0.3">
      <c r="A483" s="51">
        <v>231.5</v>
      </c>
      <c r="B483" s="50">
        <f>$V$4*Performance!$E$12*(1/A483)+Performance!$E$23*(1/Constraints!$V$4)*Constraints!A483</f>
        <v>0.4356357171118298</v>
      </c>
      <c r="C483" s="50">
        <f>$V$5*Performance!$E$12*(1/A483)+Performance!$E$23*(1/Constraints!$V$5)*Constraints!A483</f>
        <v>0.34983163875311168</v>
      </c>
      <c r="D483" s="52">
        <f t="shared" si="7"/>
        <v>0.37464328478823133</v>
      </c>
    </row>
    <row r="484" spans="1:4" x14ac:dyDescent="0.3">
      <c r="A484" s="51">
        <v>232</v>
      </c>
      <c r="B484" s="50">
        <f>$V$4*Performance!$E$12*(1/A484)+Performance!$E$23*(1/Constraints!$V$4)*Constraints!A484</f>
        <v>0.43656540475375466</v>
      </c>
      <c r="C484" s="50">
        <f>$V$5*Performance!$E$12*(1/A484)+Performance!$E$23*(1/Constraints!$V$5)*Constraints!A484</f>
        <v>0.35057320813714421</v>
      </c>
      <c r="D484" s="52">
        <f t="shared" si="7"/>
        <v>0.37491557050051694</v>
      </c>
    </row>
    <row r="485" spans="1:4" x14ac:dyDescent="0.3">
      <c r="A485" s="51">
        <v>232.5</v>
      </c>
      <c r="B485" s="50">
        <f>$V$4*Performance!$E$12*(1/A485)+Performance!$E$23*(1/Constraints!$V$4)*Constraints!A485</f>
        <v>0.43749511647770573</v>
      </c>
      <c r="C485" s="50">
        <f>$V$5*Performance!$E$12*(1/A485)+Performance!$E$23*(1/Constraints!$V$5)*Constraints!A485</f>
        <v>0.35131480761020922</v>
      </c>
      <c r="D485" s="52">
        <f t="shared" si="7"/>
        <v>0.37518785621280254</v>
      </c>
    </row>
    <row r="486" spans="1:4" x14ac:dyDescent="0.3">
      <c r="A486" s="51">
        <v>233</v>
      </c>
      <c r="B486" s="50">
        <f>$V$4*Performance!$E$12*(1/A486)+Performance!$E$23*(1/Constraints!$V$4)*Constraints!A486</f>
        <v>0.4384248521286484</v>
      </c>
      <c r="C486" s="50">
        <f>$V$5*Performance!$E$12*(1/A486)+Performance!$E$23*(1/Constraints!$V$5)*Constraints!A486</f>
        <v>0.3520564369786004</v>
      </c>
      <c r="D486" s="52">
        <f t="shared" si="7"/>
        <v>0.37546014192508814</v>
      </c>
    </row>
    <row r="487" spans="1:4" x14ac:dyDescent="0.3">
      <c r="A487" s="51">
        <v>233.5</v>
      </c>
      <c r="B487" s="50">
        <f>$V$4*Performance!$E$12*(1/A487)+Performance!$E$23*(1/Constraints!$V$4)*Constraints!A487</f>
        <v>0.43935461155287625</v>
      </c>
      <c r="C487" s="50">
        <f>$V$5*Performance!$E$12*(1/A487)+Performance!$E$23*(1/Constraints!$V$5)*Constraints!A487</f>
        <v>0.35279809605027085</v>
      </c>
      <c r="D487" s="52">
        <f t="shared" si="7"/>
        <v>0.37573242763737369</v>
      </c>
    </row>
    <row r="488" spans="1:4" x14ac:dyDescent="0.3">
      <c r="A488" s="51">
        <v>234</v>
      </c>
      <c r="B488" s="50">
        <f>$V$4*Performance!$E$12*(1/A488)+Performance!$E$23*(1/Constraints!$V$4)*Constraints!A488</f>
        <v>0.44028439459799634</v>
      </c>
      <c r="C488" s="50">
        <f>$V$5*Performance!$E$12*(1/A488)+Performance!$E$23*(1/Constraints!$V$5)*Constraints!A488</f>
        <v>0.35353978463481489</v>
      </c>
      <c r="D488" s="52">
        <f t="shared" si="7"/>
        <v>0.37600471334965935</v>
      </c>
    </row>
    <row r="489" spans="1:4" x14ac:dyDescent="0.3">
      <c r="A489" s="51">
        <v>234.5</v>
      </c>
      <c r="B489" s="50">
        <f>$V$4*Performance!$E$12*(1/A489)+Performance!$E$23*(1/Constraints!$V$4)*Constraints!A489</f>
        <v>0.44121420111291548</v>
      </c>
      <c r="C489" s="50">
        <f>$V$5*Performance!$E$12*(1/A489)+Performance!$E$23*(1/Constraints!$V$5)*Constraints!A489</f>
        <v>0.35428150254345064</v>
      </c>
      <c r="D489" s="52">
        <f t="shared" si="7"/>
        <v>0.37627699906194489</v>
      </c>
    </row>
    <row r="490" spans="1:4" x14ac:dyDescent="0.3">
      <c r="A490" s="51">
        <v>235</v>
      </c>
      <c r="B490" s="50">
        <f>$V$4*Performance!$E$12*(1/A490)+Performance!$E$23*(1/Constraints!$V$4)*Constraints!A490</f>
        <v>0.44214403094782662</v>
      </c>
      <c r="C490" s="50">
        <f>$V$5*Performance!$E$12*(1/A490)+Performance!$E$23*(1/Constraints!$V$5)*Constraints!A490</f>
        <v>0.35502324958900333</v>
      </c>
      <c r="D490" s="52">
        <f t="shared" si="7"/>
        <v>0.37654928477423055</v>
      </c>
    </row>
    <row r="491" spans="1:4" x14ac:dyDescent="0.3">
      <c r="A491" s="51">
        <v>235.5</v>
      </c>
      <c r="B491" s="50">
        <f>$V$4*Performance!$E$12*(1/A491)+Performance!$E$23*(1/Constraints!$V$4)*Constraints!A491</f>
        <v>0.44307388395419467</v>
      </c>
      <c r="C491" s="50">
        <f>$V$5*Performance!$E$12*(1/A491)+Performance!$E$23*(1/Constraints!$V$5)*Constraints!A491</f>
        <v>0.3557650255858873</v>
      </c>
      <c r="D491" s="52">
        <f t="shared" si="7"/>
        <v>0.3768215704865161</v>
      </c>
    </row>
    <row r="492" spans="1:4" x14ac:dyDescent="0.3">
      <c r="A492" s="51">
        <v>236</v>
      </c>
      <c r="B492" s="50">
        <f>$V$4*Performance!$E$12*(1/A492)+Performance!$E$23*(1/Constraints!$V$4)*Constraints!A492</f>
        <v>0.44400375998474334</v>
      </c>
      <c r="C492" s="50">
        <f>$V$5*Performance!$E$12*(1/A492)+Performance!$E$23*(1/Constraints!$V$5)*Constraints!A492</f>
        <v>0.35650683035008984</v>
      </c>
      <c r="D492" s="52">
        <f t="shared" si="7"/>
        <v>0.3770938561988017</v>
      </c>
    </row>
    <row r="493" spans="1:4" x14ac:dyDescent="0.3">
      <c r="A493" s="51">
        <v>236.5</v>
      </c>
      <c r="B493" s="50">
        <f>$V$4*Performance!$E$12*(1/A493)+Performance!$E$23*(1/Constraints!$V$4)*Constraints!A493</f>
        <v>0.44493365889344205</v>
      </c>
      <c r="C493" s="50">
        <f>$V$5*Performance!$E$12*(1/A493)+Performance!$E$23*(1/Constraints!$V$5)*Constraints!A493</f>
        <v>0.35724866369915453</v>
      </c>
      <c r="D493" s="52">
        <f t="shared" si="7"/>
        <v>0.3773661419110873</v>
      </c>
    </row>
    <row r="494" spans="1:4" x14ac:dyDescent="0.3">
      <c r="A494" s="51">
        <v>237</v>
      </c>
      <c r="B494" s="50">
        <f>$V$4*Performance!$E$12*(1/A494)+Performance!$E$23*(1/Constraints!$V$4)*Constraints!A494</f>
        <v>0.44586358053549235</v>
      </c>
      <c r="C494" s="50">
        <f>$V$5*Performance!$E$12*(1/A494)+Performance!$E$23*(1/Constraints!$V$5)*Constraints!A494</f>
        <v>0.35799052545216448</v>
      </c>
      <c r="D494" s="52">
        <f t="shared" si="7"/>
        <v>0.37763842762337291</v>
      </c>
    </row>
    <row r="495" spans="1:4" x14ac:dyDescent="0.3">
      <c r="A495" s="51">
        <v>237.5</v>
      </c>
      <c r="B495" s="50">
        <f>$V$4*Performance!$E$12*(1/A495)+Performance!$E$23*(1/Constraints!$V$4)*Constraints!A495</f>
        <v>0.44679352476731504</v>
      </c>
      <c r="C495" s="50">
        <f>$V$5*Performance!$E$12*(1/A495)+Performance!$E$23*(1/Constraints!$V$5)*Constraints!A495</f>
        <v>0.35873241542972623</v>
      </c>
      <c r="D495" s="52">
        <f t="shared" si="7"/>
        <v>0.37791071333565851</v>
      </c>
    </row>
    <row r="496" spans="1:4" x14ac:dyDescent="0.3">
      <c r="A496" s="51">
        <v>238</v>
      </c>
      <c r="B496" s="50">
        <f>$V$4*Performance!$E$12*(1/A496)+Performance!$E$23*(1/Constraints!$V$4)*Constraints!A496</f>
        <v>0.44772349144653772</v>
      </c>
      <c r="C496" s="50">
        <f>$V$5*Performance!$E$12*(1/A496)+Performance!$E$23*(1/Constraints!$V$5)*Constraints!A496</f>
        <v>0.35947433345395408</v>
      </c>
      <c r="D496" s="52">
        <f t="shared" si="7"/>
        <v>0.37818299904794406</v>
      </c>
    </row>
    <row r="497" spans="1:4" x14ac:dyDescent="0.3">
      <c r="A497" s="51">
        <v>238.5</v>
      </c>
      <c r="B497" s="50">
        <f>$V$4*Performance!$E$12*(1/A497)+Performance!$E$23*(1/Constraints!$V$4)*Constraints!A497</f>
        <v>0.44865348043198178</v>
      </c>
      <c r="C497" s="50">
        <f>$V$5*Performance!$E$12*(1/A497)+Performance!$E$23*(1/Constraints!$V$5)*Constraints!A497</f>
        <v>0.36021627934845385</v>
      </c>
      <c r="D497" s="52">
        <f t="shared" si="7"/>
        <v>0.37845528476022972</v>
      </c>
    </row>
    <row r="498" spans="1:4" x14ac:dyDescent="0.3">
      <c r="A498" s="51">
        <v>239</v>
      </c>
      <c r="B498" s="50">
        <f>$V$4*Performance!$E$12*(1/A498)+Performance!$E$23*(1/Constraints!$V$4)*Constraints!A498</f>
        <v>0.44958349158364996</v>
      </c>
      <c r="C498" s="50">
        <f>$V$5*Performance!$E$12*(1/A498)+Performance!$E$23*(1/Constraints!$V$5)*Constraints!A498</f>
        <v>0.36095825293830747</v>
      </c>
      <c r="D498" s="52">
        <f t="shared" si="7"/>
        <v>0.37872757047251526</v>
      </c>
    </row>
    <row r="499" spans="1:4" x14ac:dyDescent="0.3">
      <c r="A499" s="51">
        <v>239.5</v>
      </c>
      <c r="B499" s="50">
        <f>$V$4*Performance!$E$12*(1/A499)+Performance!$E$23*(1/Constraints!$V$4)*Constraints!A499</f>
        <v>0.45051352476271417</v>
      </c>
      <c r="C499" s="50">
        <f>$V$5*Performance!$E$12*(1/A499)+Performance!$E$23*(1/Constraints!$V$5)*Constraints!A499</f>
        <v>0.36170025405005768</v>
      </c>
      <c r="D499" s="52">
        <f t="shared" si="7"/>
        <v>0.37899985618480092</v>
      </c>
    </row>
    <row r="500" spans="1:4" x14ac:dyDescent="0.3">
      <c r="A500" s="51">
        <v>240</v>
      </c>
      <c r="B500" s="50">
        <f>$V$4*Performance!$E$12*(1/A500)+Performance!$E$23*(1/Constraints!$V$4)*Constraints!A500</f>
        <v>0.45144357983150318</v>
      </c>
      <c r="C500" s="50">
        <f>$V$5*Performance!$E$12*(1/A500)+Performance!$E$23*(1/Constraints!$V$5)*Constraints!A500</f>
        <v>0.36244228251169258</v>
      </c>
      <c r="D500" s="52">
        <f t="shared" si="7"/>
        <v>0.37927214189708647</v>
      </c>
    </row>
    <row r="501" spans="1:4" x14ac:dyDescent="0.3">
      <c r="A501" s="51">
        <v>240.5</v>
      </c>
      <c r="B501" s="50">
        <f>$V$4*Performance!$E$12*(1/A501)+Performance!$E$23*(1/Constraints!$V$4)*Constraints!A501</f>
        <v>0.45237365665349066</v>
      </c>
      <c r="C501" s="50">
        <f>$V$5*Performance!$E$12*(1/A501)+Performance!$E$23*(1/Constraints!$V$5)*Constraints!A501</f>
        <v>0.3631843381526309</v>
      </c>
      <c r="D501" s="52">
        <f t="shared" si="7"/>
        <v>0.37954442760937207</v>
      </c>
    </row>
    <row r="502" spans="1:4" x14ac:dyDescent="0.3">
      <c r="A502" s="51">
        <v>241</v>
      </c>
      <c r="B502" s="50">
        <f>$V$4*Performance!$E$12*(1/A502)+Performance!$E$23*(1/Constraints!$V$4)*Constraints!A502</f>
        <v>0.45330375509328319</v>
      </c>
      <c r="C502" s="50">
        <f>$V$5*Performance!$E$12*(1/A502)+Performance!$E$23*(1/Constraints!$V$5)*Constraints!A502</f>
        <v>0.36392642080370669</v>
      </c>
      <c r="D502" s="52">
        <f t="shared" si="7"/>
        <v>0.37981671332165767</v>
      </c>
    </row>
    <row r="503" spans="1:4" x14ac:dyDescent="0.3">
      <c r="A503" s="51">
        <v>241.5</v>
      </c>
      <c r="B503" s="50">
        <f>$V$4*Performance!$E$12*(1/A503)+Performance!$E$23*(1/Constraints!$V$4)*Constraints!A503</f>
        <v>0.45423387501660872</v>
      </c>
      <c r="C503" s="50">
        <f>$V$5*Performance!$E$12*(1/A503)+Performance!$E$23*(1/Constraints!$V$5)*Constraints!A503</f>
        <v>0.36466853029715512</v>
      </c>
      <c r="D503" s="52">
        <f t="shared" si="7"/>
        <v>0.38008899903394328</v>
      </c>
    </row>
    <row r="504" spans="1:4" x14ac:dyDescent="0.3">
      <c r="A504" s="51">
        <v>242</v>
      </c>
      <c r="B504" s="50">
        <f>$V$4*Performance!$E$12*(1/A504)+Performance!$E$23*(1/Constraints!$V$4)*Constraints!A504</f>
        <v>0.45516401629030495</v>
      </c>
      <c r="C504" s="50">
        <f>$V$5*Performance!$E$12*(1/A504)+Performance!$E$23*(1/Constraints!$V$5)*Constraints!A504</f>
        <v>0.36541066646659798</v>
      </c>
      <c r="D504" s="52">
        <f t="shared" si="7"/>
        <v>0.38036128474622888</v>
      </c>
    </row>
    <row r="505" spans="1:4" x14ac:dyDescent="0.3">
      <c r="A505" s="51">
        <v>242.5</v>
      </c>
      <c r="B505" s="50">
        <f>$V$4*Performance!$E$12*(1/A505)+Performance!$E$23*(1/Constraints!$V$4)*Constraints!A505</f>
        <v>0.45609417878230751</v>
      </c>
      <c r="C505" s="50">
        <f>$V$5*Performance!$E$12*(1/A505)+Performance!$E$23*(1/Constraints!$V$5)*Constraints!A505</f>
        <v>0.36615282914702901</v>
      </c>
      <c r="D505" s="52">
        <f t="shared" si="7"/>
        <v>0.38063357045851448</v>
      </c>
    </row>
    <row r="506" spans="1:4" x14ac:dyDescent="0.3">
      <c r="A506" s="51">
        <v>243</v>
      </c>
      <c r="B506" s="50">
        <f>$V$4*Performance!$E$12*(1/A506)+Performance!$E$23*(1/Constraints!$V$4)*Constraints!A506</f>
        <v>0.45702436236163946</v>
      </c>
      <c r="C506" s="50">
        <f>$V$5*Performance!$E$12*(1/A506)+Performance!$E$23*(1/Constraints!$V$5)*Constraints!A506</f>
        <v>0.36689501817480019</v>
      </c>
      <c r="D506" s="52">
        <f t="shared" si="7"/>
        <v>0.38090585617080008</v>
      </c>
    </row>
    <row r="507" spans="1:4" x14ac:dyDescent="0.3">
      <c r="A507" s="51">
        <v>243.5</v>
      </c>
      <c r="B507" s="50">
        <f>$V$4*Performance!$E$12*(1/A507)+Performance!$E$23*(1/Constraints!$V$4)*Constraints!A507</f>
        <v>0.45795456689839925</v>
      </c>
      <c r="C507" s="50">
        <f>$V$5*Performance!$E$12*(1/A507)+Performance!$E$23*(1/Constraints!$V$5)*Constraints!A507</f>
        <v>0.36763723338760756</v>
      </c>
      <c r="D507" s="52">
        <f t="shared" si="7"/>
        <v>0.38117814188308563</v>
      </c>
    </row>
    <row r="508" spans="1:4" x14ac:dyDescent="0.3">
      <c r="A508" s="51">
        <v>244</v>
      </c>
      <c r="B508" s="50">
        <f>$V$4*Performance!$E$12*(1/A508)+Performance!$E$23*(1/Constraints!$V$4)*Constraints!A508</f>
        <v>0.45888479226375017</v>
      </c>
      <c r="C508" s="50">
        <f>$V$5*Performance!$E$12*(1/A508)+Performance!$E$23*(1/Constraints!$V$5)*Constraints!A508</f>
        <v>0.36837947462447751</v>
      </c>
      <c r="D508" s="52">
        <f t="shared" si="7"/>
        <v>0.38145042759537129</v>
      </c>
    </row>
    <row r="509" spans="1:4" x14ac:dyDescent="0.3">
      <c r="A509" s="51">
        <v>244.5</v>
      </c>
      <c r="B509" s="50">
        <f>$V$4*Performance!$E$12*(1/A509)+Performance!$E$23*(1/Constraints!$V$4)*Constraints!A509</f>
        <v>0.45981503832990961</v>
      </c>
      <c r="C509" s="50">
        <f>$V$5*Performance!$E$12*(1/A509)+Performance!$E$23*(1/Constraints!$V$5)*Constraints!A509</f>
        <v>0.36912174172575324</v>
      </c>
      <c r="D509" s="52">
        <f t="shared" si="7"/>
        <v>0.38172271330765684</v>
      </c>
    </row>
    <row r="510" spans="1:4" x14ac:dyDescent="0.3">
      <c r="A510" s="51">
        <v>245</v>
      </c>
      <c r="B510" s="50">
        <f>$V$4*Performance!$E$12*(1/A510)+Performance!$E$23*(1/Constraints!$V$4)*Constraints!A510</f>
        <v>0.46074530497013788</v>
      </c>
      <c r="C510" s="50">
        <f>$V$5*Performance!$E$12*(1/A510)+Performance!$E$23*(1/Constraints!$V$5)*Constraints!A510</f>
        <v>0.36986403453308125</v>
      </c>
      <c r="D510" s="52">
        <f t="shared" si="7"/>
        <v>0.38199499901994249</v>
      </c>
    </row>
    <row r="511" spans="1:4" x14ac:dyDescent="0.3">
      <c r="A511" s="51">
        <v>245.5</v>
      </c>
      <c r="B511" s="50">
        <f>$V$4*Performance!$E$12*(1/A511)+Performance!$E$23*(1/Constraints!$V$4)*Constraints!A511</f>
        <v>0.46167559205872771</v>
      </c>
      <c r="C511" s="50">
        <f>$V$5*Performance!$E$12*(1/A511)+Performance!$E$23*(1/Constraints!$V$5)*Constraints!A511</f>
        <v>0.37060635288939808</v>
      </c>
      <c r="D511" s="52">
        <f t="shared" si="7"/>
        <v>0.38226728473222804</v>
      </c>
    </row>
    <row r="512" spans="1:4" x14ac:dyDescent="0.3">
      <c r="A512" s="51">
        <v>246</v>
      </c>
      <c r="B512" s="50">
        <f>$V$4*Performance!$E$12*(1/A512)+Performance!$E$23*(1/Constraints!$V$4)*Constraints!A512</f>
        <v>0.46260589947099412</v>
      </c>
      <c r="C512" s="50">
        <f>$V$5*Performance!$E$12*(1/A512)+Performance!$E$23*(1/Constraints!$V$5)*Constraints!A512</f>
        <v>0.37134869663891718</v>
      </c>
      <c r="D512" s="52">
        <f t="shared" si="7"/>
        <v>0.38253957044451364</v>
      </c>
    </row>
    <row r="513" spans="1:4" x14ac:dyDescent="0.3">
      <c r="A513" s="51">
        <v>246.5</v>
      </c>
      <c r="B513" s="50">
        <f>$V$4*Performance!$E$12*(1/A513)+Performance!$E$23*(1/Constraints!$V$4)*Constraints!A513</f>
        <v>0.46353622708326359</v>
      </c>
      <c r="C513" s="50">
        <f>$V$5*Performance!$E$12*(1/A513)+Performance!$E$23*(1/Constraints!$V$5)*Constraints!A513</f>
        <v>0.37209106562711608</v>
      </c>
      <c r="D513" s="52">
        <f t="shared" si="7"/>
        <v>0.38281185615679925</v>
      </c>
    </row>
    <row r="514" spans="1:4" x14ac:dyDescent="0.3">
      <c r="A514" s="51">
        <v>247</v>
      </c>
      <c r="B514" s="50">
        <f>$V$4*Performance!$E$12*(1/A514)+Performance!$E$23*(1/Constraints!$V$4)*Constraints!A514</f>
        <v>0.46446657477286402</v>
      </c>
      <c r="C514" s="50">
        <f>$V$5*Performance!$E$12*(1/A514)+Performance!$E$23*(1/Constraints!$V$5)*Constraints!A514</f>
        <v>0.37283345970072335</v>
      </c>
      <c r="D514" s="52">
        <f t="shared" si="7"/>
        <v>0.38308414186908485</v>
      </c>
    </row>
    <row r="515" spans="1:4" x14ac:dyDescent="0.3">
      <c r="A515" s="51">
        <v>247.5</v>
      </c>
      <c r="B515" s="50">
        <f>$V$4*Performance!$E$12*(1/A515)+Performance!$E$23*(1/Constraints!$V$4)*Constraints!A515</f>
        <v>0.46539694241811452</v>
      </c>
      <c r="C515" s="50">
        <f>$V$5*Performance!$E$12*(1/A515)+Performance!$E$23*(1/Constraints!$V$5)*Constraints!A515</f>
        <v>0.37357587870770631</v>
      </c>
      <c r="D515" s="52">
        <f t="shared" si="7"/>
        <v>0.38335642758137045</v>
      </c>
    </row>
    <row r="516" spans="1:4" x14ac:dyDescent="0.3">
      <c r="A516" s="51">
        <v>248</v>
      </c>
      <c r="B516" s="50">
        <f>$V$4*Performance!$E$12*(1/A516)+Performance!$E$23*(1/Constraints!$V$4)*Constraints!A516</f>
        <v>0.46632732989831577</v>
      </c>
      <c r="C516" s="50">
        <f>$V$5*Performance!$E$12*(1/A516)+Performance!$E$23*(1/Constraints!$V$5)*Constraints!A516</f>
        <v>0.37431832249725827</v>
      </c>
      <c r="D516" s="52">
        <f t="shared" si="7"/>
        <v>0.383628713293656</v>
      </c>
    </row>
    <row r="517" spans="1:4" x14ac:dyDescent="0.3">
      <c r="A517" s="51">
        <v>248.5</v>
      </c>
      <c r="B517" s="50">
        <f>$V$4*Performance!$E$12*(1/A517)+Performance!$E$23*(1/Constraints!$V$4)*Constraints!A517</f>
        <v>0.46725773709373958</v>
      </c>
      <c r="C517" s="50">
        <f>$V$5*Performance!$E$12*(1/A517)+Performance!$E$23*(1/Constraints!$V$5)*Constraints!A517</f>
        <v>0.37506079091978611</v>
      </c>
      <c r="D517" s="52">
        <f t="shared" si="7"/>
        <v>0.38390099900594166</v>
      </c>
    </row>
    <row r="518" spans="1:4" x14ac:dyDescent="0.3">
      <c r="A518" s="51">
        <v>249</v>
      </c>
      <c r="B518" s="50">
        <f>$V$4*Performance!$E$12*(1/A518)+Performance!$E$23*(1/Constraints!$V$4)*Constraints!A518</f>
        <v>0.46818816388561951</v>
      </c>
      <c r="C518" s="50">
        <f>$V$5*Performance!$E$12*(1/A518)+Performance!$E$23*(1/Constraints!$V$5)*Constraints!A518</f>
        <v>0.37580328382689859</v>
      </c>
      <c r="D518" s="52">
        <f t="shared" si="7"/>
        <v>0.3841732847182272</v>
      </c>
    </row>
    <row r="519" spans="1:4" x14ac:dyDescent="0.3">
      <c r="A519" s="51">
        <v>249.5</v>
      </c>
      <c r="B519" s="50">
        <f>$V$4*Performance!$E$12*(1/A519)+Performance!$E$23*(1/Constraints!$V$4)*Constraints!A519</f>
        <v>0.46911861015614137</v>
      </c>
      <c r="C519" s="50">
        <f>$V$5*Performance!$E$12*(1/A519)+Performance!$E$23*(1/Constraints!$V$5)*Constraints!A519</f>
        <v>0.37654580107139374</v>
      </c>
      <c r="D519" s="52">
        <f t="shared" si="7"/>
        <v>0.38444557043051286</v>
      </c>
    </row>
    <row r="520" spans="1:4" x14ac:dyDescent="0.3">
      <c r="A520" s="51">
        <v>250</v>
      </c>
      <c r="B520" s="50">
        <f>$V$4*Performance!$E$12*(1/A520)+Performance!$E$23*(1/Constraints!$V$4)*Constraints!A520</f>
        <v>0.47004907578843319</v>
      </c>
      <c r="C520" s="50">
        <f>$V$5*Performance!$E$12*(1/A520)+Performance!$E$23*(1/Constraints!$V$5)*Constraints!A520</f>
        <v>0.37728834250724713</v>
      </c>
      <c r="D520" s="52">
        <f t="shared" si="7"/>
        <v>0.38471785614279841</v>
      </c>
    </row>
    <row r="521" spans="1:4" x14ac:dyDescent="0.3">
      <c r="A521" s="51">
        <v>250.5</v>
      </c>
      <c r="B521" s="50">
        <f>$V$4*Performance!$E$12*(1/A521)+Performance!$E$23*(1/Constraints!$V$4)*Constraints!A521</f>
        <v>0.47097956066655616</v>
      </c>
      <c r="C521" s="50">
        <f>$V$5*Performance!$E$12*(1/A521)+Performance!$E$23*(1/Constraints!$V$5)*Constraints!A521</f>
        <v>0.37803090798960054</v>
      </c>
      <c r="D521" s="52">
        <f t="shared" si="7"/>
        <v>0.38499014185508401</v>
      </c>
    </row>
    <row r="522" spans="1:4" x14ac:dyDescent="0.3">
      <c r="A522" s="51">
        <v>251</v>
      </c>
      <c r="B522" s="50">
        <f>$V$4*Performance!$E$12*(1/A522)+Performance!$E$23*(1/Constraints!$V$4)*Constraints!A522</f>
        <v>0.47191006467549551</v>
      </c>
      <c r="C522" s="50">
        <f>$V$5*Performance!$E$12*(1/A522)+Performance!$E$23*(1/Constraints!$V$5)*Constraints!A522</f>
        <v>0.37877349737474963</v>
      </c>
      <c r="D522" s="52">
        <f t="shared" si="7"/>
        <v>0.38526242756736961</v>
      </c>
    </row>
    <row r="523" spans="1:4" x14ac:dyDescent="0.3">
      <c r="A523" s="51">
        <v>251.5</v>
      </c>
      <c r="B523" s="50">
        <f>$V$4*Performance!$E$12*(1/A523)+Performance!$E$23*(1/Constraints!$V$4)*Constraints!A523</f>
        <v>0.47284058770115089</v>
      </c>
      <c r="C523" s="50">
        <f>$V$5*Performance!$E$12*(1/A523)+Performance!$E$23*(1/Constraints!$V$5)*Constraints!A523</f>
        <v>0.37951611052013301</v>
      </c>
      <c r="D523" s="52">
        <f t="shared" si="7"/>
        <v>0.38553471327965522</v>
      </c>
    </row>
    <row r="524" spans="1:4" x14ac:dyDescent="0.3">
      <c r="A524" s="51">
        <v>252</v>
      </c>
      <c r="B524" s="50">
        <f>$V$4*Performance!$E$12*(1/A524)+Performance!$E$23*(1/Constraints!$V$4)*Constraints!A524</f>
        <v>0.47377112963032741</v>
      </c>
      <c r="C524" s="50">
        <f>$V$5*Performance!$E$12*(1/A524)+Performance!$E$23*(1/Constraints!$V$5)*Constraints!A524</f>
        <v>0.38025874728432085</v>
      </c>
      <c r="D524" s="52">
        <f t="shared" si="7"/>
        <v>0.38580699899194082</v>
      </c>
    </row>
    <row r="525" spans="1:4" x14ac:dyDescent="0.3">
      <c r="A525" s="51">
        <v>252.5</v>
      </c>
      <c r="B525" s="50">
        <f>$V$4*Performance!$E$12*(1/A525)+Performance!$E$23*(1/Constraints!$V$4)*Constraints!A525</f>
        <v>0.47470169035072718</v>
      </c>
      <c r="C525" s="50">
        <f>$V$5*Performance!$E$12*(1/A525)+Performance!$E$23*(1/Constraints!$V$5)*Constraints!A525</f>
        <v>0.38100140752700329</v>
      </c>
      <c r="D525" s="52">
        <f t="shared" si="7"/>
        <v>0.38607928470422637</v>
      </c>
    </row>
    <row r="526" spans="1:4" x14ac:dyDescent="0.3">
      <c r="A526" s="51">
        <v>253</v>
      </c>
      <c r="B526" s="50">
        <f>$V$4*Performance!$E$12*(1/A526)+Performance!$E$23*(1/Constraints!$V$4)*Constraints!A526</f>
        <v>0.47563226975093964</v>
      </c>
      <c r="C526" s="50">
        <f>$V$5*Performance!$E$12*(1/A526)+Performance!$E$23*(1/Constraints!$V$5)*Constraints!A526</f>
        <v>0.38174409110897972</v>
      </c>
      <c r="D526" s="52">
        <f t="shared" si="7"/>
        <v>0.38635157041651202</v>
      </c>
    </row>
    <row r="527" spans="1:4" x14ac:dyDescent="0.3">
      <c r="A527" s="51">
        <v>253.5</v>
      </c>
      <c r="B527" s="50">
        <f>$V$4*Performance!$E$12*(1/A527)+Performance!$E$23*(1/Constraints!$V$4)*Constraints!A527</f>
        <v>0.47656286772043338</v>
      </c>
      <c r="C527" s="50">
        <f>$V$5*Performance!$E$12*(1/A527)+Performance!$E$23*(1/Constraints!$V$5)*Constraints!A527</f>
        <v>0.38248679789214796</v>
      </c>
      <c r="D527" s="52">
        <f t="shared" si="7"/>
        <v>0.38662385612879757</v>
      </c>
    </row>
    <row r="528" spans="1:4" x14ac:dyDescent="0.3">
      <c r="A528" s="51">
        <v>254</v>
      </c>
      <c r="B528" s="50">
        <f>$V$4*Performance!$E$12*(1/A528)+Performance!$E$23*(1/Constraints!$V$4)*Constraints!A528</f>
        <v>0.47749348414954718</v>
      </c>
      <c r="C528" s="50">
        <f>$V$5*Performance!$E$12*(1/A528)+Performance!$E$23*(1/Constraints!$V$5)*Constraints!A528</f>
        <v>0.38322952773949298</v>
      </c>
      <c r="D528" s="52">
        <f t="shared" si="7"/>
        <v>0.38689614184108323</v>
      </c>
    </row>
    <row r="529" spans="1:4" x14ac:dyDescent="0.3">
      <c r="A529" s="51">
        <v>254.5</v>
      </c>
      <c r="B529" s="50">
        <f>$V$4*Performance!$E$12*(1/A529)+Performance!$E$23*(1/Constraints!$V$4)*Constraints!A529</f>
        <v>0.47842411892948189</v>
      </c>
      <c r="C529" s="50">
        <f>$V$5*Performance!$E$12*(1/A529)+Performance!$E$23*(1/Constraints!$V$5)*Constraints!A529</f>
        <v>0.3839722805150767</v>
      </c>
      <c r="D529" s="52">
        <f t="shared" si="7"/>
        <v>0.38716842755336878</v>
      </c>
    </row>
    <row r="530" spans="1:4" x14ac:dyDescent="0.3">
      <c r="A530" s="51">
        <v>255</v>
      </c>
      <c r="B530" s="50">
        <f>$V$4*Performance!$E$12*(1/A530)+Performance!$E$23*(1/Constraints!$V$4)*Constraints!A530</f>
        <v>0.47935477195229143</v>
      </c>
      <c r="C530" s="50">
        <f>$V$5*Performance!$E$12*(1/A530)+Performance!$E$23*(1/Constraints!$V$5)*Constraints!A530</f>
        <v>0.38471505608402706</v>
      </c>
      <c r="D530" s="52">
        <f t="shared" si="7"/>
        <v>0.38744071326565438</v>
      </c>
    </row>
    <row r="531" spans="1:4" x14ac:dyDescent="0.3">
      <c r="A531" s="51">
        <v>255.5</v>
      </c>
      <c r="B531" s="50">
        <f>$V$4*Performance!$E$12*(1/A531)+Performance!$E$23*(1/Constraints!$V$4)*Constraints!A531</f>
        <v>0.48028544311087473</v>
      </c>
      <c r="C531" s="50">
        <f>$V$5*Performance!$E$12*(1/A531)+Performance!$E$23*(1/Constraints!$V$5)*Constraints!A531</f>
        <v>0.38545785431252783</v>
      </c>
      <c r="D531" s="52">
        <f t="shared" si="7"/>
        <v>0.38771299897793998</v>
      </c>
    </row>
    <row r="532" spans="1:4" x14ac:dyDescent="0.3">
      <c r="A532" s="51">
        <v>256</v>
      </c>
      <c r="B532" s="50">
        <f>$V$4*Performance!$E$12*(1/A532)+Performance!$E$23*(1/Constraints!$V$4)*Constraints!A532</f>
        <v>0.48121613229896759</v>
      </c>
      <c r="C532" s="50">
        <f>$V$5*Performance!$E$12*(1/A532)+Performance!$E$23*(1/Constraints!$V$5)*Constraints!A532</f>
        <v>0.38620067506780825</v>
      </c>
      <c r="D532" s="52">
        <f t="shared" si="7"/>
        <v>0.38798528469022558</v>
      </c>
    </row>
    <row r="533" spans="1:4" x14ac:dyDescent="0.3">
      <c r="A533" s="51">
        <v>256.5</v>
      </c>
      <c r="B533" s="50">
        <f>$V$4*Performance!$E$12*(1/A533)+Performance!$E$23*(1/Constraints!$V$4)*Constraints!A533</f>
        <v>0.48214683941113418</v>
      </c>
      <c r="C533" s="50">
        <f>$V$5*Performance!$E$12*(1/A533)+Performance!$E$23*(1/Constraints!$V$5)*Constraints!A533</f>
        <v>0.38694351821813272</v>
      </c>
      <c r="D533" s="52">
        <f t="shared" si="7"/>
        <v>0.38825757040251119</v>
      </c>
    </row>
    <row r="534" spans="1:4" x14ac:dyDescent="0.3">
      <c r="A534" s="51">
        <v>257</v>
      </c>
      <c r="B534" s="50">
        <f>$V$4*Performance!$E$12*(1/A534)+Performance!$E$23*(1/Constraints!$V$4)*Constraints!A534</f>
        <v>0.48307756434275928</v>
      </c>
      <c r="C534" s="50">
        <f>$V$5*Performance!$E$12*(1/A534)+Performance!$E$23*(1/Constraints!$V$5)*Constraints!A534</f>
        <v>0.38768638363279084</v>
      </c>
      <c r="D534" s="52">
        <f t="shared" si="7"/>
        <v>0.38852985611479679</v>
      </c>
    </row>
    <row r="535" spans="1:4" x14ac:dyDescent="0.3">
      <c r="A535" s="51">
        <v>257.5</v>
      </c>
      <c r="B535" s="50">
        <f>$V$4*Performance!$E$12*(1/A535)+Performance!$E$23*(1/Constraints!$V$4)*Constraints!A535</f>
        <v>0.48400830699004033</v>
      </c>
      <c r="C535" s="50">
        <f>$V$5*Performance!$E$12*(1/A535)+Performance!$E$23*(1/Constraints!$V$5)*Constraints!A535</f>
        <v>0.38842927118208753</v>
      </c>
      <c r="D535" s="52">
        <f t="shared" ref="D535:D598" si="8">1.21/(9.8*$N$7*$N$8*$N$5)*A535+0.605/$N$8*($N$11-$N$6*$N$10)+$N$6</f>
        <v>0.38880214182708239</v>
      </c>
    </row>
    <row r="536" spans="1:4" x14ac:dyDescent="0.3">
      <c r="A536" s="51">
        <v>258</v>
      </c>
      <c r="B536" s="50">
        <f>$V$4*Performance!$E$12*(1/A536)+Performance!$E$23*(1/Constraints!$V$4)*Constraints!A536</f>
        <v>0.48493906724997926</v>
      </c>
      <c r="C536" s="50">
        <f>$V$5*Performance!$E$12*(1/A536)+Performance!$E$23*(1/Constraints!$V$5)*Constraints!A536</f>
        <v>0.38917218073733301</v>
      </c>
      <c r="D536" s="52">
        <f t="shared" si="8"/>
        <v>0.38907442753936794</v>
      </c>
    </row>
    <row r="537" spans="1:4" x14ac:dyDescent="0.3">
      <c r="A537" s="51">
        <v>258.5</v>
      </c>
      <c r="B537" s="50">
        <f>$V$4*Performance!$E$12*(1/A537)+Performance!$E$23*(1/Constraints!$V$4)*Constraints!A537</f>
        <v>0.48586984502037495</v>
      </c>
      <c r="C537" s="50">
        <f>$V$5*Performance!$E$12*(1/A537)+Performance!$E$23*(1/Constraints!$V$5)*Constraints!A537</f>
        <v>0.38991511217083313</v>
      </c>
      <c r="D537" s="52">
        <f t="shared" si="8"/>
        <v>0.3893467132516536</v>
      </c>
    </row>
    <row r="538" spans="1:4" x14ac:dyDescent="0.3">
      <c r="A538" s="51">
        <v>259</v>
      </c>
      <c r="B538" s="50">
        <f>$V$4*Performance!$E$12*(1/A538)+Performance!$E$23*(1/Constraints!$V$4)*Constraints!A538</f>
        <v>0.4868006401998155</v>
      </c>
      <c r="C538" s="50">
        <f>$V$5*Performance!$E$12*(1/A538)+Performance!$E$23*(1/Constraints!$V$5)*Constraints!A538</f>
        <v>0.39065806535587999</v>
      </c>
      <c r="D538" s="52">
        <f t="shared" si="8"/>
        <v>0.38961899896393914</v>
      </c>
    </row>
    <row r="539" spans="1:4" x14ac:dyDescent="0.3">
      <c r="A539" s="51">
        <v>259.5</v>
      </c>
      <c r="B539" s="50">
        <f>$V$4*Performance!$E$12*(1/A539)+Performance!$E$23*(1/Constraints!$V$4)*Constraints!A539</f>
        <v>0.4877314526876706</v>
      </c>
      <c r="C539" s="50">
        <f>$V$5*Performance!$E$12*(1/A539)+Performance!$E$23*(1/Constraints!$V$5)*Constraints!A539</f>
        <v>0.39140104016674188</v>
      </c>
      <c r="D539" s="52">
        <f t="shared" si="8"/>
        <v>0.3898912846762248</v>
      </c>
    </row>
    <row r="540" spans="1:4" x14ac:dyDescent="0.3">
      <c r="A540" s="51">
        <v>260</v>
      </c>
      <c r="B540" s="50">
        <f>$V$4*Performance!$E$12*(1/A540)+Performance!$E$23*(1/Constraints!$V$4)*Constraints!A540</f>
        <v>0.48866228238408405</v>
      </c>
      <c r="C540" s="50">
        <f>$V$5*Performance!$E$12*(1/A540)+Performance!$E$23*(1/Constraints!$V$5)*Constraints!A540</f>
        <v>0.39214403647865476</v>
      </c>
      <c r="D540" s="52">
        <f t="shared" si="8"/>
        <v>0.39016357038851035</v>
      </c>
    </row>
    <row r="541" spans="1:4" x14ac:dyDescent="0.3">
      <c r="A541" s="51">
        <v>260.5</v>
      </c>
      <c r="B541" s="50">
        <f>$V$4*Performance!$E$12*(1/A541)+Performance!$E$23*(1/Constraints!$V$4)*Constraints!A541</f>
        <v>0.48959312918996611</v>
      </c>
      <c r="C541" s="50">
        <f>$V$5*Performance!$E$12*(1/A541)+Performance!$E$23*(1/Constraints!$V$5)*Constraints!A541</f>
        <v>0.392887054167812</v>
      </c>
      <c r="D541" s="52">
        <f t="shared" si="8"/>
        <v>0.39043585610079595</v>
      </c>
    </row>
    <row r="542" spans="1:4" x14ac:dyDescent="0.3">
      <c r="A542" s="51">
        <v>261</v>
      </c>
      <c r="B542" s="50">
        <f>$V$4*Performance!$E$12*(1/A542)+Performance!$E$23*(1/Constraints!$V$4)*Constraints!A542</f>
        <v>0.49052399300698668</v>
      </c>
      <c r="C542" s="50">
        <f>$V$5*Performance!$E$12*(1/A542)+Performance!$E$23*(1/Constraints!$V$5)*Constraints!A542</f>
        <v>0.39363009311135588</v>
      </c>
      <c r="D542" s="52">
        <f t="shared" si="8"/>
        <v>0.39070814181308156</v>
      </c>
    </row>
    <row r="543" spans="1:4" x14ac:dyDescent="0.3">
      <c r="A543" s="51">
        <v>261.5</v>
      </c>
      <c r="B543" s="50">
        <f>$V$4*Performance!$E$12*(1/A543)+Performance!$E$23*(1/Constraints!$V$4)*Constraints!A543</f>
        <v>0.49145487373756752</v>
      </c>
      <c r="C543" s="50">
        <f>$V$5*Performance!$E$12*(1/A543)+Performance!$E$23*(1/Constraints!$V$5)*Constraints!A543</f>
        <v>0.39437315318736837</v>
      </c>
      <c r="D543" s="52">
        <f t="shared" si="8"/>
        <v>0.39098042752536716</v>
      </c>
    </row>
    <row r="544" spans="1:4" x14ac:dyDescent="0.3">
      <c r="A544" s="51">
        <v>262</v>
      </c>
      <c r="B544" s="50">
        <f>$V$4*Performance!$E$12*(1/A544)+Performance!$E$23*(1/Constraints!$V$4)*Constraints!A544</f>
        <v>0.4923857712848751</v>
      </c>
      <c r="C544" s="50">
        <f>$V$5*Performance!$E$12*(1/A544)+Performance!$E$23*(1/Constraints!$V$5)*Constraints!A544</f>
        <v>0.39511623427486209</v>
      </c>
      <c r="D544" s="52">
        <f t="shared" si="8"/>
        <v>0.39125271323765276</v>
      </c>
    </row>
    <row r="545" spans="1:4" x14ac:dyDescent="0.3">
      <c r="A545" s="51">
        <v>262.5</v>
      </c>
      <c r="B545" s="50">
        <f>$V$4*Performance!$E$12*(1/A545)+Performance!$E$23*(1/Constraints!$V$4)*Constraints!A545</f>
        <v>0.49331668555281399</v>
      </c>
      <c r="C545" s="50">
        <f>$V$5*Performance!$E$12*(1/A545)+Performance!$E$23*(1/Constraints!$V$5)*Constraints!A545</f>
        <v>0.39585933625377134</v>
      </c>
      <c r="D545" s="52">
        <f t="shared" si="8"/>
        <v>0.39152499894993831</v>
      </c>
    </row>
    <row r="546" spans="1:4" x14ac:dyDescent="0.3">
      <c r="A546" s="51">
        <v>263</v>
      </c>
      <c r="B546" s="50">
        <f>$V$4*Performance!$E$12*(1/A546)+Performance!$E$23*(1/Constraints!$V$4)*Constraints!A546</f>
        <v>0.49424761644601933</v>
      </c>
      <c r="C546" s="50">
        <f>$V$5*Performance!$E$12*(1/A546)+Performance!$E$23*(1/Constraints!$V$5)*Constraints!A546</f>
        <v>0.39660245900494362</v>
      </c>
      <c r="D546" s="52">
        <f t="shared" si="8"/>
        <v>0.39179728466222397</v>
      </c>
    </row>
    <row r="547" spans="1:4" x14ac:dyDescent="0.3">
      <c r="A547" s="51">
        <v>263.5</v>
      </c>
      <c r="B547" s="50">
        <f>$V$4*Performance!$E$12*(1/A547)+Performance!$E$23*(1/Constraints!$V$4)*Constraints!A547</f>
        <v>0.4951785638698501</v>
      </c>
      <c r="C547" s="50">
        <f>$V$5*Performance!$E$12*(1/A547)+Performance!$E$23*(1/Constraints!$V$5)*Constraints!A547</f>
        <v>0.39734560241013078</v>
      </c>
      <c r="D547" s="52">
        <f t="shared" si="8"/>
        <v>0.39206957037450951</v>
      </c>
    </row>
    <row r="548" spans="1:4" x14ac:dyDescent="0.3">
      <c r="A548" s="51">
        <v>264</v>
      </c>
      <c r="B548" s="50">
        <f>$V$4*Performance!$E$12*(1/A548)+Performance!$E$23*(1/Constraints!$V$4)*Constraints!A548</f>
        <v>0.49610952773038236</v>
      </c>
      <c r="C548" s="50">
        <f>$V$5*Performance!$E$12*(1/A548)+Performance!$E$23*(1/Constraints!$V$5)*Constraints!A548</f>
        <v>0.39808876635198037</v>
      </c>
      <c r="D548" s="52">
        <f t="shared" si="8"/>
        <v>0.39234185608679517</v>
      </c>
    </row>
    <row r="549" spans="1:4" x14ac:dyDescent="0.3">
      <c r="A549" s="51">
        <v>264.5</v>
      </c>
      <c r="B549" s="50">
        <f>$V$4*Performance!$E$12*(1/A549)+Performance!$E$23*(1/Constraints!$V$4)*Constraints!A549</f>
        <v>0.4970405079344023</v>
      </c>
      <c r="C549" s="50">
        <f>$V$5*Performance!$E$12*(1/A549)+Performance!$E$23*(1/Constraints!$V$5)*Constraints!A549</f>
        <v>0.39883195071402744</v>
      </c>
      <c r="D549" s="52">
        <f t="shared" si="8"/>
        <v>0.39261414179908072</v>
      </c>
    </row>
    <row r="550" spans="1:4" x14ac:dyDescent="0.3">
      <c r="A550" s="51">
        <v>265</v>
      </c>
      <c r="B550" s="50">
        <f>$V$4*Performance!$E$12*(1/A550)+Performance!$E$23*(1/Constraints!$V$4)*Constraints!A550</f>
        <v>0.49797150438939952</v>
      </c>
      <c r="C550" s="50">
        <f>$V$5*Performance!$E$12*(1/A550)+Performance!$E$23*(1/Constraints!$V$5)*Constraints!A550</f>
        <v>0.399575155380686</v>
      </c>
      <c r="D550" s="52">
        <f t="shared" si="8"/>
        <v>0.39288642751136632</v>
      </c>
    </row>
    <row r="551" spans="1:4" x14ac:dyDescent="0.3">
      <c r="A551" s="51">
        <v>265.5</v>
      </c>
      <c r="B551" s="50">
        <f>$V$4*Performance!$E$12*(1/A551)+Performance!$E$23*(1/Constraints!$V$4)*Constraints!A551</f>
        <v>0.4989025170035607</v>
      </c>
      <c r="C551" s="50">
        <f>$V$5*Performance!$E$12*(1/A551)+Performance!$E$23*(1/Constraints!$V$5)*Constraints!A551</f>
        <v>0.40031838023724065</v>
      </c>
      <c r="D551" s="52">
        <f t="shared" si="8"/>
        <v>0.39315871322365192</v>
      </c>
    </row>
    <row r="552" spans="1:4" x14ac:dyDescent="0.3">
      <c r="A552" s="51">
        <v>266</v>
      </c>
      <c r="B552" s="50">
        <f>$V$4*Performance!$E$12*(1/A552)+Performance!$E$23*(1/Constraints!$V$4)*Constraints!A552</f>
        <v>0.49983354568576266</v>
      </c>
      <c r="C552" s="50">
        <f>$V$5*Performance!$E$12*(1/A552)+Performance!$E$23*(1/Constraints!$V$5)*Constraints!A552</f>
        <v>0.40106162516983868</v>
      </c>
      <c r="D552" s="52">
        <f t="shared" si="8"/>
        <v>0.39343099893593753</v>
      </c>
    </row>
    <row r="553" spans="1:4" x14ac:dyDescent="0.3">
      <c r="A553" s="51">
        <v>266.5</v>
      </c>
      <c r="B553" s="50">
        <f>$V$4*Performance!$E$12*(1/A553)+Performance!$E$23*(1/Constraints!$V$4)*Constraints!A553</f>
        <v>0.5007645903455662</v>
      </c>
      <c r="C553" s="50">
        <f>$V$5*Performance!$E$12*(1/A553)+Performance!$E$23*(1/Constraints!$V$5)*Constraints!A553</f>
        <v>0.40180489006548159</v>
      </c>
      <c r="D553" s="52">
        <f t="shared" si="8"/>
        <v>0.39370328464822313</v>
      </c>
    </row>
    <row r="554" spans="1:4" x14ac:dyDescent="0.3">
      <c r="A554" s="51">
        <v>267</v>
      </c>
      <c r="B554" s="50">
        <f>$V$4*Performance!$E$12*(1/A554)+Performance!$E$23*(1/Constraints!$V$4)*Constraints!A554</f>
        <v>0.50169565089320944</v>
      </c>
      <c r="C554" s="50">
        <f>$V$5*Performance!$E$12*(1/A554)+Performance!$E$23*(1/Constraints!$V$5)*Constraints!A554</f>
        <v>0.4025481748120176</v>
      </c>
      <c r="D554" s="52">
        <f t="shared" si="8"/>
        <v>0.39397557036050868</v>
      </c>
    </row>
    <row r="555" spans="1:4" x14ac:dyDescent="0.3">
      <c r="A555" s="51">
        <v>267.5</v>
      </c>
      <c r="B555" s="50">
        <f>$V$4*Performance!$E$12*(1/A555)+Performance!$E$23*(1/Constraints!$V$4)*Constraints!A555</f>
        <v>0.50262672723960167</v>
      </c>
      <c r="C555" s="50">
        <f>$V$5*Performance!$E$12*(1/A555)+Performance!$E$23*(1/Constraints!$V$5)*Constraints!A555</f>
        <v>0.40329147929813325</v>
      </c>
      <c r="D555" s="52">
        <f t="shared" si="8"/>
        <v>0.39424785607279433</v>
      </c>
    </row>
    <row r="556" spans="1:4" x14ac:dyDescent="0.3">
      <c r="A556" s="51">
        <v>268</v>
      </c>
      <c r="B556" s="50">
        <f>$V$4*Performance!$E$12*(1/A556)+Performance!$E$23*(1/Constraints!$V$4)*Constraints!A556</f>
        <v>0.50355781929631716</v>
      </c>
      <c r="C556" s="50">
        <f>$V$5*Performance!$E$12*(1/A556)+Performance!$E$23*(1/Constraints!$V$5)*Constraints!A556</f>
        <v>0.40403480341334574</v>
      </c>
      <c r="D556" s="52">
        <f t="shared" si="8"/>
        <v>0.39452014178507988</v>
      </c>
    </row>
    <row r="557" spans="1:4" x14ac:dyDescent="0.3">
      <c r="A557" s="51">
        <v>268.5</v>
      </c>
      <c r="B557" s="50">
        <f>$V$4*Performance!$E$12*(1/A557)+Performance!$E$23*(1/Constraints!$V$4)*Constraints!A557</f>
        <v>0.50448892697558889</v>
      </c>
      <c r="C557" s="50">
        <f>$V$5*Performance!$E$12*(1/A557)+Performance!$E$23*(1/Constraints!$V$5)*Constraints!A557</f>
        <v>0.40477814704799536</v>
      </c>
      <c r="D557" s="52">
        <f t="shared" si="8"/>
        <v>0.39479242749736554</v>
      </c>
    </row>
    <row r="558" spans="1:4" x14ac:dyDescent="0.3">
      <c r="A558" s="51">
        <v>269</v>
      </c>
      <c r="B558" s="50">
        <f>$V$4*Performance!$E$12*(1/A558)+Performance!$E$23*(1/Constraints!$V$4)*Constraints!A558</f>
        <v>0.50542005019030178</v>
      </c>
      <c r="C558" s="50">
        <f>$V$5*Performance!$E$12*(1/A558)+Performance!$E$23*(1/Constraints!$V$5)*Constraints!A558</f>
        <v>0.40552151009323772</v>
      </c>
      <c r="D558" s="52">
        <f t="shared" si="8"/>
        <v>0.39506471320965109</v>
      </c>
    </row>
    <row r="559" spans="1:4" x14ac:dyDescent="0.3">
      <c r="A559" s="51">
        <v>269.5</v>
      </c>
      <c r="B559" s="50">
        <f>$V$4*Performance!$E$12*(1/A559)+Performance!$E$23*(1/Constraints!$V$4)*Constraints!A559</f>
        <v>0.50635118885398811</v>
      </c>
      <c r="C559" s="50">
        <f>$V$5*Performance!$E$12*(1/A559)+Performance!$E$23*(1/Constraints!$V$5)*Constraints!A559</f>
        <v>0.40626489244103597</v>
      </c>
      <c r="D559" s="52">
        <f t="shared" si="8"/>
        <v>0.39533699892193669</v>
      </c>
    </row>
    <row r="560" spans="1:4" x14ac:dyDescent="0.3">
      <c r="A560" s="51">
        <v>270</v>
      </c>
      <c r="B560" s="50">
        <f>$V$4*Performance!$E$12*(1/A560)+Performance!$E$23*(1/Constraints!$V$4)*Constraints!A560</f>
        <v>0.50728234288082008</v>
      </c>
      <c r="C560" s="50">
        <f>$V$5*Performance!$E$12*(1/A560)+Performance!$E$23*(1/Constraints!$V$5)*Constraints!A560</f>
        <v>0.40700829398415389</v>
      </c>
      <c r="D560" s="52">
        <f t="shared" si="8"/>
        <v>0.39560928463422229</v>
      </c>
    </row>
    <row r="561" spans="1:4" x14ac:dyDescent="0.3">
      <c r="A561" s="51">
        <v>270.5</v>
      </c>
      <c r="B561" s="50">
        <f>$V$4*Performance!$E$12*(1/A561)+Performance!$E$23*(1/Constraints!$V$4)*Constraints!A561</f>
        <v>0.50821351218560462</v>
      </c>
      <c r="C561" s="50">
        <f>$V$5*Performance!$E$12*(1/A561)+Performance!$E$23*(1/Constraints!$V$5)*Constraints!A561</f>
        <v>0.40775171461614784</v>
      </c>
      <c r="D561" s="52">
        <f t="shared" si="8"/>
        <v>0.39588157034650789</v>
      </c>
    </row>
    <row r="562" spans="1:4" x14ac:dyDescent="0.3">
      <c r="A562" s="51">
        <v>271</v>
      </c>
      <c r="B562" s="50">
        <f>$V$4*Performance!$E$12*(1/A562)+Performance!$E$23*(1/Constraints!$V$4)*Constraints!A562</f>
        <v>0.50914469668377749</v>
      </c>
      <c r="C562" s="50">
        <f>$V$5*Performance!$E$12*(1/A562)+Performance!$E$23*(1/Constraints!$V$5)*Constraints!A562</f>
        <v>0.40849515423135974</v>
      </c>
      <c r="D562" s="52">
        <f t="shared" si="8"/>
        <v>0.3961538560587935</v>
      </c>
    </row>
    <row r="563" spans="1:4" x14ac:dyDescent="0.3">
      <c r="A563" s="51">
        <v>271.5</v>
      </c>
      <c r="B563" s="50">
        <f>$V$4*Performance!$E$12*(1/A563)+Performance!$E$23*(1/Constraints!$V$4)*Constraints!A563</f>
        <v>0.51007589629139738</v>
      </c>
      <c r="C563" s="50">
        <f>$V$5*Performance!$E$12*(1/A563)+Performance!$E$23*(1/Constraints!$V$5)*Constraints!A563</f>
        <v>0.40923861272491008</v>
      </c>
      <c r="D563" s="52">
        <f t="shared" si="8"/>
        <v>0.3964261417710791</v>
      </c>
    </row>
    <row r="564" spans="1:4" x14ac:dyDescent="0.3">
      <c r="A564" s="51">
        <v>272</v>
      </c>
      <c r="B564" s="50">
        <f>$V$4*Performance!$E$12*(1/A564)+Performance!$E$23*(1/Constraints!$V$4)*Constraints!A564</f>
        <v>0.51100711092513984</v>
      </c>
      <c r="C564" s="50">
        <f>$V$5*Performance!$E$12*(1/A564)+Performance!$E$23*(1/Constraints!$V$5)*Constraints!A564</f>
        <v>0.40998208999269031</v>
      </c>
      <c r="D564" s="52">
        <f t="shared" si="8"/>
        <v>0.3966984274833647</v>
      </c>
    </row>
    <row r="565" spans="1:4" x14ac:dyDescent="0.3">
      <c r="A565" s="51">
        <v>272.5</v>
      </c>
      <c r="B565" s="50">
        <f>$V$4*Performance!$E$12*(1/A565)+Performance!$E$23*(1/Constraints!$V$4)*Constraints!A565</f>
        <v>0.51193834050229259</v>
      </c>
      <c r="C565" s="50">
        <f>$V$5*Performance!$E$12*(1/A565)+Performance!$E$23*(1/Constraints!$V$5)*Constraints!A565</f>
        <v>0.41072558593135605</v>
      </c>
      <c r="D565" s="52">
        <f t="shared" si="8"/>
        <v>0.39697071319565025</v>
      </c>
    </row>
    <row r="566" spans="1:4" x14ac:dyDescent="0.3">
      <c r="A566" s="51">
        <v>273</v>
      </c>
      <c r="B566" s="50">
        <f>$V$4*Performance!$E$12*(1/A566)+Performance!$E$23*(1/Constraints!$V$4)*Constraints!A566</f>
        <v>0.51286958494074897</v>
      </c>
      <c r="C566" s="50">
        <f>$V$5*Performance!$E$12*(1/A566)+Performance!$E$23*(1/Constraints!$V$5)*Constraints!A566</f>
        <v>0.41146910043832002</v>
      </c>
      <c r="D566" s="52">
        <f t="shared" si="8"/>
        <v>0.39724299890793591</v>
      </c>
    </row>
    <row r="567" spans="1:4" x14ac:dyDescent="0.3">
      <c r="A567" s="51">
        <v>273.5</v>
      </c>
      <c r="B567" s="50">
        <f>$V$4*Performance!$E$12*(1/A567)+Performance!$E$23*(1/Constraints!$V$4)*Constraints!A567</f>
        <v>0.51380084415900251</v>
      </c>
      <c r="C567" s="50">
        <f>$V$5*Performance!$E$12*(1/A567)+Performance!$E$23*(1/Constraints!$V$5)*Constraints!A567</f>
        <v>0.41221263341174508</v>
      </c>
      <c r="D567" s="52">
        <f t="shared" si="8"/>
        <v>0.39751528462022145</v>
      </c>
    </row>
    <row r="568" spans="1:4" x14ac:dyDescent="0.3">
      <c r="A568" s="51">
        <v>274</v>
      </c>
      <c r="B568" s="50">
        <f>$V$4*Performance!$E$12*(1/A568)+Performance!$E$23*(1/Constraints!$V$4)*Constraints!A568</f>
        <v>0.51473211807614205</v>
      </c>
      <c r="C568" s="50">
        <f>$V$5*Performance!$E$12*(1/A568)+Performance!$E$23*(1/Constraints!$V$5)*Constraints!A568</f>
        <v>0.41295618475053752</v>
      </c>
      <c r="D568" s="52">
        <f t="shared" si="8"/>
        <v>0.39778757033250711</v>
      </c>
    </row>
    <row r="569" spans="1:4" x14ac:dyDescent="0.3">
      <c r="A569" s="51">
        <v>274.5</v>
      </c>
      <c r="B569" s="50">
        <f>$V$4*Performance!$E$12*(1/A569)+Performance!$E$23*(1/Constraints!$V$4)*Constraints!A569</f>
        <v>0.51566340661184584</v>
      </c>
      <c r="C569" s="50">
        <f>$V$5*Performance!$E$12*(1/A569)+Performance!$E$23*(1/Constraints!$V$5)*Constraints!A569</f>
        <v>0.4136997543543402</v>
      </c>
      <c r="D569" s="52">
        <f t="shared" si="8"/>
        <v>0.39805985604479266</v>
      </c>
    </row>
    <row r="570" spans="1:4" x14ac:dyDescent="0.3">
      <c r="A570" s="51">
        <v>275</v>
      </c>
      <c r="B570" s="50">
        <f>$V$4*Performance!$E$12*(1/A570)+Performance!$E$23*(1/Constraints!$V$4)*Constraints!A570</f>
        <v>0.51659470968637622</v>
      </c>
      <c r="C570" s="50">
        <f>$V$5*Performance!$E$12*(1/A570)+Performance!$E$23*(1/Constraints!$V$5)*Constraints!A570</f>
        <v>0.41444334212352557</v>
      </c>
      <c r="D570" s="52">
        <f t="shared" si="8"/>
        <v>0.39833214175707826</v>
      </c>
    </row>
    <row r="571" spans="1:4" x14ac:dyDescent="0.3">
      <c r="A571" s="51">
        <v>275.5</v>
      </c>
      <c r="B571" s="50">
        <f>$V$4*Performance!$E$12*(1/A571)+Performance!$E$23*(1/Constraints!$V$4)*Constraints!A571</f>
        <v>0.51752602722057439</v>
      </c>
      <c r="C571" s="50">
        <f>$V$5*Performance!$E$12*(1/A571)+Performance!$E$23*(1/Constraints!$V$5)*Constraints!A571</f>
        <v>0.41518694795918981</v>
      </c>
      <c r="D571" s="52">
        <f t="shared" si="8"/>
        <v>0.39860442746936386</v>
      </c>
    </row>
    <row r="572" spans="1:4" x14ac:dyDescent="0.3">
      <c r="A572" s="51">
        <v>276</v>
      </c>
      <c r="B572" s="50">
        <f>$V$4*Performance!$E$12*(1/A572)+Performance!$E$23*(1/Constraints!$V$4)*Constraints!A572</f>
        <v>0.51845735913585522</v>
      </c>
      <c r="C572" s="50">
        <f>$V$5*Performance!$E$12*(1/A572)+Performance!$E$23*(1/Constraints!$V$5)*Constraints!A572</f>
        <v>0.41593057176314541</v>
      </c>
      <c r="D572" s="52">
        <f t="shared" si="8"/>
        <v>0.39887671318164947</v>
      </c>
    </row>
    <row r="573" spans="1:4" x14ac:dyDescent="0.3">
      <c r="A573" s="51">
        <v>276.5</v>
      </c>
      <c r="B573" s="50">
        <f>$V$4*Performance!$E$12*(1/A573)+Performance!$E$23*(1/Constraints!$V$4)*Constraints!A573</f>
        <v>0.51938870535420201</v>
      </c>
      <c r="C573" s="50">
        <f>$V$5*Performance!$E$12*(1/A573)+Performance!$E$23*(1/Constraints!$V$5)*Constraints!A573</f>
        <v>0.41667421343791516</v>
      </c>
      <c r="D573" s="52">
        <f t="shared" si="8"/>
        <v>0.39914899889393507</v>
      </c>
    </row>
    <row r="574" spans="1:4" x14ac:dyDescent="0.3">
      <c r="A574" s="51">
        <v>277</v>
      </c>
      <c r="B574" s="50">
        <f>$V$4*Performance!$E$12*(1/A574)+Performance!$E$23*(1/Constraints!$V$4)*Constraints!A574</f>
        <v>0.52032006579816137</v>
      </c>
      <c r="C574" s="50">
        <f>$V$5*Performance!$E$12*(1/A574)+Performance!$E$23*(1/Constraints!$V$5)*Constraints!A574</f>
        <v>0.41741787288672577</v>
      </c>
      <c r="D574" s="52">
        <f t="shared" si="8"/>
        <v>0.39942128460622062</v>
      </c>
    </row>
    <row r="575" spans="1:4" x14ac:dyDescent="0.3">
      <c r="A575" s="51">
        <v>277.5</v>
      </c>
      <c r="B575" s="50">
        <f>$V$4*Performance!$E$12*(1/A575)+Performance!$E$23*(1/Constraints!$V$4)*Constraints!A575</f>
        <v>0.52125144039083804</v>
      </c>
      <c r="C575" s="50">
        <f>$V$5*Performance!$E$12*(1/A575)+Performance!$E$23*(1/Constraints!$V$5)*Constraints!A575</f>
        <v>0.41816155001350136</v>
      </c>
      <c r="D575" s="52">
        <f t="shared" si="8"/>
        <v>0.39969357031850627</v>
      </c>
    </row>
    <row r="576" spans="1:4" x14ac:dyDescent="0.3">
      <c r="A576" s="51">
        <v>278</v>
      </c>
      <c r="B576" s="50">
        <f>$V$4*Performance!$E$12*(1/A576)+Performance!$E$23*(1/Constraints!$V$4)*Constraints!A576</f>
        <v>0.52218282905588997</v>
      </c>
      <c r="C576" s="50">
        <f>$V$5*Performance!$E$12*(1/A576)+Performance!$E$23*(1/Constraints!$V$5)*Constraints!A576</f>
        <v>0.41890524472285712</v>
      </c>
      <c r="D576" s="52">
        <f t="shared" si="8"/>
        <v>0.39996585603079182</v>
      </c>
    </row>
    <row r="577" spans="1:4" x14ac:dyDescent="0.3">
      <c r="A577" s="51">
        <v>278.5</v>
      </c>
      <c r="B577" s="50">
        <f>$V$4*Performance!$E$12*(1/A577)+Performance!$E$23*(1/Constraints!$V$4)*Constraints!A577</f>
        <v>0.52311423171752347</v>
      </c>
      <c r="C577" s="50">
        <f>$V$5*Performance!$E$12*(1/A577)+Performance!$E$23*(1/Constraints!$V$5)*Constraints!A577</f>
        <v>0.41964895692009346</v>
      </c>
      <c r="D577" s="52">
        <f t="shared" si="8"/>
        <v>0.40023814174307748</v>
      </c>
    </row>
    <row r="578" spans="1:4" x14ac:dyDescent="0.3">
      <c r="A578" s="51">
        <v>279</v>
      </c>
      <c r="B578" s="50">
        <f>$V$4*Performance!$E$12*(1/A578)+Performance!$E$23*(1/Constraints!$V$4)*Constraints!A578</f>
        <v>0.52404564830048805</v>
      </c>
      <c r="C578" s="50">
        <f>$V$5*Performance!$E$12*(1/A578)+Performance!$E$23*(1/Constraints!$V$5)*Constraints!A578</f>
        <v>0.4203926865111895</v>
      </c>
      <c r="D578" s="52">
        <f t="shared" si="8"/>
        <v>0.40051042745536303</v>
      </c>
    </row>
    <row r="579" spans="1:4" x14ac:dyDescent="0.3">
      <c r="A579" s="51">
        <v>279.5</v>
      </c>
      <c r="B579" s="50">
        <f>$V$4*Performance!$E$12*(1/A579)+Performance!$E$23*(1/Constraints!$V$4)*Constraints!A579</f>
        <v>0.52497707873007182</v>
      </c>
      <c r="C579" s="50">
        <f>$V$5*Performance!$E$12*(1/A579)+Performance!$E$23*(1/Constraints!$V$5)*Constraints!A579</f>
        <v>0.42113643340279699</v>
      </c>
      <c r="D579" s="52">
        <f t="shared" si="8"/>
        <v>0.40078271316764863</v>
      </c>
    </row>
    <row r="580" spans="1:4" x14ac:dyDescent="0.3">
      <c r="A580" s="51">
        <v>280</v>
      </c>
      <c r="B580" s="50">
        <f>$V$4*Performance!$E$12*(1/A580)+Performance!$E$23*(1/Constraints!$V$4)*Constraints!A580</f>
        <v>0.52590852293209644</v>
      </c>
      <c r="C580" s="50">
        <f>$V$5*Performance!$E$12*(1/A580)+Performance!$E$23*(1/Constraints!$V$5)*Constraints!A580</f>
        <v>0.42188019750223488</v>
      </c>
      <c r="D580" s="52">
        <f t="shared" si="8"/>
        <v>0.40105499887993423</v>
      </c>
    </row>
    <row r="581" spans="1:4" x14ac:dyDescent="0.3">
      <c r="A581" s="51">
        <v>280.5</v>
      </c>
      <c r="B581" s="50">
        <f>$V$4*Performance!$E$12*(1/A581)+Performance!$E$23*(1/Constraints!$V$4)*Constraints!A581</f>
        <v>0.5268399808329125</v>
      </c>
      <c r="C581" s="50">
        <f>$V$5*Performance!$E$12*(1/A581)+Performance!$E$23*(1/Constraints!$V$5)*Constraints!A581</f>
        <v>0.42262397871748242</v>
      </c>
      <c r="D581" s="52">
        <f t="shared" si="8"/>
        <v>0.40132728459221984</v>
      </c>
    </row>
    <row r="582" spans="1:4" x14ac:dyDescent="0.3">
      <c r="A582" s="51">
        <v>281</v>
      </c>
      <c r="B582" s="50">
        <f>$V$4*Performance!$E$12*(1/A582)+Performance!$E$23*(1/Constraints!$V$4)*Constraints!A582</f>
        <v>0.5277714523593946</v>
      </c>
      <c r="C582" s="50">
        <f>$V$5*Performance!$E$12*(1/A582)+Performance!$E$23*(1/Constraints!$V$5)*Constraints!A582</f>
        <v>0.42336777695717431</v>
      </c>
      <c r="D582" s="52">
        <f t="shared" si="8"/>
        <v>0.40159957030450544</v>
      </c>
    </row>
    <row r="583" spans="1:4" x14ac:dyDescent="0.3">
      <c r="A583" s="51">
        <v>281.5</v>
      </c>
      <c r="B583" s="50">
        <f>$V$4*Performance!$E$12*(1/A583)+Performance!$E$23*(1/Constraints!$V$4)*Constraints!A583</f>
        <v>0.52870293743893737</v>
      </c>
      <c r="C583" s="50">
        <f>$V$5*Performance!$E$12*(1/A583)+Performance!$E$23*(1/Constraints!$V$5)*Constraints!A583</f>
        <v>0.42411159213059407</v>
      </c>
      <c r="D583" s="52">
        <f t="shared" si="8"/>
        <v>0.40187185601679098</v>
      </c>
    </row>
    <row r="584" spans="1:4" x14ac:dyDescent="0.3">
      <c r="A584" s="51">
        <v>282</v>
      </c>
      <c r="B584" s="50">
        <f>$V$4*Performance!$E$12*(1/A584)+Performance!$E$23*(1/Constraints!$V$4)*Constraints!A584</f>
        <v>0.52963443599944982</v>
      </c>
      <c r="C584" s="50">
        <f>$V$5*Performance!$E$12*(1/A584)+Performance!$E$23*(1/Constraints!$V$5)*Constraints!A584</f>
        <v>0.42485542414766858</v>
      </c>
      <c r="D584" s="52">
        <f t="shared" si="8"/>
        <v>0.40214414172907664</v>
      </c>
    </row>
    <row r="585" spans="1:4" x14ac:dyDescent="0.3">
      <c r="A585" s="51">
        <v>282.5</v>
      </c>
      <c r="B585" s="50">
        <f>$V$4*Performance!$E$12*(1/A585)+Performance!$E$23*(1/Constraints!$V$4)*Constraints!A585</f>
        <v>0.53056594796935164</v>
      </c>
      <c r="C585" s="50">
        <f>$V$5*Performance!$E$12*(1/A585)+Performance!$E$23*(1/Constraints!$V$5)*Constraints!A585</f>
        <v>0.42559927291896266</v>
      </c>
      <c r="D585" s="52">
        <f t="shared" si="8"/>
        <v>0.40241642744136219</v>
      </c>
    </row>
    <row r="586" spans="1:4" x14ac:dyDescent="0.3">
      <c r="A586" s="51">
        <v>283</v>
      </c>
      <c r="B586" s="50">
        <f>$V$4*Performance!$E$12*(1/A586)+Performance!$E$23*(1/Constraints!$V$4)*Constraints!A586</f>
        <v>0.53149747327756847</v>
      </c>
      <c r="C586" s="50">
        <f>$V$5*Performance!$E$12*(1/A586)+Performance!$E$23*(1/Constraints!$V$5)*Constraints!A586</f>
        <v>0.42634313835567289</v>
      </c>
      <c r="D586" s="52">
        <f t="shared" si="8"/>
        <v>0.40268871315364785</v>
      </c>
    </row>
    <row r="587" spans="1:4" x14ac:dyDescent="0.3">
      <c r="A587" s="51">
        <v>283.5</v>
      </c>
      <c r="B587" s="50">
        <f>$V$4*Performance!$E$12*(1/A587)+Performance!$E$23*(1/Constraints!$V$4)*Constraints!A587</f>
        <v>0.53242901185352698</v>
      </c>
      <c r="C587" s="50">
        <f>$V$5*Performance!$E$12*(1/A587)+Performance!$E$23*(1/Constraints!$V$5)*Constraints!A587</f>
        <v>0.42708702036962254</v>
      </c>
      <c r="D587" s="52">
        <f t="shared" si="8"/>
        <v>0.4029609988659334</v>
      </c>
    </row>
    <row r="588" spans="1:4" x14ac:dyDescent="0.3">
      <c r="A588" s="51">
        <v>284</v>
      </c>
      <c r="B588" s="50">
        <f>$V$4*Performance!$E$12*(1/A588)+Performance!$E$23*(1/Constraints!$V$4)*Constraints!A588</f>
        <v>0.53336056362715112</v>
      </c>
      <c r="C588" s="50">
        <f>$V$5*Performance!$E$12*(1/A588)+Performance!$E$23*(1/Constraints!$V$5)*Constraints!A588</f>
        <v>0.42783091887325581</v>
      </c>
      <c r="D588" s="52">
        <f t="shared" si="8"/>
        <v>0.403233284578219</v>
      </c>
    </row>
    <row r="589" spans="1:4" x14ac:dyDescent="0.3">
      <c r="A589" s="51">
        <v>284.5</v>
      </c>
      <c r="B589" s="50">
        <f>$V$4*Performance!$E$12*(1/A589)+Performance!$E$23*(1/Constraints!$V$4)*Constraints!A589</f>
        <v>0.53429212852885766</v>
      </c>
      <c r="C589" s="50">
        <f>$V$5*Performance!$E$12*(1/A589)+Performance!$E$23*(1/Constraints!$V$5)*Constraints!A589</f>
        <v>0.42857483377963229</v>
      </c>
      <c r="D589" s="52">
        <f t="shared" si="8"/>
        <v>0.4035055702905046</v>
      </c>
    </row>
    <row r="590" spans="1:4" x14ac:dyDescent="0.3">
      <c r="A590" s="51">
        <v>285</v>
      </c>
      <c r="B590" s="50">
        <f>$V$4*Performance!$E$12*(1/A590)+Performance!$E$23*(1/Constraints!$V$4)*Constraints!A590</f>
        <v>0.53522370648955109</v>
      </c>
      <c r="C590" s="50">
        <f>$V$5*Performance!$E$12*(1/A590)+Performance!$E$23*(1/Constraints!$V$5)*Constraints!A590</f>
        <v>0.42931876500242172</v>
      </c>
      <c r="D590" s="52">
        <f t="shared" si="8"/>
        <v>0.4037778560027902</v>
      </c>
    </row>
    <row r="591" spans="1:4" x14ac:dyDescent="0.3">
      <c r="A591" s="51">
        <v>285.5</v>
      </c>
      <c r="B591" s="50">
        <f>$V$4*Performance!$E$12*(1/A591)+Performance!$E$23*(1/Constraints!$V$4)*Constraints!A591</f>
        <v>0.5361552974406204</v>
      </c>
      <c r="C591" s="50">
        <f>$V$5*Performance!$E$12*(1/A591)+Performance!$E$23*(1/Constraints!$V$5)*Constraints!A591</f>
        <v>0.43006271245589872</v>
      </c>
      <c r="D591" s="52">
        <f t="shared" si="8"/>
        <v>0.40405014171507581</v>
      </c>
    </row>
    <row r="592" spans="1:4" x14ac:dyDescent="0.3">
      <c r="A592" s="51">
        <v>286</v>
      </c>
      <c r="B592" s="50">
        <f>$V$4*Performance!$E$12*(1/A592)+Performance!$E$23*(1/Constraints!$V$4)*Constraints!A592</f>
        <v>0.53708690131393444</v>
      </c>
      <c r="C592" s="50">
        <f>$V$5*Performance!$E$12*(1/A592)+Performance!$E$23*(1/Constraints!$V$5)*Constraints!A592</f>
        <v>0.43080667605493728</v>
      </c>
      <c r="D592" s="52">
        <f t="shared" si="8"/>
        <v>0.40432242742736141</v>
      </c>
    </row>
    <row r="593" spans="1:4" x14ac:dyDescent="0.3">
      <c r="A593" s="51">
        <v>286.5</v>
      </c>
      <c r="B593" s="50">
        <f>$V$4*Performance!$E$12*(1/A593)+Performance!$E$23*(1/Constraints!$V$4)*Constraints!A593</f>
        <v>0.5380185180418372</v>
      </c>
      <c r="C593" s="50">
        <f>$V$5*Performance!$E$12*(1/A593)+Performance!$E$23*(1/Constraints!$V$5)*Constraints!A593</f>
        <v>0.43155065571500562</v>
      </c>
      <c r="D593" s="52">
        <f t="shared" si="8"/>
        <v>0.40459471313964701</v>
      </c>
    </row>
    <row r="594" spans="1:4" x14ac:dyDescent="0.3">
      <c r="A594" s="51">
        <v>287</v>
      </c>
      <c r="B594" s="50">
        <f>$V$4*Performance!$E$12*(1/A594)+Performance!$E$23*(1/Constraints!$V$4)*Constraints!A594</f>
        <v>0.53895014755714454</v>
      </c>
      <c r="C594" s="50">
        <f>$V$5*Performance!$E$12*(1/A594)+Performance!$E$23*(1/Constraints!$V$5)*Constraints!A594</f>
        <v>0.43229465135216122</v>
      </c>
      <c r="D594" s="52">
        <f t="shared" si="8"/>
        <v>0.40486699885193256</v>
      </c>
    </row>
    <row r="595" spans="1:4" x14ac:dyDescent="0.3">
      <c r="A595" s="51">
        <v>287.5</v>
      </c>
      <c r="B595" s="50">
        <f>$V$4*Performance!$E$12*(1/A595)+Performance!$E$23*(1/Constraints!$V$4)*Constraints!A595</f>
        <v>0.53988178979313972</v>
      </c>
      <c r="C595" s="50">
        <f>$V$5*Performance!$E$12*(1/A595)+Performance!$E$23*(1/Constraints!$V$5)*Constraints!A595</f>
        <v>0.43303866288304516</v>
      </c>
      <c r="D595" s="52">
        <f t="shared" si="8"/>
        <v>0.40513928456421822</v>
      </c>
    </row>
    <row r="596" spans="1:4" x14ac:dyDescent="0.3">
      <c r="A596" s="51">
        <v>288</v>
      </c>
      <c r="B596" s="50">
        <f>$V$4*Performance!$E$12*(1/A596)+Performance!$E$23*(1/Constraints!$V$4)*Constraints!A596</f>
        <v>0.54081344468356884</v>
      </c>
      <c r="C596" s="50">
        <f>$V$5*Performance!$E$12*(1/A596)+Performance!$E$23*(1/Constraints!$V$5)*Constraints!A596</f>
        <v>0.43378269022487775</v>
      </c>
      <c r="D596" s="52">
        <f t="shared" si="8"/>
        <v>0.40541157027650376</v>
      </c>
    </row>
    <row r="597" spans="1:4" x14ac:dyDescent="0.3">
      <c r="A597" s="51">
        <v>288.5</v>
      </c>
      <c r="B597" s="50">
        <f>$V$4*Performance!$E$12*(1/A597)+Performance!$E$23*(1/Constraints!$V$4)*Constraints!A597</f>
        <v>0.54174511216263777</v>
      </c>
      <c r="C597" s="50">
        <f>$V$5*Performance!$E$12*(1/A597)+Performance!$E$23*(1/Constraints!$V$5)*Constraints!A597</f>
        <v>0.43452673329545299</v>
      </c>
      <c r="D597" s="52">
        <f t="shared" si="8"/>
        <v>0.40568385598878942</v>
      </c>
    </row>
    <row r="598" spans="1:4" x14ac:dyDescent="0.3">
      <c r="A598" s="51">
        <v>289</v>
      </c>
      <c r="B598" s="50">
        <f>$V$4*Performance!$E$12*(1/A598)+Performance!$E$23*(1/Constraints!$V$4)*Constraints!A598</f>
        <v>0.54267679216500764</v>
      </c>
      <c r="C598" s="50">
        <f>$V$5*Performance!$E$12*(1/A598)+Performance!$E$23*(1/Constraints!$V$5)*Constraints!A598</f>
        <v>0.43527079201313373</v>
      </c>
      <c r="D598" s="52">
        <f t="shared" si="8"/>
        <v>0.40595614170107497</v>
      </c>
    </row>
    <row r="599" spans="1:4" x14ac:dyDescent="0.3">
      <c r="A599" s="51">
        <v>289.5</v>
      </c>
      <c r="B599" s="50">
        <f>$V$4*Performance!$E$12*(1/A599)+Performance!$E$23*(1/Constraints!$V$4)*Constraints!A599</f>
        <v>0.5436084846257907</v>
      </c>
      <c r="C599" s="50">
        <f>$V$5*Performance!$E$12*(1/A599)+Performance!$E$23*(1/Constraints!$V$5)*Constraints!A599</f>
        <v>0.43601486629684699</v>
      </c>
      <c r="D599" s="52">
        <f t="shared" ref="D599:D662" si="9">1.21/(9.8*$N$7*$N$8*$N$5)*A599+0.605/$N$8*($N$11-$N$6*$N$10)+$N$6</f>
        <v>0.40622842741336057</v>
      </c>
    </row>
    <row r="600" spans="1:4" x14ac:dyDescent="0.3">
      <c r="A600" s="51">
        <v>290</v>
      </c>
      <c r="B600" s="50">
        <f>$V$4*Performance!$E$12*(1/A600)+Performance!$E$23*(1/Constraints!$V$4)*Constraints!A600</f>
        <v>0.54454018948054705</v>
      </c>
      <c r="C600" s="50">
        <f>$V$5*Performance!$E$12*(1/A600)+Performance!$E$23*(1/Constraints!$V$5)*Constraints!A600</f>
        <v>0.43675895606607879</v>
      </c>
      <c r="D600" s="52">
        <f t="shared" si="9"/>
        <v>0.40650071312564617</v>
      </c>
    </row>
    <row r="601" spans="1:4" x14ac:dyDescent="0.3">
      <c r="A601" s="51">
        <v>290.5</v>
      </c>
      <c r="B601" s="50">
        <f>$V$4*Performance!$E$12*(1/A601)+Performance!$E$23*(1/Constraints!$V$4)*Constraints!A601</f>
        <v>0.54547190666528012</v>
      </c>
      <c r="C601" s="50">
        <f>$V$5*Performance!$E$12*(1/A601)+Performance!$E$23*(1/Constraints!$V$5)*Constraints!A601</f>
        <v>0.43750306124086935</v>
      </c>
      <c r="D601" s="52">
        <f t="shared" si="9"/>
        <v>0.40677299883793178</v>
      </c>
    </row>
    <row r="602" spans="1:4" x14ac:dyDescent="0.3">
      <c r="A602" s="51">
        <v>291</v>
      </c>
      <c r="B602" s="50">
        <f>$V$4*Performance!$E$12*(1/A602)+Performance!$E$23*(1/Constraints!$V$4)*Constraints!A602</f>
        <v>0.54640363611643339</v>
      </c>
      <c r="C602" s="50">
        <f>$V$5*Performance!$E$12*(1/A602)+Performance!$E$23*(1/Constraints!$V$5)*Constraints!A602</f>
        <v>0.43824718174180877</v>
      </c>
      <c r="D602" s="52">
        <f t="shared" si="9"/>
        <v>0.40704528455021738</v>
      </c>
    </row>
    <row r="603" spans="1:4" x14ac:dyDescent="0.3">
      <c r="A603" s="51">
        <v>291.5</v>
      </c>
      <c r="B603" s="50">
        <f>$V$4*Performance!$E$12*(1/A603)+Performance!$E$23*(1/Constraints!$V$4)*Constraints!A603</f>
        <v>0.54733537777088648</v>
      </c>
      <c r="C603" s="50">
        <f>$V$5*Performance!$E$12*(1/A603)+Performance!$E$23*(1/Constraints!$V$5)*Constraints!A603</f>
        <v>0.43899131749003173</v>
      </c>
      <c r="D603" s="52">
        <f t="shared" si="9"/>
        <v>0.40731757026250293</v>
      </c>
    </row>
    <row r="604" spans="1:4" x14ac:dyDescent="0.3">
      <c r="A604" s="51">
        <v>292</v>
      </c>
      <c r="B604" s="50">
        <f>$V$4*Performance!$E$12*(1/A604)+Performance!$E$23*(1/Constraints!$V$4)*Constraints!A604</f>
        <v>0.54826713156595097</v>
      </c>
      <c r="C604" s="50">
        <f>$V$5*Performance!$E$12*(1/A604)+Performance!$E$23*(1/Constraints!$V$5)*Constraints!A604</f>
        <v>0.439735468407213</v>
      </c>
      <c r="D604" s="52">
        <f t="shared" si="9"/>
        <v>0.40758985597478858</v>
      </c>
    </row>
    <row r="605" spans="1:4" x14ac:dyDescent="0.3">
      <c r="A605" s="51">
        <v>292.5</v>
      </c>
      <c r="B605" s="50">
        <f>$V$4*Performance!$E$12*(1/A605)+Performance!$E$23*(1/Constraints!$V$4)*Constraints!A605</f>
        <v>0.54919889743936734</v>
      </c>
      <c r="C605" s="50">
        <f>$V$5*Performance!$E$12*(1/A605)+Performance!$E$23*(1/Constraints!$V$5)*Constraints!A605</f>
        <v>0.44047963441556326</v>
      </c>
      <c r="D605" s="52">
        <f t="shared" si="9"/>
        <v>0.40786214168707413</v>
      </c>
    </row>
    <row r="606" spans="1:4" x14ac:dyDescent="0.3">
      <c r="A606" s="51">
        <v>293</v>
      </c>
      <c r="B606" s="50">
        <f>$V$4*Performance!$E$12*(1/A606)+Performance!$E$23*(1/Constraints!$V$4)*Constraints!A606</f>
        <v>0.55013067532930138</v>
      </c>
      <c r="C606" s="50">
        <f>$V$5*Performance!$E$12*(1/A606)+Performance!$E$23*(1/Constraints!$V$5)*Constraints!A606</f>
        <v>0.44122381543782385</v>
      </c>
      <c r="D606" s="52">
        <f t="shared" si="9"/>
        <v>0.40813442739935979</v>
      </c>
    </row>
    <row r="607" spans="1:4" x14ac:dyDescent="0.3">
      <c r="A607" s="51">
        <v>293.5</v>
      </c>
      <c r="B607" s="50">
        <f>$V$4*Performance!$E$12*(1/A607)+Performance!$E$23*(1/Constraints!$V$4)*Constraints!A607</f>
        <v>0.55106246517433943</v>
      </c>
      <c r="C607" s="50">
        <f>$V$5*Performance!$E$12*(1/A607)+Performance!$E$23*(1/Constraints!$V$5)*Constraints!A607</f>
        <v>0.44196801139726261</v>
      </c>
      <c r="D607" s="52">
        <f t="shared" si="9"/>
        <v>0.40840671311164534</v>
      </c>
    </row>
    <row r="608" spans="1:4" x14ac:dyDescent="0.3">
      <c r="A608" s="51">
        <v>294</v>
      </c>
      <c r="B608" s="50">
        <f>$V$4*Performance!$E$12*(1/A608)+Performance!$E$23*(1/Constraints!$V$4)*Constraints!A608</f>
        <v>0.55199426691348619</v>
      </c>
      <c r="C608" s="50">
        <f>$V$5*Performance!$E$12*(1/A608)+Performance!$E$23*(1/Constraints!$V$5)*Constraints!A608</f>
        <v>0.44271222221766965</v>
      </c>
      <c r="D608" s="52">
        <f t="shared" si="9"/>
        <v>0.40867899882393094</v>
      </c>
    </row>
    <row r="609" spans="1:4" x14ac:dyDescent="0.3">
      <c r="A609" s="51">
        <v>294.5</v>
      </c>
      <c r="B609" s="50">
        <f>$V$4*Performance!$E$12*(1/A609)+Performance!$E$23*(1/Constraints!$V$4)*Constraints!A609</f>
        <v>0.55292608048616065</v>
      </c>
      <c r="C609" s="50">
        <f>$V$5*Performance!$E$12*(1/A609)+Performance!$E$23*(1/Constraints!$V$5)*Constraints!A609</f>
        <v>0.44345644782335225</v>
      </c>
      <c r="D609" s="52">
        <f t="shared" si="9"/>
        <v>0.40895128453621654</v>
      </c>
    </row>
    <row r="610" spans="1:4" x14ac:dyDescent="0.3">
      <c r="A610" s="51">
        <v>295</v>
      </c>
      <c r="B610" s="50">
        <f>$V$4*Performance!$E$12*(1/A610)+Performance!$E$23*(1/Constraints!$V$4)*Constraints!A610</f>
        <v>0.55385790583219219</v>
      </c>
      <c r="C610" s="50">
        <f>$V$5*Performance!$E$12*(1/A610)+Performance!$E$23*(1/Constraints!$V$5)*Constraints!A610</f>
        <v>0.44420068813913122</v>
      </c>
      <c r="D610" s="52">
        <f t="shared" si="9"/>
        <v>0.40922357024850214</v>
      </c>
    </row>
    <row r="611" spans="1:4" x14ac:dyDescent="0.3">
      <c r="A611" s="51">
        <v>295.5</v>
      </c>
      <c r="B611" s="50">
        <f>$V$4*Performance!$E$12*(1/A611)+Performance!$E$23*(1/Constraints!$V$4)*Constraints!A611</f>
        <v>0.55478974289181748</v>
      </c>
      <c r="C611" s="50">
        <f>$V$5*Performance!$E$12*(1/A611)+Performance!$E$23*(1/Constraints!$V$5)*Constraints!A611</f>
        <v>0.44494494309033589</v>
      </c>
      <c r="D611" s="52">
        <f t="shared" si="9"/>
        <v>0.40949585596078775</v>
      </c>
    </row>
    <row r="612" spans="1:4" x14ac:dyDescent="0.3">
      <c r="A612" s="51">
        <v>296</v>
      </c>
      <c r="B612" s="50">
        <f>$V$4*Performance!$E$12*(1/A612)+Performance!$E$23*(1/Constraints!$V$4)*Constraints!A612</f>
        <v>0.55572159160567736</v>
      </c>
      <c r="C612" s="50">
        <f>$V$5*Performance!$E$12*(1/A612)+Performance!$E$23*(1/Constraints!$V$5)*Constraints!A612</f>
        <v>0.4456892126028002</v>
      </c>
      <c r="D612" s="52">
        <f t="shared" si="9"/>
        <v>0.40976814167307329</v>
      </c>
    </row>
    <row r="613" spans="1:4" x14ac:dyDescent="0.3">
      <c r="A613" s="51">
        <v>296.5</v>
      </c>
      <c r="B613" s="50">
        <f>$V$4*Performance!$E$12*(1/A613)+Performance!$E$23*(1/Constraints!$V$4)*Constraints!A613</f>
        <v>0.55665345191481252</v>
      </c>
      <c r="C613" s="50">
        <f>$V$5*Performance!$E$12*(1/A613)+Performance!$E$23*(1/Constraints!$V$5)*Constraints!A613</f>
        <v>0.44643349660285858</v>
      </c>
      <c r="D613" s="52">
        <f t="shared" si="9"/>
        <v>0.41004042738535895</v>
      </c>
    </row>
    <row r="614" spans="1:4" x14ac:dyDescent="0.3">
      <c r="A614" s="51">
        <v>297</v>
      </c>
      <c r="B614" s="50">
        <f>$V$4*Performance!$E$12*(1/A614)+Performance!$E$23*(1/Constraints!$V$4)*Constraints!A614</f>
        <v>0.55758532376066106</v>
      </c>
      <c r="C614" s="50">
        <f>$V$5*Performance!$E$12*(1/A614)+Performance!$E$23*(1/Constraints!$V$5)*Constraints!A614</f>
        <v>0.44717779501734128</v>
      </c>
      <c r="D614" s="52">
        <f t="shared" si="9"/>
        <v>0.4103127130976445</v>
      </c>
    </row>
    <row r="615" spans="1:4" x14ac:dyDescent="0.3">
      <c r="A615" s="51">
        <v>297.5</v>
      </c>
      <c r="B615" s="50">
        <f>$V$4*Performance!$E$12*(1/A615)+Performance!$E$23*(1/Constraints!$V$4)*Constraints!A615</f>
        <v>0.55851720708505481</v>
      </c>
      <c r="C615" s="50">
        <f>$V$5*Performance!$E$12*(1/A615)+Performance!$E$23*(1/Constraints!$V$5)*Constraints!A615</f>
        <v>0.4479221077735705</v>
      </c>
      <c r="D615" s="52">
        <f t="shared" si="9"/>
        <v>0.41058499880993016</v>
      </c>
    </row>
    <row r="616" spans="1:4" x14ac:dyDescent="0.3">
      <c r="A616" s="51">
        <v>298</v>
      </c>
      <c r="B616" s="50">
        <f>$V$4*Performance!$E$12*(1/A616)+Performance!$E$23*(1/Constraints!$V$4)*Constraints!A616</f>
        <v>0.55944910183021557</v>
      </c>
      <c r="C616" s="50">
        <f>$V$5*Performance!$E$12*(1/A616)+Performance!$E$23*(1/Constraints!$V$5)*Constraints!A616</f>
        <v>0.44866643479935631</v>
      </c>
      <c r="D616" s="52">
        <f t="shared" si="9"/>
        <v>0.4108572845222157</v>
      </c>
    </row>
    <row r="617" spans="1:4" x14ac:dyDescent="0.3">
      <c r="A617" s="51">
        <v>298.5</v>
      </c>
      <c r="B617" s="50">
        <f>$V$4*Performance!$E$12*(1/A617)+Performance!$E$23*(1/Constraints!$V$4)*Constraints!A617</f>
        <v>0.56038100793875278</v>
      </c>
      <c r="C617" s="50">
        <f>$V$5*Performance!$E$12*(1/A617)+Performance!$E$23*(1/Constraints!$V$5)*Constraints!A617</f>
        <v>0.44941077602299234</v>
      </c>
      <c r="D617" s="52">
        <f t="shared" si="9"/>
        <v>0.41112957023450131</v>
      </c>
    </row>
    <row r="618" spans="1:4" x14ac:dyDescent="0.3">
      <c r="A618" s="51">
        <v>299</v>
      </c>
      <c r="B618" s="50">
        <f>$V$4*Performance!$E$12*(1/A618)+Performance!$E$23*(1/Constraints!$V$4)*Constraints!A618</f>
        <v>0.56131292535365962</v>
      </c>
      <c r="C618" s="50">
        <f>$V$5*Performance!$E$12*(1/A618)+Performance!$E$23*(1/Constraints!$V$5)*Constraints!A618</f>
        <v>0.45015513137325192</v>
      </c>
      <c r="D618" s="52">
        <f t="shared" si="9"/>
        <v>0.41140185594678691</v>
      </c>
    </row>
    <row r="619" spans="1:4" x14ac:dyDescent="0.3">
      <c r="A619" s="51">
        <v>299.5</v>
      </c>
      <c r="B619" s="50">
        <f>$V$4*Performance!$E$12*(1/A619)+Performance!$E$23*(1/Constraints!$V$4)*Constraints!A619</f>
        <v>0.56224485401830959</v>
      </c>
      <c r="C619" s="50">
        <f>$V$5*Performance!$E$12*(1/A619)+Performance!$E$23*(1/Constraints!$V$5)*Constraints!A619</f>
        <v>0.45089950077938407</v>
      </c>
      <c r="D619" s="52">
        <f t="shared" si="9"/>
        <v>0.41167414165907251</v>
      </c>
    </row>
    <row r="620" spans="1:4" x14ac:dyDescent="0.3">
      <c r="A620" s="51">
        <v>300</v>
      </c>
      <c r="B620" s="50">
        <f>$V$4*Performance!$E$12*(1/A620)+Performance!$E$23*(1/Constraints!$V$4)*Constraints!A620</f>
        <v>0.56317679387645414</v>
      </c>
      <c r="C620" s="50">
        <f>$V$5*Performance!$E$12*(1/A620)+Performance!$E$23*(1/Constraints!$V$5)*Constraints!A620</f>
        <v>0.45164388417110934</v>
      </c>
      <c r="D620" s="52">
        <f t="shared" si="9"/>
        <v>0.41194642737135811</v>
      </c>
    </row>
    <row r="621" spans="1:4" x14ac:dyDescent="0.3">
      <c r="A621" s="51">
        <v>300.5</v>
      </c>
      <c r="B621" s="50">
        <f>$V$4*Performance!$E$12*(1/A621)+Performance!$E$23*(1/Constraints!$V$4)*Constraints!A621</f>
        <v>0.56410874487221896</v>
      </c>
      <c r="C621" s="50">
        <f>$V$5*Performance!$E$12*(1/A621)+Performance!$E$23*(1/Constraints!$V$5)*Constraints!A621</f>
        <v>0.45238828147861615</v>
      </c>
      <c r="D621" s="52">
        <f t="shared" si="9"/>
        <v>0.41221871308364372</v>
      </c>
    </row>
    <row r="622" spans="1:4" x14ac:dyDescent="0.3">
      <c r="A622" s="51">
        <v>301</v>
      </c>
      <c r="B622" s="50">
        <f>$V$4*Performance!$E$12*(1/A622)+Performance!$E$23*(1/Constraints!$V$4)*Constraints!A622</f>
        <v>0.56504070695010078</v>
      </c>
      <c r="C622" s="50">
        <f>$V$5*Performance!$E$12*(1/A622)+Performance!$E$23*(1/Constraints!$V$5)*Constraints!A622</f>
        <v>0.45313269263255684</v>
      </c>
      <c r="D622" s="52">
        <f t="shared" si="9"/>
        <v>0.41249099879592932</v>
      </c>
    </row>
    <row r="623" spans="1:4" x14ac:dyDescent="0.3">
      <c r="A623" s="51">
        <v>301.5</v>
      </c>
      <c r="B623" s="50">
        <f>$V$4*Performance!$E$12*(1/A623)+Performance!$E$23*(1/Constraints!$V$4)*Constraints!A623</f>
        <v>0.56597268005496482</v>
      </c>
      <c r="C623" s="50">
        <f>$V$5*Performance!$E$12*(1/A623)+Performance!$E$23*(1/Constraints!$V$5)*Constraints!A623</f>
        <v>0.45387711756404353</v>
      </c>
      <c r="D623" s="52">
        <f t="shared" si="9"/>
        <v>0.41276328450821487</v>
      </c>
    </row>
    <row r="624" spans="1:4" x14ac:dyDescent="0.3">
      <c r="A624" s="51">
        <v>302</v>
      </c>
      <c r="B624" s="50">
        <f>$V$4*Performance!$E$12*(1/A624)+Performance!$E$23*(1/Constraints!$V$4)*Constraints!A624</f>
        <v>0.56690466413204144</v>
      </c>
      <c r="C624" s="50">
        <f>$V$5*Performance!$E$12*(1/A624)+Performance!$E$23*(1/Constraints!$V$5)*Constraints!A624</f>
        <v>0.45462155620464484</v>
      </c>
      <c r="D624" s="52">
        <f t="shared" si="9"/>
        <v>0.41303557022050053</v>
      </c>
    </row>
    <row r="625" spans="1:4" x14ac:dyDescent="0.3">
      <c r="A625" s="51">
        <v>302.5</v>
      </c>
      <c r="B625" s="50">
        <f>$V$4*Performance!$E$12*(1/A625)+Performance!$E$23*(1/Constraints!$V$4)*Constraints!A625</f>
        <v>0.5678366591269226</v>
      </c>
      <c r="C625" s="50">
        <f>$V$5*Performance!$E$12*(1/A625)+Performance!$E$23*(1/Constraints!$V$5)*Constraints!A625</f>
        <v>0.45536600848638159</v>
      </c>
      <c r="D625" s="52">
        <f t="shared" si="9"/>
        <v>0.41330785593278607</v>
      </c>
    </row>
    <row r="626" spans="1:4" x14ac:dyDescent="0.3">
      <c r="A626" s="51">
        <v>303</v>
      </c>
      <c r="B626" s="50">
        <f>$V$4*Performance!$E$12*(1/A626)+Performance!$E$23*(1/Constraints!$V$4)*Constraints!A626</f>
        <v>0.56876866498556011</v>
      </c>
      <c r="C626" s="50">
        <f>$V$5*Performance!$E$12*(1/A626)+Performance!$E$23*(1/Constraints!$V$5)*Constraints!A626</f>
        <v>0.45611047434172342</v>
      </c>
      <c r="D626" s="52">
        <f t="shared" si="9"/>
        <v>0.41358014164507173</v>
      </c>
    </row>
    <row r="627" spans="1:4" x14ac:dyDescent="0.3">
      <c r="A627" s="51">
        <v>303.5</v>
      </c>
      <c r="B627" s="50">
        <f>$V$4*Performance!$E$12*(1/A627)+Performance!$E$23*(1/Constraints!$V$4)*Constraints!A627</f>
        <v>0.56970068165426146</v>
      </c>
      <c r="C627" s="50">
        <f>$V$5*Performance!$E$12*(1/A627)+Performance!$E$23*(1/Constraints!$V$5)*Constraints!A627</f>
        <v>0.45685495370358503</v>
      </c>
      <c r="D627" s="52">
        <f t="shared" si="9"/>
        <v>0.41385242735735728</v>
      </c>
    </row>
    <row r="628" spans="1:4" x14ac:dyDescent="0.3">
      <c r="A628" s="51">
        <v>304</v>
      </c>
      <c r="B628" s="50">
        <f>$V$4*Performance!$E$12*(1/A628)+Performance!$E$23*(1/Constraints!$V$4)*Constraints!A628</f>
        <v>0.57063270907968744</v>
      </c>
      <c r="C628" s="50">
        <f>$V$5*Performance!$E$12*(1/A628)+Performance!$E$23*(1/Constraints!$V$5)*Constraints!A628</f>
        <v>0.45759944650532236</v>
      </c>
      <c r="D628" s="52">
        <f t="shared" si="9"/>
        <v>0.41412471306964288</v>
      </c>
    </row>
    <row r="629" spans="1:4" x14ac:dyDescent="0.3">
      <c r="A629" s="51">
        <v>304.5</v>
      </c>
      <c r="B629" s="50">
        <f>$V$4*Performance!$E$12*(1/A629)+Performance!$E$23*(1/Constraints!$V$4)*Constraints!A629</f>
        <v>0.57156474720884953</v>
      </c>
      <c r="C629" s="50">
        <f>$V$5*Performance!$E$12*(1/A629)+Performance!$E$23*(1/Constraints!$V$5)*Constraints!A629</f>
        <v>0.45834395268072908</v>
      </c>
      <c r="D629" s="52">
        <f t="shared" si="9"/>
        <v>0.41439699878192848</v>
      </c>
    </row>
    <row r="630" spans="1:4" x14ac:dyDescent="0.3">
      <c r="A630" s="51">
        <v>305</v>
      </c>
      <c r="B630" s="50">
        <f>$V$4*Performance!$E$12*(1/A630)+Performance!$E$23*(1/Constraints!$V$4)*Constraints!A630</f>
        <v>0.57249679598910608</v>
      </c>
      <c r="C630" s="50">
        <f>$V$5*Performance!$E$12*(1/A630)+Performance!$E$23*(1/Constraints!$V$5)*Constraints!A630</f>
        <v>0.45908847216403315</v>
      </c>
      <c r="D630" s="52">
        <f t="shared" si="9"/>
        <v>0.41466928449421409</v>
      </c>
    </row>
    <row r="631" spans="1:4" x14ac:dyDescent="0.3">
      <c r="A631" s="51">
        <v>305.5</v>
      </c>
      <c r="B631" s="50">
        <f>$V$4*Performance!$E$12*(1/A631)+Performance!$E$23*(1/Constraints!$V$4)*Constraints!A631</f>
        <v>0.57342885536816046</v>
      </c>
      <c r="C631" s="50">
        <f>$V$5*Performance!$E$12*(1/A631)+Performance!$E$23*(1/Constraints!$V$5)*Constraints!A631</f>
        <v>0.45983300488989298</v>
      </c>
      <c r="D631" s="52">
        <f t="shared" si="9"/>
        <v>0.41494157020649969</v>
      </c>
    </row>
    <row r="632" spans="1:4" x14ac:dyDescent="0.3">
      <c r="A632" s="51">
        <v>306</v>
      </c>
      <c r="B632" s="50">
        <f>$V$4*Performance!$E$12*(1/A632)+Performance!$E$23*(1/Constraints!$V$4)*Constraints!A632</f>
        <v>0.57436092529405802</v>
      </c>
      <c r="C632" s="50">
        <f>$V$5*Performance!$E$12*(1/A632)+Performance!$E$23*(1/Constraints!$V$5)*Constraints!A632</f>
        <v>0.46057755079339396</v>
      </c>
      <c r="D632" s="52">
        <f t="shared" si="9"/>
        <v>0.41521385591878524</v>
      </c>
    </row>
    <row r="633" spans="1:4" x14ac:dyDescent="0.3">
      <c r="A633" s="51">
        <v>306.5</v>
      </c>
      <c r="B633" s="50">
        <f>$V$4*Performance!$E$12*(1/A633)+Performance!$E$23*(1/Constraints!$V$4)*Constraints!A633</f>
        <v>0.5752930057151826</v>
      </c>
      <c r="C633" s="50">
        <f>$V$5*Performance!$E$12*(1/A633)+Performance!$E$23*(1/Constraints!$V$5)*Constraints!A633</f>
        <v>0.4613221098100454</v>
      </c>
      <c r="D633" s="52">
        <f t="shared" si="9"/>
        <v>0.41548614163107089</v>
      </c>
    </row>
    <row r="634" spans="1:4" x14ac:dyDescent="0.3">
      <c r="A634" s="51">
        <v>307</v>
      </c>
      <c r="B634" s="50">
        <f>$V$4*Performance!$E$12*(1/A634)+Performance!$E$23*(1/Constraints!$V$4)*Constraints!A634</f>
        <v>0.57622509658025467</v>
      </c>
      <c r="C634" s="50">
        <f>$V$5*Performance!$E$12*(1/A634)+Performance!$E$23*(1/Constraints!$V$5)*Constraints!A634</f>
        <v>0.46206668187577637</v>
      </c>
      <c r="D634" s="52">
        <f t="shared" si="9"/>
        <v>0.41575842734335644</v>
      </c>
    </row>
    <row r="635" spans="1:4" x14ac:dyDescent="0.3">
      <c r="A635" s="51">
        <v>307.5</v>
      </c>
      <c r="B635" s="50">
        <f>$V$4*Performance!$E$12*(1/A635)+Performance!$E$23*(1/Constraints!$V$4)*Constraints!A635</f>
        <v>0.57715719783832831</v>
      </c>
      <c r="C635" s="50">
        <f>$V$5*Performance!$E$12*(1/A635)+Performance!$E$23*(1/Constraints!$V$5)*Constraints!A635</f>
        <v>0.46281126692693281</v>
      </c>
      <c r="D635" s="52">
        <f t="shared" si="9"/>
        <v>0.4160307130556421</v>
      </c>
    </row>
    <row r="636" spans="1:4" x14ac:dyDescent="0.3">
      <c r="A636" s="51">
        <v>308</v>
      </c>
      <c r="B636" s="50">
        <f>$V$4*Performance!$E$12*(1/A636)+Performance!$E$23*(1/Constraints!$V$4)*Constraints!A636</f>
        <v>0.578089309438788</v>
      </c>
      <c r="C636" s="50">
        <f>$V$5*Performance!$E$12*(1/A636)+Performance!$E$23*(1/Constraints!$V$5)*Constraints!A636</f>
        <v>0.46355586490027417</v>
      </c>
      <c r="D636" s="52">
        <f t="shared" si="9"/>
        <v>0.41630299876792765</v>
      </c>
    </row>
    <row r="637" spans="1:4" x14ac:dyDescent="0.3">
      <c r="A637" s="51">
        <v>308.5</v>
      </c>
      <c r="B637" s="50">
        <f>$V$4*Performance!$E$12*(1/A637)+Performance!$E$23*(1/Constraints!$V$4)*Constraints!A637</f>
        <v>0.57902143133134676</v>
      </c>
      <c r="C637" s="50">
        <f>$V$5*Performance!$E$12*(1/A637)+Performance!$E$23*(1/Constraints!$V$5)*Constraints!A637</f>
        <v>0.46430047573296956</v>
      </c>
      <c r="D637" s="52">
        <f t="shared" si="9"/>
        <v>0.41657528448021325</v>
      </c>
    </row>
    <row r="638" spans="1:4" x14ac:dyDescent="0.3">
      <c r="A638" s="51">
        <v>309</v>
      </c>
      <c r="B638" s="50">
        <f>$V$4*Performance!$E$12*(1/A638)+Performance!$E$23*(1/Constraints!$V$4)*Constraints!A638</f>
        <v>0.57995356346604299</v>
      </c>
      <c r="C638" s="50">
        <f>$V$5*Performance!$E$12*(1/A638)+Performance!$E$23*(1/Constraints!$V$5)*Constraints!A638</f>
        <v>0.46504509936259508</v>
      </c>
      <c r="D638" s="52">
        <f t="shared" si="9"/>
        <v>0.41684757019249885</v>
      </c>
    </row>
    <row r="639" spans="1:4" x14ac:dyDescent="0.3">
      <c r="A639" s="51">
        <v>309.5</v>
      </c>
      <c r="B639" s="50">
        <f>$V$4*Performance!$E$12*(1/A639)+Performance!$E$23*(1/Constraints!$V$4)*Constraints!A639</f>
        <v>0.58088570579323773</v>
      </c>
      <c r="C639" s="50">
        <f>$V$5*Performance!$E$12*(1/A639)+Performance!$E$23*(1/Constraints!$V$5)*Constraints!A639</f>
        <v>0.46578973572712995</v>
      </c>
      <c r="D639" s="52">
        <f t="shared" si="9"/>
        <v>0.41711985590478445</v>
      </c>
    </row>
    <row r="640" spans="1:4" x14ac:dyDescent="0.3">
      <c r="A640" s="51">
        <v>310</v>
      </c>
      <c r="B640" s="50">
        <f>$V$4*Performance!$E$12*(1/A640)+Performance!$E$23*(1/Constraints!$V$4)*Constraints!A640</f>
        <v>0.58181785826361254</v>
      </c>
      <c r="C640" s="50">
        <f>$V$5*Performance!$E$12*(1/A640)+Performance!$E$23*(1/Constraints!$V$5)*Constraints!A640</f>
        <v>0.46653438476495368</v>
      </c>
      <c r="D640" s="52">
        <f t="shared" si="9"/>
        <v>0.41739214161707006</v>
      </c>
    </row>
    <row r="641" spans="1:4" x14ac:dyDescent="0.3">
      <c r="A641" s="51">
        <v>310.5</v>
      </c>
      <c r="B641" s="50">
        <f>$V$4*Performance!$E$12*(1/A641)+Performance!$E$23*(1/Constraints!$V$4)*Constraints!A641</f>
        <v>0.58275002082816674</v>
      </c>
      <c r="C641" s="50">
        <f>$V$5*Performance!$E$12*(1/A641)+Performance!$E$23*(1/Constraints!$V$5)*Constraints!A641</f>
        <v>0.46727904641484264</v>
      </c>
      <c r="D641" s="52">
        <f t="shared" si="9"/>
        <v>0.4176644273293556</v>
      </c>
    </row>
    <row r="642" spans="1:4" x14ac:dyDescent="0.3">
      <c r="A642" s="51">
        <v>311</v>
      </c>
      <c r="B642" s="50">
        <f>$V$4*Performance!$E$12*(1/A642)+Performance!$E$23*(1/Constraints!$V$4)*Constraints!A642</f>
        <v>0.58368219343821415</v>
      </c>
      <c r="C642" s="50">
        <f>$V$5*Performance!$E$12*(1/A642)+Performance!$E$23*(1/Constraints!$V$5)*Constraints!A642</f>
        <v>0.46802372061596703</v>
      </c>
      <c r="D642" s="52">
        <f t="shared" si="9"/>
        <v>0.41793671304164126</v>
      </c>
    </row>
    <row r="643" spans="1:4" x14ac:dyDescent="0.3">
      <c r="A643" s="51">
        <v>311.5</v>
      </c>
      <c r="B643" s="50">
        <f>$V$4*Performance!$E$12*(1/A643)+Performance!$E$23*(1/Constraints!$V$4)*Constraints!A643</f>
        <v>0.58461437604538191</v>
      </c>
      <c r="C643" s="50">
        <f>$V$5*Performance!$E$12*(1/A643)+Performance!$E$23*(1/Constraints!$V$5)*Constraints!A643</f>
        <v>0.46876840730788732</v>
      </c>
      <c r="D643" s="52">
        <f t="shared" si="9"/>
        <v>0.41820899875392681</v>
      </c>
    </row>
    <row r="644" spans="1:4" x14ac:dyDescent="0.3">
      <c r="A644" s="51">
        <v>312</v>
      </c>
      <c r="B644" s="50">
        <f>$V$4*Performance!$E$12*(1/A644)+Performance!$E$23*(1/Constraints!$V$4)*Constraints!A644</f>
        <v>0.58554656860160703</v>
      </c>
      <c r="C644" s="50">
        <f>$V$5*Performance!$E$12*(1/A644)+Performance!$E$23*(1/Constraints!$V$5)*Constraints!A644</f>
        <v>0.46951310643055177</v>
      </c>
      <c r="D644" s="52">
        <f t="shared" si="9"/>
        <v>0.41848128446621247</v>
      </c>
    </row>
    <row r="645" spans="1:4" x14ac:dyDescent="0.3">
      <c r="A645" s="51">
        <v>312.5</v>
      </c>
      <c r="B645" s="50">
        <f>$V$4*Performance!$E$12*(1/A645)+Performance!$E$23*(1/Constraints!$V$4)*Constraints!A645</f>
        <v>0.58647877105913371</v>
      </c>
      <c r="C645" s="50">
        <f>$V$5*Performance!$E$12*(1/A645)+Performance!$E$23*(1/Constraints!$V$5)*Constraints!A645</f>
        <v>0.47025781792429278</v>
      </c>
      <c r="D645" s="52">
        <f t="shared" si="9"/>
        <v>0.41875357017849801</v>
      </c>
    </row>
    <row r="646" spans="1:4" x14ac:dyDescent="0.3">
      <c r="A646" s="51">
        <v>313</v>
      </c>
      <c r="B646" s="50">
        <f>$V$4*Performance!$E$12*(1/A646)+Performance!$E$23*(1/Constraints!$V$4)*Constraints!A646</f>
        <v>0.58741098337051179</v>
      </c>
      <c r="C646" s="50">
        <f>$V$5*Performance!$E$12*(1/A646)+Performance!$E$23*(1/Constraints!$V$5)*Constraints!A646</f>
        <v>0.47100254172982398</v>
      </c>
      <c r="D646" s="52">
        <f t="shared" si="9"/>
        <v>0.41902585589078362</v>
      </c>
    </row>
    <row r="647" spans="1:4" x14ac:dyDescent="0.3">
      <c r="A647" s="51">
        <v>313.5</v>
      </c>
      <c r="B647" s="50">
        <f>$V$4*Performance!$E$12*(1/A647)+Performance!$E$23*(1/Constraints!$V$4)*Constraints!A647</f>
        <v>0.58834320548859376</v>
      </c>
      <c r="C647" s="50">
        <f>$V$5*Performance!$E$12*(1/A647)+Performance!$E$23*(1/Constraints!$V$5)*Constraints!A647</f>
        <v>0.47174727778823733</v>
      </c>
      <c r="D647" s="52">
        <f t="shared" si="9"/>
        <v>0.41929814160306922</v>
      </c>
    </row>
    <row r="648" spans="1:4" x14ac:dyDescent="0.3">
      <c r="A648" s="51">
        <v>314</v>
      </c>
      <c r="B648" s="50">
        <f>$V$4*Performance!$E$12*(1/A648)+Performance!$E$23*(1/Constraints!$V$4)*Constraints!A648</f>
        <v>0.5892754373665321</v>
      </c>
      <c r="C648" s="50">
        <f>$V$5*Performance!$E$12*(1/A648)+Performance!$E$23*(1/Constraints!$V$5)*Constraints!A648</f>
        <v>0.47249202604099999</v>
      </c>
      <c r="D648" s="52">
        <f t="shared" si="9"/>
        <v>0.41957042731535482</v>
      </c>
    </row>
    <row r="649" spans="1:4" x14ac:dyDescent="0.3">
      <c r="A649" s="51">
        <v>314.5</v>
      </c>
      <c r="B649" s="50">
        <f>$V$4*Performance!$E$12*(1/A649)+Performance!$E$23*(1/Constraints!$V$4)*Constraints!A649</f>
        <v>0.59020767895777748</v>
      </c>
      <c r="C649" s="50">
        <f>$V$5*Performance!$E$12*(1/A649)+Performance!$E$23*(1/Constraints!$V$5)*Constraints!A649</f>
        <v>0.47323678642995115</v>
      </c>
      <c r="D649" s="52">
        <f t="shared" si="9"/>
        <v>0.41984271302764042</v>
      </c>
    </row>
    <row r="650" spans="1:4" x14ac:dyDescent="0.3">
      <c r="A650" s="51">
        <v>315</v>
      </c>
      <c r="B650" s="50">
        <f>$V$4*Performance!$E$12*(1/A650)+Performance!$E$23*(1/Constraints!$V$4)*Constraints!A650</f>
        <v>0.59113993021607625</v>
      </c>
      <c r="C650" s="50">
        <f>$V$5*Performance!$E$12*(1/A650)+Performance!$E$23*(1/Constraints!$V$5)*Constraints!A650</f>
        <v>0.47398155889729965</v>
      </c>
      <c r="D650" s="52">
        <f t="shared" si="9"/>
        <v>0.42011499873992603</v>
      </c>
    </row>
    <row r="651" spans="1:4" x14ac:dyDescent="0.3">
      <c r="A651" s="51">
        <v>315.5</v>
      </c>
      <c r="B651" s="50">
        <f>$V$4*Performance!$E$12*(1/A651)+Performance!$E$23*(1/Constraints!$V$4)*Constraints!A651</f>
        <v>0.59207219109546749</v>
      </c>
      <c r="C651" s="50">
        <f>$V$5*Performance!$E$12*(1/A651)+Performance!$E$23*(1/Constraints!$V$5)*Constraints!A651</f>
        <v>0.47472634338562031</v>
      </c>
      <c r="D651" s="52">
        <f t="shared" si="9"/>
        <v>0.42038728445221163</v>
      </c>
    </row>
    <row r="652" spans="1:4" x14ac:dyDescent="0.3">
      <c r="A652" s="51">
        <v>316</v>
      </c>
      <c r="B652" s="50">
        <f>$V$4*Performance!$E$12*(1/A652)+Performance!$E$23*(1/Constraints!$V$4)*Constraints!A652</f>
        <v>0.59300446155028164</v>
      </c>
      <c r="C652" s="50">
        <f>$V$5*Performance!$E$12*(1/A652)+Performance!$E$23*(1/Constraints!$V$5)*Constraints!A652</f>
        <v>0.47547113983785166</v>
      </c>
      <c r="D652" s="52">
        <f t="shared" si="9"/>
        <v>0.42065957016449718</v>
      </c>
    </row>
    <row r="653" spans="1:4" x14ac:dyDescent="0.3">
      <c r="A653" s="51">
        <v>316.5</v>
      </c>
      <c r="B653" s="50">
        <f>$V$4*Performance!$E$12*(1/A653)+Performance!$E$23*(1/Constraints!$V$4)*Constraints!A653</f>
        <v>0.59393674153513754</v>
      </c>
      <c r="C653" s="50">
        <f>$V$5*Performance!$E$12*(1/A653)+Performance!$E$23*(1/Constraints!$V$5)*Constraints!A653</f>
        <v>0.47621594819729268</v>
      </c>
      <c r="D653" s="52">
        <f t="shared" si="9"/>
        <v>0.42093185587678283</v>
      </c>
    </row>
    <row r="654" spans="1:4" x14ac:dyDescent="0.3">
      <c r="A654" s="51">
        <v>317</v>
      </c>
      <c r="B654" s="50">
        <f>$V$4*Performance!$E$12*(1/A654)+Performance!$E$23*(1/Constraints!$V$4)*Constraints!A654</f>
        <v>0.59486903100494026</v>
      </c>
      <c r="C654" s="50">
        <f>$V$5*Performance!$E$12*(1/A654)+Performance!$E$23*(1/Constraints!$V$5)*Constraints!A654</f>
        <v>0.47696076840759999</v>
      </c>
      <c r="D654" s="52">
        <f t="shared" si="9"/>
        <v>0.42120414158906838</v>
      </c>
    </row>
    <row r="655" spans="1:4" x14ac:dyDescent="0.3">
      <c r="A655" s="51">
        <v>317.5</v>
      </c>
      <c r="B655" s="50">
        <f>$V$4*Performance!$E$12*(1/A655)+Performance!$E$23*(1/Constraints!$V$4)*Constraints!A655</f>
        <v>0.59580132991487911</v>
      </c>
      <c r="C655" s="50">
        <f>$V$5*Performance!$E$12*(1/A655)+Performance!$E$23*(1/Constraints!$V$5)*Constraints!A655</f>
        <v>0.47770560041278537</v>
      </c>
      <c r="D655" s="52">
        <f t="shared" si="9"/>
        <v>0.42147642730135404</v>
      </c>
    </row>
    <row r="656" spans="1:4" x14ac:dyDescent="0.3">
      <c r="A656" s="51">
        <v>318</v>
      </c>
      <c r="B656" s="50">
        <f>$V$4*Performance!$E$12*(1/A656)+Performance!$E$23*(1/Constraints!$V$4)*Constraints!A656</f>
        <v>0.59673363822042513</v>
      </c>
      <c r="C656" s="50">
        <f>$V$5*Performance!$E$12*(1/A656)+Performance!$E$23*(1/Constraints!$V$5)*Constraints!A656</f>
        <v>0.47845044415721255</v>
      </c>
      <c r="D656" s="52">
        <f t="shared" si="9"/>
        <v>0.42174871301363959</v>
      </c>
    </row>
    <row r="657" spans="1:4" x14ac:dyDescent="0.3">
      <c r="A657" s="51">
        <v>318.5</v>
      </c>
      <c r="B657" s="50">
        <f>$V$4*Performance!$E$12*(1/A657)+Performance!$E$23*(1/Constraints!$V$4)*Constraints!A657</f>
        <v>0.59766595587732885</v>
      </c>
      <c r="C657" s="50">
        <f>$V$5*Performance!$E$12*(1/A657)+Performance!$E$23*(1/Constraints!$V$5)*Constraints!A657</f>
        <v>0.47919529958559465</v>
      </c>
      <c r="D657" s="52">
        <f t="shared" si="9"/>
        <v>0.42202099872592519</v>
      </c>
    </row>
    <row r="658" spans="1:4" x14ac:dyDescent="0.3">
      <c r="A658" s="51">
        <v>319</v>
      </c>
      <c r="B658" s="50">
        <f>$V$4*Performance!$E$12*(1/A658)+Performance!$E$23*(1/Constraints!$V$4)*Constraints!A658</f>
        <v>0.59859828284161876</v>
      </c>
      <c r="C658" s="50">
        <f>$V$5*Performance!$E$12*(1/A658)+Performance!$E$23*(1/Constraints!$V$5)*Constraints!A658</f>
        <v>0.47994016664299155</v>
      </c>
      <c r="D658" s="52">
        <f t="shared" si="9"/>
        <v>0.42229328443821079</v>
      </c>
    </row>
    <row r="659" spans="1:4" x14ac:dyDescent="0.3">
      <c r="A659" s="51">
        <v>319.5</v>
      </c>
      <c r="B659" s="50">
        <f>$V$4*Performance!$E$12*(1/A659)+Performance!$E$23*(1/Constraints!$V$4)*Constraints!A659</f>
        <v>0.5995306190695977</v>
      </c>
      <c r="C659" s="50">
        <f>$V$5*Performance!$E$12*(1/A659)+Performance!$E$23*(1/Constraints!$V$5)*Constraints!A659</f>
        <v>0.48068504527480688</v>
      </c>
      <c r="D659" s="52">
        <f t="shared" si="9"/>
        <v>0.42256557015049639</v>
      </c>
    </row>
    <row r="660" spans="1:4" x14ac:dyDescent="0.3">
      <c r="A660" s="51">
        <v>320</v>
      </c>
      <c r="B660" s="50">
        <f>$V$4*Performance!$E$12*(1/A660)+Performance!$E$23*(1/Constraints!$V$4)*Constraints!A660</f>
        <v>0.60046296451784242</v>
      </c>
      <c r="C660" s="50">
        <f>$V$5*Performance!$E$12*(1/A660)+Performance!$E$23*(1/Constraints!$V$5)*Constraints!A660</f>
        <v>0.48142993542678547</v>
      </c>
      <c r="D660" s="52">
        <f t="shared" si="9"/>
        <v>0.422837855862782</v>
      </c>
    </row>
    <row r="661" spans="1:4" x14ac:dyDescent="0.3">
      <c r="A661" s="51">
        <v>320.5</v>
      </c>
      <c r="B661" s="50">
        <f>$V$4*Performance!$E$12*(1/A661)+Performance!$E$23*(1/Constraints!$V$4)*Constraints!A661</f>
        <v>0.60139531914320044</v>
      </c>
      <c r="C661" s="50">
        <f>$V$5*Performance!$E$12*(1/A661)+Performance!$E$23*(1/Constraints!$V$5)*Constraints!A661</f>
        <v>0.48217483704501096</v>
      </c>
      <c r="D661" s="52">
        <f t="shared" si="9"/>
        <v>0.42311014157506754</v>
      </c>
    </row>
    <row r="662" spans="1:4" x14ac:dyDescent="0.3">
      <c r="A662" s="51">
        <v>321</v>
      </c>
      <c r="B662" s="50">
        <f>$V$4*Performance!$E$12*(1/A662)+Performance!$E$23*(1/Constraints!$V$4)*Constraints!A662</f>
        <v>0.60232768290278782</v>
      </c>
      <c r="C662" s="50">
        <f>$V$5*Performance!$E$12*(1/A662)+Performance!$E$23*(1/Constraints!$V$5)*Constraints!A662</f>
        <v>0.48291975007590265</v>
      </c>
      <c r="D662" s="52">
        <f t="shared" si="9"/>
        <v>0.4233824272873532</v>
      </c>
    </row>
    <row r="663" spans="1:4" x14ac:dyDescent="0.3">
      <c r="A663" s="51">
        <v>321.5</v>
      </c>
      <c r="B663" s="50">
        <f>$V$4*Performance!$E$12*(1/A663)+Performance!$E$23*(1/Constraints!$V$4)*Constraints!A663</f>
        <v>0.60326005575398778</v>
      </c>
      <c r="C663" s="50">
        <f>$V$5*Performance!$E$12*(1/A663)+Performance!$E$23*(1/Constraints!$V$5)*Constraints!A663</f>
        <v>0.48366467446621325</v>
      </c>
      <c r="D663" s="52">
        <f t="shared" ref="D663:D726" si="10">1.21/(9.8*$N$7*$N$8*$N$5)*A663+0.605/$N$8*($N$11-$N$6*$N$10)+$N$6</f>
        <v>0.42365471299963875</v>
      </c>
    </row>
    <row r="664" spans="1:4" x14ac:dyDescent="0.3">
      <c r="A664" s="51">
        <v>322</v>
      </c>
      <c r="B664" s="50">
        <f>$V$4*Performance!$E$12*(1/A664)+Performance!$E$23*(1/Constraints!$V$4)*Constraints!A664</f>
        <v>0.60419243765444808</v>
      </c>
      <c r="C664" s="50">
        <f>$V$5*Performance!$E$12*(1/A664)+Performance!$E$23*(1/Constraints!$V$5)*Constraints!A664</f>
        <v>0.48440961016302625</v>
      </c>
      <c r="D664" s="52">
        <f t="shared" si="10"/>
        <v>0.42392699871192441</v>
      </c>
    </row>
    <row r="665" spans="1:4" x14ac:dyDescent="0.3">
      <c r="A665" s="51">
        <v>322.5</v>
      </c>
      <c r="B665" s="50">
        <f>$V$4*Performance!$E$12*(1/A665)+Performance!$E$23*(1/Constraints!$V$4)*Constraints!A665</f>
        <v>0.60512482856207894</v>
      </c>
      <c r="C665" s="50">
        <f>$V$5*Performance!$E$12*(1/A665)+Performance!$E$23*(1/Constraints!$V$5)*Constraints!A665</f>
        <v>0.48515455711375327</v>
      </c>
      <c r="D665" s="52">
        <f t="shared" si="10"/>
        <v>0.42419928442420995</v>
      </c>
    </row>
    <row r="666" spans="1:4" x14ac:dyDescent="0.3">
      <c r="A666" s="51">
        <v>323</v>
      </c>
      <c r="B666" s="50">
        <f>$V$4*Performance!$E$12*(1/A666)+Performance!$E$23*(1/Constraints!$V$4)*Constraints!A666</f>
        <v>0.60605722843505161</v>
      </c>
      <c r="C666" s="50">
        <f>$V$5*Performance!$E$12*(1/A666)+Performance!$E$23*(1/Constraints!$V$5)*Constraints!A666</f>
        <v>0.48589951526613157</v>
      </c>
      <c r="D666" s="52">
        <f t="shared" si="10"/>
        <v>0.42447157013649556</v>
      </c>
    </row>
    <row r="667" spans="1:4" x14ac:dyDescent="0.3">
      <c r="A667" s="51">
        <v>323.5</v>
      </c>
      <c r="B667" s="50">
        <f>$V$4*Performance!$E$12*(1/A667)+Performance!$E$23*(1/Constraints!$V$4)*Constraints!A667</f>
        <v>0.60698963723179578</v>
      </c>
      <c r="C667" s="50">
        <f>$V$5*Performance!$E$12*(1/A667)+Performance!$E$23*(1/Constraints!$V$5)*Constraints!A667</f>
        <v>0.48664448456822146</v>
      </c>
      <c r="D667" s="52">
        <f t="shared" si="10"/>
        <v>0.42474385584878116</v>
      </c>
    </row>
    <row r="668" spans="1:4" x14ac:dyDescent="0.3">
      <c r="A668" s="51">
        <v>324</v>
      </c>
      <c r="B668" s="50">
        <f>$V$4*Performance!$E$12*(1/A668)+Performance!$E$23*(1/Constraints!$V$4)*Constraints!A668</f>
        <v>0.60792205491099738</v>
      </c>
      <c r="C668" s="50">
        <f>$V$5*Performance!$E$12*(1/A668)+Performance!$E$23*(1/Constraints!$V$5)*Constraints!A668</f>
        <v>0.48738946496840385</v>
      </c>
      <c r="D668" s="52">
        <f t="shared" si="10"/>
        <v>0.42501614156106676</v>
      </c>
    </row>
    <row r="669" spans="1:4" x14ac:dyDescent="0.3">
      <c r="A669" s="51">
        <v>324.5</v>
      </c>
      <c r="B669" s="50">
        <f>$V$4*Performance!$E$12*(1/A669)+Performance!$E$23*(1/Constraints!$V$4)*Constraints!A669</f>
        <v>0.60885448143159759</v>
      </c>
      <c r="C669" s="50">
        <f>$V$5*Performance!$E$12*(1/A669)+Performance!$E$23*(1/Constraints!$V$5)*Constraints!A669</f>
        <v>0.488134456415378</v>
      </c>
      <c r="D669" s="52">
        <f t="shared" si="10"/>
        <v>0.42528842727335237</v>
      </c>
    </row>
    <row r="670" spans="1:4" x14ac:dyDescent="0.3">
      <c r="A670" s="51">
        <v>325</v>
      </c>
      <c r="B670" s="50">
        <f>$V$4*Performance!$E$12*(1/A670)+Performance!$E$23*(1/Constraints!$V$4)*Constraints!A670</f>
        <v>0.60978691675278984</v>
      </c>
      <c r="C670" s="50">
        <f>$V$5*Performance!$E$12*(1/A670)+Performance!$E$23*(1/Constraints!$V$5)*Constraints!A670</f>
        <v>0.48887945885815864</v>
      </c>
      <c r="D670" s="52">
        <f t="shared" si="10"/>
        <v>0.42556071298563791</v>
      </c>
    </row>
    <row r="671" spans="1:4" x14ac:dyDescent="0.3">
      <c r="A671" s="51">
        <v>325.5</v>
      </c>
      <c r="B671" s="50">
        <f>$V$4*Performance!$E$12*(1/A671)+Performance!$E$23*(1/Constraints!$V$4)*Constraints!A671</f>
        <v>0.61071936083401834</v>
      </c>
      <c r="C671" s="50">
        <f>$V$5*Performance!$E$12*(1/A671)+Performance!$E$23*(1/Constraints!$V$5)*Constraints!A671</f>
        <v>0.48962447224607381</v>
      </c>
      <c r="D671" s="52">
        <f t="shared" si="10"/>
        <v>0.42583299869792357</v>
      </c>
    </row>
    <row r="672" spans="1:4" x14ac:dyDescent="0.3">
      <c r="A672" s="51">
        <v>326</v>
      </c>
      <c r="B672" s="50">
        <f>$V$4*Performance!$E$12*(1/A672)+Performance!$E$23*(1/Constraints!$V$4)*Constraints!A672</f>
        <v>0.61165181363497634</v>
      </c>
      <c r="C672" s="50">
        <f>$V$5*Performance!$E$12*(1/A672)+Performance!$E$23*(1/Constraints!$V$5)*Constraints!A672</f>
        <v>0.49036949652876249</v>
      </c>
      <c r="D672" s="52">
        <f t="shared" si="10"/>
        <v>0.42610528441020912</v>
      </c>
    </row>
    <row r="673" spans="1:4" x14ac:dyDescent="0.3">
      <c r="A673" s="51">
        <v>326.5</v>
      </c>
      <c r="B673" s="50">
        <f>$V$4*Performance!$E$12*(1/A673)+Performance!$E$23*(1/Constraints!$V$4)*Constraints!A673</f>
        <v>0.61258427511560376</v>
      </c>
      <c r="C673" s="50">
        <f>$V$5*Performance!$E$12*(1/A673)+Performance!$E$23*(1/Constraints!$V$5)*Constraints!A673</f>
        <v>0.49111453165617219</v>
      </c>
      <c r="D673" s="52">
        <f t="shared" si="10"/>
        <v>0.42637757012249478</v>
      </c>
    </row>
    <row r="674" spans="1:4" x14ac:dyDescent="0.3">
      <c r="A674" s="51">
        <v>327</v>
      </c>
      <c r="B674" s="50">
        <f>$V$4*Performance!$E$12*(1/A674)+Performance!$E$23*(1/Constraints!$V$4)*Constraints!A674</f>
        <v>0.61351674523608546</v>
      </c>
      <c r="C674" s="50">
        <f>$V$5*Performance!$E$12*(1/A674)+Performance!$E$23*(1/Constraints!$V$5)*Constraints!A674</f>
        <v>0.49185957757855636</v>
      </c>
      <c r="D674" s="52">
        <f t="shared" si="10"/>
        <v>0.42664985583478032</v>
      </c>
    </row>
    <row r="675" spans="1:4" x14ac:dyDescent="0.3">
      <c r="A675" s="51">
        <v>327.5</v>
      </c>
      <c r="B675" s="50">
        <f>$V$4*Performance!$E$12*(1/A675)+Performance!$E$23*(1/Constraints!$V$4)*Constraints!A675</f>
        <v>0.61444922395684975</v>
      </c>
      <c r="C675" s="50">
        <f>$V$5*Performance!$E$12*(1/A675)+Performance!$E$23*(1/Constraints!$V$5)*Constraints!A675</f>
        <v>0.49260463424647249</v>
      </c>
      <c r="D675" s="52">
        <f t="shared" si="10"/>
        <v>0.42692214154706593</v>
      </c>
    </row>
    <row r="676" spans="1:4" x14ac:dyDescent="0.3">
      <c r="A676" s="51">
        <v>328</v>
      </c>
      <c r="B676" s="50">
        <f>$V$4*Performance!$E$12*(1/A676)+Performance!$E$23*(1/Constraints!$V$4)*Constraints!A676</f>
        <v>0.61538171123856611</v>
      </c>
      <c r="C676" s="50">
        <f>$V$5*Performance!$E$12*(1/A676)+Performance!$E$23*(1/Constraints!$V$5)*Constraints!A676</f>
        <v>0.49334970161077935</v>
      </c>
      <c r="D676" s="52">
        <f t="shared" si="10"/>
        <v>0.42719442725935153</v>
      </c>
    </row>
    <row r="677" spans="1:4" x14ac:dyDescent="0.3">
      <c r="A677" s="51">
        <v>328.5</v>
      </c>
      <c r="B677" s="50">
        <f>$V$4*Performance!$E$12*(1/A677)+Performance!$E$23*(1/Constraints!$V$4)*Constraints!A677</f>
        <v>0.61631420704214324</v>
      </c>
      <c r="C677" s="50">
        <f>$V$5*Performance!$E$12*(1/A677)+Performance!$E$23*(1/Constraints!$V$5)*Constraints!A677</f>
        <v>0.49409477962263493</v>
      </c>
      <c r="D677" s="52">
        <f t="shared" si="10"/>
        <v>0.42746671297163713</v>
      </c>
    </row>
    <row r="678" spans="1:4" x14ac:dyDescent="0.3">
      <c r="A678" s="51">
        <v>329</v>
      </c>
      <c r="B678" s="50">
        <f>$V$4*Performance!$E$12*(1/A678)+Performance!$E$23*(1/Constraints!$V$4)*Constraints!A678</f>
        <v>0.61724671132872777</v>
      </c>
      <c r="C678" s="50">
        <f>$V$5*Performance!$E$12*(1/A678)+Performance!$E$23*(1/Constraints!$V$5)*Constraints!A678</f>
        <v>0.4948398682334943</v>
      </c>
      <c r="D678" s="52">
        <f t="shared" si="10"/>
        <v>0.42773899868392273</v>
      </c>
    </row>
    <row r="679" spans="1:4" x14ac:dyDescent="0.3">
      <c r="A679" s="51">
        <v>329.5</v>
      </c>
      <c r="B679" s="50">
        <f>$V$4*Performance!$E$12*(1/A679)+Performance!$E$23*(1/Constraints!$V$4)*Constraints!A679</f>
        <v>0.61817922405970216</v>
      </c>
      <c r="C679" s="50">
        <f>$V$5*Performance!$E$12*(1/A679)+Performance!$E$23*(1/Constraints!$V$5)*Constraints!A679</f>
        <v>0.49558496739510699</v>
      </c>
      <c r="D679" s="52">
        <f t="shared" si="10"/>
        <v>0.42801128439620834</v>
      </c>
    </row>
    <row r="680" spans="1:4" x14ac:dyDescent="0.3">
      <c r="A680" s="51">
        <v>330</v>
      </c>
      <c r="B680" s="50">
        <f>$V$4*Performance!$E$12*(1/A680)+Performance!$E$23*(1/Constraints!$V$4)*Constraints!A680</f>
        <v>0.61911174519668266</v>
      </c>
      <c r="C680" s="50">
        <f>$V$5*Performance!$E$12*(1/A680)+Performance!$E$23*(1/Constraints!$V$5)*Constraints!A680</f>
        <v>0.49633007705951504</v>
      </c>
      <c r="D680" s="52">
        <f t="shared" si="10"/>
        <v>0.42828357010849394</v>
      </c>
    </row>
    <row r="681" spans="1:4" x14ac:dyDescent="0.3">
      <c r="A681" s="51">
        <v>330.5</v>
      </c>
      <c r="B681" s="50">
        <f>$V$4*Performance!$E$12*(1/A681)+Performance!$E$23*(1/Constraints!$V$4)*Constraints!A681</f>
        <v>0.62004427470151813</v>
      </c>
      <c r="C681" s="50">
        <f>$V$5*Performance!$E$12*(1/A681)+Performance!$E$23*(1/Constraints!$V$5)*Constraints!A681</f>
        <v>0.49707519717905074</v>
      </c>
      <c r="D681" s="52">
        <f t="shared" si="10"/>
        <v>0.42855585582077949</v>
      </c>
    </row>
    <row r="682" spans="1:4" x14ac:dyDescent="0.3">
      <c r="A682" s="51">
        <v>331</v>
      </c>
      <c r="B682" s="50">
        <f>$V$4*Performance!$E$12*(1/A682)+Performance!$E$23*(1/Constraints!$V$4)*Constraints!A682</f>
        <v>0.62097681253628767</v>
      </c>
      <c r="C682" s="50">
        <f>$V$5*Performance!$E$12*(1/A682)+Performance!$E$23*(1/Constraints!$V$5)*Constraints!A682</f>
        <v>0.49782032770633422</v>
      </c>
      <c r="D682" s="52">
        <f t="shared" si="10"/>
        <v>0.42882814153306514</v>
      </c>
    </row>
    <row r="683" spans="1:4" x14ac:dyDescent="0.3">
      <c r="A683" s="51">
        <v>331.5</v>
      </c>
      <c r="B683" s="50">
        <f>$V$4*Performance!$E$12*(1/A683)+Performance!$E$23*(1/Constraints!$V$4)*Constraints!A683</f>
        <v>0.62190935866329911</v>
      </c>
      <c r="C683" s="50">
        <f>$V$5*Performance!$E$12*(1/A683)+Performance!$E$23*(1/Constraints!$V$5)*Constraints!A683</f>
        <v>0.49856546859427175</v>
      </c>
      <c r="D683" s="52">
        <f t="shared" si="10"/>
        <v>0.42910042724535069</v>
      </c>
    </row>
    <row r="684" spans="1:4" x14ac:dyDescent="0.3">
      <c r="A684" s="51">
        <v>332</v>
      </c>
      <c r="B684" s="50">
        <f>$V$4*Performance!$E$12*(1/A684)+Performance!$E$23*(1/Constraints!$V$4)*Constraints!A684</f>
        <v>0.62284191304508785</v>
      </c>
      <c r="C684" s="50">
        <f>$V$5*Performance!$E$12*(1/A684)+Performance!$E$23*(1/Constraints!$V$5)*Constraints!A684</f>
        <v>0.49931061979605312</v>
      </c>
      <c r="D684" s="52">
        <f t="shared" si="10"/>
        <v>0.42937271295763635</v>
      </c>
    </row>
    <row r="685" spans="1:4" x14ac:dyDescent="0.3">
      <c r="A685" s="51">
        <v>332.5</v>
      </c>
      <c r="B685" s="50">
        <f>$V$4*Performance!$E$12*(1/A685)+Performance!$E$23*(1/Constraints!$V$4)*Constraints!A685</f>
        <v>0.62377447564441402</v>
      </c>
      <c r="C685" s="50">
        <f>$V$5*Performance!$E$12*(1/A685)+Performance!$E$23*(1/Constraints!$V$5)*Constraints!A685</f>
        <v>0.5000557812651496</v>
      </c>
      <c r="D685" s="52">
        <f t="shared" si="10"/>
        <v>0.4296449986699219</v>
      </c>
    </row>
    <row r="686" spans="1:4" x14ac:dyDescent="0.3">
      <c r="A686" s="51">
        <v>333</v>
      </c>
      <c r="B686" s="50">
        <f>$V$4*Performance!$E$12*(1/A686)+Performance!$E$23*(1/Constraints!$V$4)*Constraints!A686</f>
        <v>0.62470704642426178</v>
      </c>
      <c r="C686" s="50">
        <f>$V$5*Performance!$E$12*(1/A686)+Performance!$E$23*(1/Constraints!$V$5)*Constraints!A686</f>
        <v>0.50080095295531224</v>
      </c>
      <c r="D686" s="52">
        <f t="shared" si="10"/>
        <v>0.4299172843822075</v>
      </c>
    </row>
    <row r="687" spans="1:4" x14ac:dyDescent="0.3">
      <c r="A687" s="51">
        <v>333.5</v>
      </c>
      <c r="B687" s="50">
        <f>$V$4*Performance!$E$12*(1/A687)+Performance!$E$23*(1/Constraints!$V$4)*Constraints!A687</f>
        <v>0.62563962534783724</v>
      </c>
      <c r="C687" s="50">
        <f>$V$5*Performance!$E$12*(1/A687)+Performance!$E$23*(1/Constraints!$V$5)*Constraints!A687</f>
        <v>0.50154613482056898</v>
      </c>
      <c r="D687" s="52">
        <f t="shared" si="10"/>
        <v>0.4301895700944931</v>
      </c>
    </row>
    <row r="688" spans="1:4" x14ac:dyDescent="0.3">
      <c r="A688" s="51">
        <v>334</v>
      </c>
      <c r="B688" s="50">
        <f>$V$4*Performance!$E$12*(1/A688)+Performance!$E$23*(1/Constraints!$V$4)*Constraints!A688</f>
        <v>0.62657221237856664</v>
      </c>
      <c r="C688" s="50">
        <f>$V$5*Performance!$E$12*(1/A688)+Performance!$E$23*(1/Constraints!$V$5)*Constraints!A688</f>
        <v>0.50229132681522348</v>
      </c>
      <c r="D688" s="52">
        <f t="shared" si="10"/>
        <v>0.4304618558067787</v>
      </c>
    </row>
    <row r="689" spans="1:4" x14ac:dyDescent="0.3">
      <c r="A689" s="51">
        <v>334.5</v>
      </c>
      <c r="B689" s="50">
        <f>$V$4*Performance!$E$12*(1/A689)+Performance!$E$23*(1/Constraints!$V$4)*Constraints!A689</f>
        <v>0.62750480748009507</v>
      </c>
      <c r="C689" s="50">
        <f>$V$5*Performance!$E$12*(1/A689)+Performance!$E$23*(1/Constraints!$V$5)*Constraints!A689</f>
        <v>0.5030365288938522</v>
      </c>
      <c r="D689" s="52">
        <f t="shared" si="10"/>
        <v>0.43073414151906431</v>
      </c>
    </row>
    <row r="690" spans="1:4" x14ac:dyDescent="0.3">
      <c r="A690" s="51">
        <v>335</v>
      </c>
      <c r="B690" s="50">
        <f>$V$4*Performance!$E$12*(1/A690)+Performance!$E$23*(1/Constraints!$V$4)*Constraints!A690</f>
        <v>0.62843741061628489</v>
      </c>
      <c r="C690" s="50">
        <f>$V$5*Performance!$E$12*(1/A690)+Performance!$E$23*(1/Constraints!$V$5)*Constraints!A690</f>
        <v>0.50378174101130324</v>
      </c>
      <c r="D690" s="52">
        <f t="shared" si="10"/>
        <v>0.43100642723134985</v>
      </c>
    </row>
    <row r="691" spans="1:4" x14ac:dyDescent="0.3">
      <c r="A691" s="51">
        <v>335.5</v>
      </c>
      <c r="B691" s="50">
        <f>$V$4*Performance!$E$12*(1/A691)+Performance!$E$23*(1/Constraints!$V$4)*Constraints!A691</f>
        <v>0.62937002175121315</v>
      </c>
      <c r="C691" s="50">
        <f>$V$5*Performance!$E$12*(1/A691)+Performance!$E$23*(1/Constraints!$V$5)*Constraints!A691</f>
        <v>0.50452696312269363</v>
      </c>
      <c r="D691" s="52">
        <f t="shared" si="10"/>
        <v>0.43127871294363551</v>
      </c>
    </row>
    <row r="692" spans="1:4" x14ac:dyDescent="0.3">
      <c r="A692" s="51">
        <v>336</v>
      </c>
      <c r="B692" s="50">
        <f>$V$4*Performance!$E$12*(1/A692)+Performance!$E$23*(1/Constraints!$V$4)*Constraints!A692</f>
        <v>0.63030264084917142</v>
      </c>
      <c r="C692" s="50">
        <f>$V$5*Performance!$E$12*(1/A692)+Performance!$E$23*(1/Constraints!$V$5)*Constraints!A692</f>
        <v>0.50527219518340749</v>
      </c>
      <c r="D692" s="52">
        <f t="shared" si="10"/>
        <v>0.43155099865592106</v>
      </c>
    </row>
    <row r="693" spans="1:4" x14ac:dyDescent="0.3">
      <c r="A693" s="51">
        <v>336.5</v>
      </c>
      <c r="B693" s="50">
        <f>$V$4*Performance!$E$12*(1/A693)+Performance!$E$23*(1/Constraints!$V$4)*Constraints!A693</f>
        <v>0.63123526787466344</v>
      </c>
      <c r="C693" s="50">
        <f>$V$5*Performance!$E$12*(1/A693)+Performance!$E$23*(1/Constraints!$V$5)*Constraints!A693</f>
        <v>0.5060174371490942</v>
      </c>
      <c r="D693" s="52">
        <f t="shared" si="10"/>
        <v>0.43182328436820672</v>
      </c>
    </row>
    <row r="694" spans="1:4" x14ac:dyDescent="0.3">
      <c r="A694" s="51">
        <v>337</v>
      </c>
      <c r="B694" s="50">
        <f>$V$4*Performance!$E$12*(1/A694)+Performance!$E$23*(1/Constraints!$V$4)*Constraints!A694</f>
        <v>0.6321679027924032</v>
      </c>
      <c r="C694" s="50">
        <f>$V$5*Performance!$E$12*(1/A694)+Performance!$E$23*(1/Constraints!$V$5)*Constraints!A694</f>
        <v>0.50676268897566634</v>
      </c>
      <c r="D694" s="52">
        <f t="shared" si="10"/>
        <v>0.43209557008049226</v>
      </c>
    </row>
    <row r="695" spans="1:4" x14ac:dyDescent="0.3">
      <c r="A695" s="51">
        <v>337.5</v>
      </c>
      <c r="B695" s="50">
        <f>$V$4*Performance!$E$12*(1/A695)+Performance!$E$23*(1/Constraints!$V$4)*Constraints!A695</f>
        <v>0.6331005455673141</v>
      </c>
      <c r="C695" s="50">
        <f>$V$5*Performance!$E$12*(1/A695)+Performance!$E$23*(1/Constraints!$V$5)*Constraints!A695</f>
        <v>0.50750795061929777</v>
      </c>
      <c r="D695" s="52">
        <f t="shared" si="10"/>
        <v>0.43236785579277787</v>
      </c>
    </row>
    <row r="696" spans="1:4" x14ac:dyDescent="0.3">
      <c r="A696" s="51">
        <v>338</v>
      </c>
      <c r="B696" s="50">
        <f>$V$4*Performance!$E$12*(1/A696)+Performance!$E$23*(1/Constraints!$V$4)*Constraints!A696</f>
        <v>0.63403319616452725</v>
      </c>
      <c r="C696" s="50">
        <f>$V$5*Performance!$E$12*(1/A696)+Performance!$E$23*(1/Constraints!$V$5)*Constraints!A696</f>
        <v>0.50825322203642165</v>
      </c>
      <c r="D696" s="52">
        <f t="shared" si="10"/>
        <v>0.43264014150506347</v>
      </c>
    </row>
    <row r="697" spans="1:4" x14ac:dyDescent="0.3">
      <c r="A697" s="51">
        <v>338.5</v>
      </c>
      <c r="B697" s="50">
        <f>$V$4*Performance!$E$12*(1/A697)+Performance!$E$23*(1/Constraints!$V$4)*Constraints!A697</f>
        <v>0.63496585454937926</v>
      </c>
      <c r="C697" s="50">
        <f>$V$5*Performance!$E$12*(1/A697)+Performance!$E$23*(1/Constraints!$V$5)*Constraints!A697</f>
        <v>0.50899850318372863</v>
      </c>
      <c r="D697" s="52">
        <f t="shared" si="10"/>
        <v>0.43291242721734907</v>
      </c>
    </row>
    <row r="698" spans="1:4" x14ac:dyDescent="0.3">
      <c r="A698" s="51">
        <v>339</v>
      </c>
      <c r="B698" s="50">
        <f>$V$4*Performance!$E$12*(1/A698)+Performance!$E$23*(1/Constraints!$V$4)*Constraints!A698</f>
        <v>0.63589852068741171</v>
      </c>
      <c r="C698" s="50">
        <f>$V$5*Performance!$E$12*(1/A698)+Performance!$E$23*(1/Constraints!$V$5)*Constraints!A698</f>
        <v>0.50974379401816472</v>
      </c>
      <c r="D698" s="52">
        <f t="shared" si="10"/>
        <v>0.43318471292963467</v>
      </c>
    </row>
    <row r="699" spans="1:4" x14ac:dyDescent="0.3">
      <c r="A699" s="51">
        <v>339.5</v>
      </c>
      <c r="B699" s="50">
        <f>$V$4*Performance!$E$12*(1/A699)+Performance!$E$23*(1/Constraints!$V$4)*Constraints!A699</f>
        <v>0.63683119454436909</v>
      </c>
      <c r="C699" s="50">
        <f>$V$5*Performance!$E$12*(1/A699)+Performance!$E$23*(1/Constraints!$V$5)*Constraints!A699</f>
        <v>0.51048909449692959</v>
      </c>
      <c r="D699" s="52">
        <f t="shared" si="10"/>
        <v>0.43345699864192022</v>
      </c>
    </row>
    <row r="700" spans="1:4" x14ac:dyDescent="0.3">
      <c r="A700" s="51">
        <v>340</v>
      </c>
      <c r="B700" s="50">
        <f>$V$4*Performance!$E$12*(1/A700)+Performance!$E$23*(1/Constraints!$V$4)*Constraints!A700</f>
        <v>0.63776387608619711</v>
      </c>
      <c r="C700" s="50">
        <f>$V$5*Performance!$E$12*(1/A700)+Performance!$E$23*(1/Constraints!$V$5)*Constraints!A700</f>
        <v>0.51123440457747482</v>
      </c>
      <c r="D700" s="52">
        <f t="shared" si="10"/>
        <v>0.43372928435420588</v>
      </c>
    </row>
    <row r="701" spans="1:4" x14ac:dyDescent="0.3">
      <c r="A701" s="51">
        <v>340.5</v>
      </c>
      <c r="B701" s="50">
        <f>$V$4*Performance!$E$12*(1/A701)+Performance!$E$23*(1/Constraints!$V$4)*Constraints!A701</f>
        <v>0.63869656527904184</v>
      </c>
      <c r="C701" s="50">
        <f>$V$5*Performance!$E$12*(1/A701)+Performance!$E$23*(1/Constraints!$V$5)*Constraints!A701</f>
        <v>0.51197972421750193</v>
      </c>
      <c r="D701" s="52">
        <f t="shared" si="10"/>
        <v>0.43400157006649143</v>
      </c>
    </row>
    <row r="702" spans="1:4" x14ac:dyDescent="0.3">
      <c r="A702" s="51">
        <v>341</v>
      </c>
      <c r="B702" s="50">
        <f>$V$4*Performance!$E$12*(1/A702)+Performance!$E$23*(1/Constraints!$V$4)*Constraints!A702</f>
        <v>0.63962926208924786</v>
      </c>
      <c r="C702" s="50">
        <f>$V$5*Performance!$E$12*(1/A702)+Performance!$E$23*(1/Constraints!$V$5)*Constraints!A702</f>
        <v>0.5127250533749601</v>
      </c>
      <c r="D702" s="52">
        <f t="shared" si="10"/>
        <v>0.43427385577877708</v>
      </c>
    </row>
    <row r="703" spans="1:4" x14ac:dyDescent="0.3">
      <c r="A703" s="51">
        <v>341.5</v>
      </c>
      <c r="B703" s="50">
        <f>$V$4*Performance!$E$12*(1/A703)+Performance!$E$23*(1/Constraints!$V$4)*Constraints!A703</f>
        <v>0.64056196648335662</v>
      </c>
      <c r="C703" s="50">
        <f>$V$5*Performance!$E$12*(1/A703)+Performance!$E$23*(1/Constraints!$V$5)*Constraints!A703</f>
        <v>0.51347039200804534</v>
      </c>
      <c r="D703" s="52">
        <f t="shared" si="10"/>
        <v>0.43454614149106263</v>
      </c>
    </row>
    <row r="704" spans="1:4" x14ac:dyDescent="0.3">
      <c r="A704" s="51">
        <v>342</v>
      </c>
      <c r="B704" s="50">
        <f>$V$4*Performance!$E$12*(1/A704)+Performance!$E$23*(1/Constraints!$V$4)*Constraints!A704</f>
        <v>0.64149467842810548</v>
      </c>
      <c r="C704" s="50">
        <f>$V$5*Performance!$E$12*(1/A704)+Performance!$E$23*(1/Constraints!$V$5)*Constraints!A704</f>
        <v>0.51421574007519799</v>
      </c>
      <c r="D704" s="52">
        <f t="shared" si="10"/>
        <v>0.43481842720334823</v>
      </c>
    </row>
    <row r="705" spans="1:4" x14ac:dyDescent="0.3">
      <c r="A705" s="51">
        <v>342.5</v>
      </c>
      <c r="B705" s="50">
        <f>$V$4*Performance!$E$12*(1/A705)+Performance!$E$23*(1/Constraints!$V$4)*Constraints!A705</f>
        <v>0.64242739789042602</v>
      </c>
      <c r="C705" s="50">
        <f>$V$5*Performance!$E$12*(1/A705)+Performance!$E$23*(1/Constraints!$V$5)*Constraints!A705</f>
        <v>0.51496109753510055</v>
      </c>
      <c r="D705" s="52">
        <f t="shared" si="10"/>
        <v>0.43509071291563384</v>
      </c>
    </row>
    <row r="706" spans="1:4" x14ac:dyDescent="0.3">
      <c r="A706" s="51">
        <v>343</v>
      </c>
      <c r="B706" s="50">
        <f>$V$4*Performance!$E$12*(1/A706)+Performance!$E$23*(1/Constraints!$V$4)*Constraints!A706</f>
        <v>0.64336012483744232</v>
      </c>
      <c r="C706" s="50">
        <f>$V$5*Performance!$E$12*(1/A706)+Performance!$E$23*(1/Constraints!$V$5)*Constraints!A706</f>
        <v>0.51570646434667722</v>
      </c>
      <c r="D706" s="52">
        <f t="shared" si="10"/>
        <v>0.43536299862791944</v>
      </c>
    </row>
    <row r="707" spans="1:4" x14ac:dyDescent="0.3">
      <c r="A707" s="51">
        <v>343.5</v>
      </c>
      <c r="B707" s="50">
        <f>$V$4*Performance!$E$12*(1/A707)+Performance!$E$23*(1/Constraints!$V$4)*Constraints!A707</f>
        <v>0.64429285923647028</v>
      </c>
      <c r="C707" s="50">
        <f>$V$5*Performance!$E$12*(1/A707)+Performance!$E$23*(1/Constraints!$V$5)*Constraints!A707</f>
        <v>0.51645184046909098</v>
      </c>
      <c r="D707" s="52">
        <f t="shared" si="10"/>
        <v>0.43563528434020504</v>
      </c>
    </row>
    <row r="708" spans="1:4" x14ac:dyDescent="0.3">
      <c r="A708" s="51">
        <v>344</v>
      </c>
      <c r="B708" s="50">
        <f>$V$4*Performance!$E$12*(1/A708)+Performance!$E$23*(1/Constraints!$V$4)*Constraints!A708</f>
        <v>0.6452256010550157</v>
      </c>
      <c r="C708" s="50">
        <f>$V$5*Performance!$E$12*(1/A708)+Performance!$E$23*(1/Constraints!$V$5)*Constraints!A708</f>
        <v>0.51719722586174199</v>
      </c>
      <c r="D708" s="52">
        <f t="shared" si="10"/>
        <v>0.43590757005249064</v>
      </c>
    </row>
    <row r="709" spans="1:4" x14ac:dyDescent="0.3">
      <c r="A709" s="51">
        <v>344.5</v>
      </c>
      <c r="B709" s="50">
        <f>$V$4*Performance!$E$12*(1/A709)+Performance!$E$23*(1/Constraints!$V$4)*Constraints!A709</f>
        <v>0.64615835026077284</v>
      </c>
      <c r="C709" s="50">
        <f>$V$5*Performance!$E$12*(1/A709)+Performance!$E$23*(1/Constraints!$V$5)*Constraints!A709</f>
        <v>0.51794262048426654</v>
      </c>
      <c r="D709" s="52">
        <f t="shared" si="10"/>
        <v>0.43617985576477625</v>
      </c>
    </row>
    <row r="710" spans="1:4" x14ac:dyDescent="0.3">
      <c r="A710" s="51">
        <v>345</v>
      </c>
      <c r="B710" s="50">
        <f>$V$4*Performance!$E$12*(1/A710)+Performance!$E$23*(1/Constraints!$V$4)*Constraints!A710</f>
        <v>0.64709110682162363</v>
      </c>
      <c r="C710" s="50">
        <f>$V$5*Performance!$E$12*(1/A710)+Performance!$E$23*(1/Constraints!$V$5)*Constraints!A710</f>
        <v>0.51868802429653482</v>
      </c>
      <c r="D710" s="52">
        <f t="shared" si="10"/>
        <v>0.43645214147706179</v>
      </c>
    </row>
    <row r="711" spans="1:4" x14ac:dyDescent="0.3">
      <c r="A711" s="51">
        <v>345.5</v>
      </c>
      <c r="B711" s="50">
        <f>$V$4*Performance!$E$12*(1/A711)+Performance!$E$23*(1/Constraints!$V$4)*Constraints!A711</f>
        <v>0.64802387070563539</v>
      </c>
      <c r="C711" s="50">
        <f>$V$5*Performance!$E$12*(1/A711)+Performance!$E$23*(1/Constraints!$V$5)*Constraints!A711</f>
        <v>0.5194334372586491</v>
      </c>
      <c r="D711" s="52">
        <f t="shared" si="10"/>
        <v>0.43672442718934745</v>
      </c>
    </row>
    <row r="712" spans="1:4" x14ac:dyDescent="0.3">
      <c r="A712" s="51">
        <v>346</v>
      </c>
      <c r="B712" s="50">
        <f>$V$4*Performance!$E$12*(1/A712)+Performance!$E$23*(1/Constraints!$V$4)*Constraints!A712</f>
        <v>0.6489566418810605</v>
      </c>
      <c r="C712" s="50">
        <f>$V$5*Performance!$E$12*(1/A712)+Performance!$E$23*(1/Constraints!$V$5)*Constraints!A712</f>
        <v>0.52017885933094254</v>
      </c>
      <c r="D712" s="52">
        <f t="shared" si="10"/>
        <v>0.436996712901633</v>
      </c>
    </row>
    <row r="713" spans="1:4" x14ac:dyDescent="0.3">
      <c r="A713" s="51">
        <v>346.5</v>
      </c>
      <c r="B713" s="50">
        <f>$V$4*Performance!$E$12*(1/A713)+Performance!$E$23*(1/Constraints!$V$4)*Constraints!A713</f>
        <v>0.64988942031633445</v>
      </c>
      <c r="C713" s="50">
        <f>$V$5*Performance!$E$12*(1/A713)+Performance!$E$23*(1/Constraints!$V$5)*Constraints!A713</f>
        <v>0.52092429047397704</v>
      </c>
      <c r="D713" s="52">
        <f t="shared" si="10"/>
        <v>0.43726899861391866</v>
      </c>
    </row>
    <row r="714" spans="1:4" x14ac:dyDescent="0.3">
      <c r="A714" s="51">
        <v>347</v>
      </c>
      <c r="B714" s="50">
        <f>$V$4*Performance!$E$12*(1/A714)+Performance!$E$23*(1/Constraints!$V$4)*Constraints!A714</f>
        <v>0.65082220598007434</v>
      </c>
      <c r="C714" s="50">
        <f>$V$5*Performance!$E$12*(1/A714)+Performance!$E$23*(1/Constraints!$V$5)*Constraints!A714</f>
        <v>0.52166973064854194</v>
      </c>
      <c r="D714" s="52">
        <f t="shared" si="10"/>
        <v>0.43754128432620421</v>
      </c>
    </row>
    <row r="715" spans="1:4" x14ac:dyDescent="0.3">
      <c r="A715" s="51">
        <v>347.5</v>
      </c>
      <c r="B715" s="50">
        <f>$V$4*Performance!$E$12*(1/A715)+Performance!$E$23*(1/Constraints!$V$4)*Constraints!A715</f>
        <v>0.65175499884107846</v>
      </c>
      <c r="C715" s="50">
        <f>$V$5*Performance!$E$12*(1/A715)+Performance!$E$23*(1/Constraints!$V$5)*Constraints!A715</f>
        <v>0.52241517981565211</v>
      </c>
      <c r="D715" s="52">
        <f t="shared" si="10"/>
        <v>0.43781357003848981</v>
      </c>
    </row>
    <row r="716" spans="1:4" x14ac:dyDescent="0.3">
      <c r="A716" s="51">
        <v>348</v>
      </c>
      <c r="B716" s="50">
        <f>$V$4*Performance!$E$12*(1/A716)+Performance!$E$23*(1/Constraints!$V$4)*Constraints!A716</f>
        <v>0.65268779886832395</v>
      </c>
      <c r="C716" s="50">
        <f>$V$5*Performance!$E$12*(1/A716)+Performance!$E$23*(1/Constraints!$V$5)*Constraints!A716</f>
        <v>0.52316063793654688</v>
      </c>
      <c r="D716" s="52">
        <f t="shared" si="10"/>
        <v>0.43808585575077541</v>
      </c>
    </row>
    <row r="717" spans="1:4" x14ac:dyDescent="0.3">
      <c r="A717" s="51">
        <v>348.5</v>
      </c>
      <c r="B717" s="50">
        <f>$V$4*Performance!$E$12*(1/A717)+Performance!$E$23*(1/Constraints!$V$4)*Constraints!A717</f>
        <v>0.65362060603096617</v>
      </c>
      <c r="C717" s="50">
        <f>$V$5*Performance!$E$12*(1/A717)+Performance!$E$23*(1/Constraints!$V$5)*Constraints!A717</f>
        <v>0.52390610497268741</v>
      </c>
      <c r="D717" s="52">
        <f t="shared" si="10"/>
        <v>0.43835814146306101</v>
      </c>
    </row>
    <row r="718" spans="1:4" x14ac:dyDescent="0.3">
      <c r="A718" s="51">
        <v>349</v>
      </c>
      <c r="B718" s="50">
        <f>$V$4*Performance!$E$12*(1/A718)+Performance!$E$23*(1/Constraints!$V$4)*Constraints!A718</f>
        <v>0.6545534202983373</v>
      </c>
      <c r="C718" s="50">
        <f>$V$5*Performance!$E$12*(1/A718)+Performance!$E$23*(1/Constraints!$V$5)*Constraints!A718</f>
        <v>0.52465158088575614</v>
      </c>
      <c r="D718" s="52">
        <f t="shared" si="10"/>
        <v>0.43863042717534662</v>
      </c>
    </row>
    <row r="719" spans="1:4" x14ac:dyDescent="0.3">
      <c r="A719" s="51">
        <v>349.5</v>
      </c>
      <c r="B719" s="50">
        <f>$V$4*Performance!$E$12*(1/A719)+Performance!$E$23*(1/Constraints!$V$4)*Constraints!A719</f>
        <v>0.65548624163994496</v>
      </c>
      <c r="C719" s="50">
        <f>$V$5*Performance!$E$12*(1/A719)+Performance!$E$23*(1/Constraints!$V$5)*Constraints!A719</f>
        <v>0.52539706563765476</v>
      </c>
      <c r="D719" s="52">
        <f t="shared" si="10"/>
        <v>0.43890271288763216</v>
      </c>
    </row>
    <row r="720" spans="1:4" x14ac:dyDescent="0.3">
      <c r="A720" s="51">
        <v>350</v>
      </c>
      <c r="B720" s="50">
        <f>$V$4*Performance!$E$12*(1/A720)+Performance!$E$23*(1/Constraints!$V$4)*Constraints!A720</f>
        <v>0.65641907002547073</v>
      </c>
      <c r="C720" s="50">
        <f>$V$5*Performance!$E$12*(1/A720)+Performance!$E$23*(1/Constraints!$V$5)*Constraints!A720</f>
        <v>0.52614255919050235</v>
      </c>
      <c r="D720" s="52">
        <f t="shared" si="10"/>
        <v>0.43917499859991782</v>
      </c>
    </row>
    <row r="721" spans="1:4" x14ac:dyDescent="0.3">
      <c r="A721" s="51">
        <v>350.5</v>
      </c>
      <c r="B721" s="50">
        <f>$V$4*Performance!$E$12*(1/A721)+Performance!$E$23*(1/Constraints!$V$4)*Constraints!A721</f>
        <v>0.65735190542476973</v>
      </c>
      <c r="C721" s="50">
        <f>$V$5*Performance!$E$12*(1/A721)+Performance!$E$23*(1/Constraints!$V$5)*Constraints!A721</f>
        <v>0.52688806150663448</v>
      </c>
      <c r="D721" s="52">
        <f t="shared" si="10"/>
        <v>0.43944728431220337</v>
      </c>
    </row>
    <row r="722" spans="1:4" x14ac:dyDescent="0.3">
      <c r="A722" s="51">
        <v>351</v>
      </c>
      <c r="B722" s="50">
        <f>$V$4*Performance!$E$12*(1/A722)+Performance!$E$23*(1/Constraints!$V$4)*Constraints!A722</f>
        <v>0.65828474780786861</v>
      </c>
      <c r="C722" s="50">
        <f>$V$5*Performance!$E$12*(1/A722)+Performance!$E$23*(1/Constraints!$V$5)*Constraints!A722</f>
        <v>0.52763357254860133</v>
      </c>
      <c r="D722" s="52">
        <f t="shared" si="10"/>
        <v>0.43971957002448903</v>
      </c>
    </row>
    <row r="723" spans="1:4" x14ac:dyDescent="0.3">
      <c r="A723" s="51">
        <v>351.5</v>
      </c>
      <c r="B723" s="50">
        <f>$V$4*Performance!$E$12*(1/A723)+Performance!$E$23*(1/Constraints!$V$4)*Constraints!A723</f>
        <v>0.65921759714496431</v>
      </c>
      <c r="C723" s="50">
        <f>$V$5*Performance!$E$12*(1/A723)+Performance!$E$23*(1/Constraints!$V$5)*Constraints!A723</f>
        <v>0.52837909227916591</v>
      </c>
      <c r="D723" s="52">
        <f t="shared" si="10"/>
        <v>0.43999185573677457</v>
      </c>
    </row>
    <row r="724" spans="1:4" x14ac:dyDescent="0.3">
      <c r="A724" s="51">
        <v>352</v>
      </c>
      <c r="B724" s="50">
        <f>$V$4*Performance!$E$12*(1/A724)+Performance!$E$23*(1/Constraints!$V$4)*Constraints!A724</f>
        <v>0.66015045340642331</v>
      </c>
      <c r="C724" s="50">
        <f>$V$5*Performance!$E$12*(1/A724)+Performance!$E$23*(1/Constraints!$V$5)*Constraints!A724</f>
        <v>0.52912462066130295</v>
      </c>
      <c r="D724" s="52">
        <f t="shared" si="10"/>
        <v>0.44026414144906018</v>
      </c>
    </row>
    <row r="725" spans="1:4" x14ac:dyDescent="0.3">
      <c r="A725" s="51">
        <v>352.5</v>
      </c>
      <c r="B725" s="50">
        <f>$V$4*Performance!$E$12*(1/A725)+Performance!$E$23*(1/Constraints!$V$4)*Constraints!A725</f>
        <v>0.66108331656278052</v>
      </c>
      <c r="C725" s="50">
        <f>$V$5*Performance!$E$12*(1/A725)+Performance!$E$23*(1/Constraints!$V$5)*Constraints!A725</f>
        <v>0.52987015765819734</v>
      </c>
      <c r="D725" s="52">
        <f t="shared" si="10"/>
        <v>0.44053642716134578</v>
      </c>
    </row>
    <row r="726" spans="1:4" x14ac:dyDescent="0.3">
      <c r="A726" s="51">
        <v>353</v>
      </c>
      <c r="B726" s="50">
        <f>$V$4*Performance!$E$12*(1/A726)+Performance!$E$23*(1/Constraints!$V$4)*Constraints!A726</f>
        <v>0.66201618658473727</v>
      </c>
      <c r="C726" s="50">
        <f>$V$5*Performance!$E$12*(1/A726)+Performance!$E$23*(1/Constraints!$V$5)*Constraints!A726</f>
        <v>0.53061570323324236</v>
      </c>
      <c r="D726" s="52">
        <f t="shared" si="10"/>
        <v>0.44080871287363138</v>
      </c>
    </row>
    <row r="727" spans="1:4" x14ac:dyDescent="0.3">
      <c r="A727" s="51">
        <v>353.5</v>
      </c>
      <c r="B727" s="50">
        <f>$V$4*Performance!$E$12*(1/A727)+Performance!$E$23*(1/Constraints!$V$4)*Constraints!A727</f>
        <v>0.66294906344316096</v>
      </c>
      <c r="C727" s="50">
        <f>$V$5*Performance!$E$12*(1/A727)+Performance!$E$23*(1/Constraints!$V$5)*Constraints!A727</f>
        <v>0.53136125735003847</v>
      </c>
      <c r="D727" s="52">
        <f t="shared" ref="D727:D789" si="11">1.21/(9.8*$N$7*$N$8*$N$5)*A727+0.605/$N$8*($N$11-$N$6*$N$10)+$N$6</f>
        <v>0.44108099858591698</v>
      </c>
    </row>
    <row r="728" spans="1:4" x14ac:dyDescent="0.3">
      <c r="A728" s="51">
        <v>354</v>
      </c>
      <c r="B728" s="50">
        <f>$V$4*Performance!$E$12*(1/A728)+Performance!$E$23*(1/Constraints!$V$4)*Constraints!A728</f>
        <v>0.66388194710908344</v>
      </c>
      <c r="C728" s="50">
        <f>$V$5*Performance!$E$12*(1/A728)+Performance!$E$23*(1/Constraints!$V$5)*Constraints!A728</f>
        <v>0.53210681997239195</v>
      </c>
      <c r="D728" s="52">
        <f t="shared" si="11"/>
        <v>0.44135328429820253</v>
      </c>
    </row>
    <row r="729" spans="1:4" x14ac:dyDescent="0.3">
      <c r="A729" s="51">
        <v>354.5</v>
      </c>
      <c r="B729" s="50">
        <f>$V$4*Performance!$E$12*(1/A729)+Performance!$E$23*(1/Constraints!$V$4)*Constraints!A729</f>
        <v>0.66481483755370019</v>
      </c>
      <c r="C729" s="50">
        <f>$V$5*Performance!$E$12*(1/A729)+Performance!$E$23*(1/Constraints!$V$5)*Constraints!A729</f>
        <v>0.53285239106431315</v>
      </c>
      <c r="D729" s="52">
        <f t="shared" si="11"/>
        <v>0.44162557001048819</v>
      </c>
    </row>
    <row r="730" spans="1:4" x14ac:dyDescent="0.3">
      <c r="A730" s="51">
        <v>355</v>
      </c>
      <c r="B730" s="50">
        <f>$V$4*Performance!$E$12*(1/A730)+Performance!$E$23*(1/Constraints!$V$4)*Constraints!A730</f>
        <v>0.66574773474836868</v>
      </c>
      <c r="C730" s="50">
        <f>$V$5*Performance!$E$12*(1/A730)+Performance!$E$23*(1/Constraints!$V$5)*Constraints!A730</f>
        <v>0.53359797059001501</v>
      </c>
      <c r="D730" s="52">
        <f t="shared" si="11"/>
        <v>0.44189785572277374</v>
      </c>
    </row>
    <row r="731" spans="1:4" x14ac:dyDescent="0.3">
      <c r="A731" s="51">
        <v>355.5</v>
      </c>
      <c r="B731" s="50">
        <f>$V$4*Performance!$E$12*(1/A731)+Performance!$E$23*(1/Constraints!$V$4)*Constraints!A731</f>
        <v>0.66668063866460792</v>
      </c>
      <c r="C731" s="50">
        <f>$V$5*Performance!$E$12*(1/A731)+Performance!$E$23*(1/Constraints!$V$5)*Constraints!A731</f>
        <v>0.53434355851391202</v>
      </c>
      <c r="D731" s="52">
        <f t="shared" si="11"/>
        <v>0.44217014143505939</v>
      </c>
    </row>
    <row r="732" spans="1:4" x14ac:dyDescent="0.3">
      <c r="A732" s="51">
        <v>356</v>
      </c>
      <c r="B732" s="50">
        <f>$V$4*Performance!$E$12*(1/A732)+Performance!$E$23*(1/Constraints!$V$4)*Constraints!A732</f>
        <v>0.66761354927409633</v>
      </c>
      <c r="C732" s="50">
        <f>$V$5*Performance!$E$12*(1/A732)+Performance!$E$23*(1/Constraints!$V$5)*Constraints!A732</f>
        <v>0.53508915480061858</v>
      </c>
      <c r="D732" s="52">
        <f t="shared" si="11"/>
        <v>0.44244242714734494</v>
      </c>
    </row>
    <row r="733" spans="1:4" x14ac:dyDescent="0.3">
      <c r="A733" s="51">
        <v>356.5</v>
      </c>
      <c r="B733" s="50">
        <f>$V$4*Performance!$E$12*(1/A733)+Performance!$E$23*(1/Constraints!$V$4)*Constraints!A733</f>
        <v>0.66854646654867178</v>
      </c>
      <c r="C733" s="50">
        <f>$V$5*Performance!$E$12*(1/A733)+Performance!$E$23*(1/Constraints!$V$5)*Constraints!A733</f>
        <v>0.53583475941494751</v>
      </c>
      <c r="D733" s="52">
        <f t="shared" si="11"/>
        <v>0.44271471285963054</v>
      </c>
    </row>
    <row r="734" spans="1:4" x14ac:dyDescent="0.3">
      <c r="A734" s="51">
        <v>357</v>
      </c>
      <c r="B734" s="50">
        <f>$V$4*Performance!$E$12*(1/A734)+Performance!$E$23*(1/Constraints!$V$4)*Constraints!A734</f>
        <v>0.66947939046032989</v>
      </c>
      <c r="C734" s="50">
        <f>$V$5*Performance!$E$12*(1/A734)+Performance!$E$23*(1/Constraints!$V$5)*Constraints!A734</f>
        <v>0.53658037232190869</v>
      </c>
      <c r="D734" s="52">
        <f t="shared" si="11"/>
        <v>0.44298699857191615</v>
      </c>
    </row>
    <row r="735" spans="1:4" x14ac:dyDescent="0.3">
      <c r="A735" s="51">
        <v>357.5</v>
      </c>
      <c r="B735" s="50">
        <f>$V$4*Performance!$E$12*(1/A735)+Performance!$E$23*(1/Constraints!$V$4)*Constraints!A735</f>
        <v>0.67041232098122239</v>
      </c>
      <c r="C735" s="50">
        <f>$V$5*Performance!$E$12*(1/A735)+Performance!$E$23*(1/Constraints!$V$5)*Constraints!A735</f>
        <v>0.53732599348670818</v>
      </c>
      <c r="D735" s="52">
        <f t="shared" si="11"/>
        <v>0.44325928428420175</v>
      </c>
    </row>
    <row r="736" spans="1:4" x14ac:dyDescent="0.3">
      <c r="A736" s="51">
        <v>358</v>
      </c>
      <c r="B736" s="50">
        <f>$V$4*Performance!$E$12*(1/A736)+Performance!$E$23*(1/Constraints!$V$4)*Constraints!A736</f>
        <v>0.6713452580836573</v>
      </c>
      <c r="C736" s="50">
        <f>$V$5*Performance!$E$12*(1/A736)+Performance!$E$23*(1/Constraints!$V$5)*Constraints!A736</f>
        <v>0.53807162287474575</v>
      </c>
      <c r="D736" s="52">
        <f t="shared" si="11"/>
        <v>0.44353156999648735</v>
      </c>
    </row>
    <row r="737" spans="1:4" x14ac:dyDescent="0.3">
      <c r="A737" s="51">
        <v>358.5</v>
      </c>
      <c r="B737" s="50">
        <f>$V$4*Performance!$E$12*(1/A737)+Performance!$E$23*(1/Constraints!$V$4)*Constraints!A737</f>
        <v>0.67227820174009645</v>
      </c>
      <c r="C737" s="50">
        <f>$V$5*Performance!$E$12*(1/A737)+Performance!$E$23*(1/Constraints!$V$5)*Constraints!A737</f>
        <v>0.53881726045161471</v>
      </c>
      <c r="D737" s="52">
        <f t="shared" si="11"/>
        <v>0.44380385570877295</v>
      </c>
    </row>
    <row r="738" spans="1:4" x14ac:dyDescent="0.3">
      <c r="A738" s="51">
        <v>359</v>
      </c>
      <c r="B738" s="50">
        <f>$V$4*Performance!$E$12*(1/A738)+Performance!$E$23*(1/Constraints!$V$4)*Constraints!A738</f>
        <v>0.67321115192315562</v>
      </c>
      <c r="C738" s="50">
        <f>$V$5*Performance!$E$12*(1/A738)+Performance!$E$23*(1/Constraints!$V$5)*Constraints!A738</f>
        <v>0.53956290618309988</v>
      </c>
      <c r="D738" s="52">
        <f t="shared" si="11"/>
        <v>0.44407614142105856</v>
      </c>
    </row>
    <row r="739" spans="1:4" x14ac:dyDescent="0.3">
      <c r="A739" s="51">
        <v>359.5</v>
      </c>
      <c r="B739" s="50">
        <f>$V$4*Performance!$E$12*(1/A739)+Performance!$E$23*(1/Constraints!$V$4)*Constraints!A739</f>
        <v>0.67414410860560281</v>
      </c>
      <c r="C739" s="50">
        <f>$V$5*Performance!$E$12*(1/A739)+Performance!$E$23*(1/Constraints!$V$5)*Constraints!A739</f>
        <v>0.54030856003517636</v>
      </c>
      <c r="D739" s="52">
        <f t="shared" si="11"/>
        <v>0.4443484271333441</v>
      </c>
    </row>
    <row r="740" spans="1:4" x14ac:dyDescent="0.3">
      <c r="A740" s="51">
        <v>360</v>
      </c>
      <c r="B740" s="50">
        <f>$V$4*Performance!$E$12*(1/A740)+Performance!$E$23*(1/Constraints!$V$4)*Constraints!A740</f>
        <v>0.67507707176035703</v>
      </c>
      <c r="C740" s="50">
        <f>$V$5*Performance!$E$12*(1/A740)+Performance!$E$23*(1/Constraints!$V$5)*Constraints!A740</f>
        <v>0.54105422197400843</v>
      </c>
      <c r="D740" s="52">
        <f t="shared" si="11"/>
        <v>0.44462071284562976</v>
      </c>
    </row>
    <row r="741" spans="1:4" x14ac:dyDescent="0.3">
      <c r="A741" s="51">
        <v>360.5</v>
      </c>
      <c r="B741" s="50">
        <f>$V$4*Performance!$E$12*(1/A741)+Performance!$E$23*(1/Constraints!$V$4)*Constraints!A741</f>
        <v>0.67601004136048781</v>
      </c>
      <c r="C741" s="50">
        <f>$V$5*Performance!$E$12*(1/A741)+Performance!$E$23*(1/Constraints!$V$5)*Constraints!A741</f>
        <v>0.54179989196594813</v>
      </c>
      <c r="D741" s="52">
        <f t="shared" si="11"/>
        <v>0.44489299855791531</v>
      </c>
    </row>
    <row r="742" spans="1:4" x14ac:dyDescent="0.3">
      <c r="A742" s="51">
        <v>361</v>
      </c>
      <c r="B742" s="50">
        <f>$V$4*Performance!$E$12*(1/A742)+Performance!$E$23*(1/Constraints!$V$4)*Constraints!A742</f>
        <v>0.67694301737921403</v>
      </c>
      <c r="C742" s="50">
        <f>$V$5*Performance!$E$12*(1/A742)+Performance!$E$23*(1/Constraints!$V$5)*Constraints!A742</f>
        <v>0.54254556997753345</v>
      </c>
      <c r="D742" s="52">
        <f t="shared" si="11"/>
        <v>0.44516528427020097</v>
      </c>
    </row>
    <row r="743" spans="1:4" x14ac:dyDescent="0.3">
      <c r="A743" s="51">
        <v>361.5</v>
      </c>
      <c r="B743" s="50">
        <f>$V$4*Performance!$E$12*(1/A743)+Performance!$E$23*(1/Constraints!$V$4)*Constraints!A743</f>
        <v>0.6778759997899021</v>
      </c>
      <c r="C743" s="50">
        <f>$V$5*Performance!$E$12*(1/A743)+Performance!$E$23*(1/Constraints!$V$5)*Constraints!A743</f>
        <v>0.54329125597548811</v>
      </c>
      <c r="D743" s="52">
        <f t="shared" si="11"/>
        <v>0.44543756998248651</v>
      </c>
    </row>
    <row r="744" spans="1:4" x14ac:dyDescent="0.3">
      <c r="A744" s="51">
        <v>362</v>
      </c>
      <c r="B744" s="50">
        <f>$V$4*Performance!$E$12*(1/A744)+Performance!$E$23*(1/Constraints!$V$4)*Constraints!A744</f>
        <v>0.67880898856606631</v>
      </c>
      <c r="C744" s="50">
        <f>$V$5*Performance!$E$12*(1/A744)+Performance!$E$23*(1/Constraints!$V$5)*Constraints!A744</f>
        <v>0.54403694992671947</v>
      </c>
      <c r="D744" s="52">
        <f t="shared" si="11"/>
        <v>0.44570985569477212</v>
      </c>
    </row>
    <row r="745" spans="1:4" x14ac:dyDescent="0.3">
      <c r="A745" s="51">
        <v>362.5</v>
      </c>
      <c r="B745" s="50">
        <f>$V$4*Performance!$E$12*(1/A745)+Performance!$E$23*(1/Constraints!$V$4)*Constraints!A745</f>
        <v>0.67974198368136673</v>
      </c>
      <c r="C745" s="50">
        <f>$V$5*Performance!$E$12*(1/A745)+Performance!$E$23*(1/Constraints!$V$5)*Constraints!A745</f>
        <v>0.5447826517983172</v>
      </c>
      <c r="D745" s="52">
        <f t="shared" si="11"/>
        <v>0.44598214140705772</v>
      </c>
    </row>
    <row r="746" spans="1:4" x14ac:dyDescent="0.3">
      <c r="A746" s="51">
        <v>363</v>
      </c>
      <c r="B746" s="50">
        <f>$V$4*Performance!$E$12*(1/A746)+Performance!$E$23*(1/Constraints!$V$4)*Constraints!A746</f>
        <v>0.68067498510960833</v>
      </c>
      <c r="C746" s="50">
        <f>$V$5*Performance!$E$12*(1/A746)+Performance!$E$23*(1/Constraints!$V$5)*Constraints!A746</f>
        <v>0.54552836155755269</v>
      </c>
      <c r="D746" s="52">
        <f t="shared" si="11"/>
        <v>0.44625442711934332</v>
      </c>
    </row>
    <row r="747" spans="1:4" x14ac:dyDescent="0.3">
      <c r="A747" s="51">
        <v>363.5</v>
      </c>
      <c r="B747" s="50">
        <f>$V$4*Performance!$E$12*(1/A747)+Performance!$E$23*(1/Constraints!$V$4)*Constraints!A747</f>
        <v>0.68160799282474072</v>
      </c>
      <c r="C747" s="50">
        <f>$V$5*Performance!$E$12*(1/A747)+Performance!$E$23*(1/Constraints!$V$5)*Constraints!A747</f>
        <v>0.5462740791718772</v>
      </c>
      <c r="D747" s="52">
        <f t="shared" si="11"/>
        <v>0.44652671283162892</v>
      </c>
    </row>
    <row r="748" spans="1:4" x14ac:dyDescent="0.3">
      <c r="A748" s="51">
        <v>364</v>
      </c>
      <c r="B748" s="50">
        <f>$V$4*Performance!$E$12*(1/A748)+Performance!$E$23*(1/Constraints!$V$4)*Constraints!A748</f>
        <v>0.68254100680085639</v>
      </c>
      <c r="C748" s="50">
        <f>$V$5*Performance!$E$12*(1/A748)+Performance!$E$23*(1/Constraints!$V$5)*Constraints!A748</f>
        <v>0.54701980460892075</v>
      </c>
      <c r="D748" s="52">
        <f t="shared" si="11"/>
        <v>0.44679899854391447</v>
      </c>
    </row>
    <row r="749" spans="1:4" x14ac:dyDescent="0.3">
      <c r="A749" s="51">
        <v>364.5</v>
      </c>
      <c r="B749" s="50">
        <f>$V$4*Performance!$E$12*(1/A749)+Performance!$E$23*(1/Constraints!$V$4)*Constraints!A749</f>
        <v>0.68347402701218984</v>
      </c>
      <c r="C749" s="50">
        <f>$V$5*Performance!$E$12*(1/A749)+Performance!$E$23*(1/Constraints!$V$5)*Constraints!A749</f>
        <v>0.54776553783649118</v>
      </c>
      <c r="D749" s="52">
        <f t="shared" si="11"/>
        <v>0.44707128425620013</v>
      </c>
    </row>
    <row r="750" spans="1:4" x14ac:dyDescent="0.3">
      <c r="A750" s="51">
        <v>365</v>
      </c>
      <c r="B750" s="50">
        <f>$V$4*Performance!$E$12*(1/A750)+Performance!$E$23*(1/Constraints!$V$4)*Constraints!A750</f>
        <v>0.68440705343311681</v>
      </c>
      <c r="C750" s="50">
        <f>$V$5*Performance!$E$12*(1/A750)+Performance!$E$23*(1/Constraints!$V$5)*Constraints!A750</f>
        <v>0.54851127882257267</v>
      </c>
      <c r="D750" s="52">
        <f t="shared" si="11"/>
        <v>0.44734356996848568</v>
      </c>
    </row>
    <row r="751" spans="1:4" x14ac:dyDescent="0.3">
      <c r="A751" s="51">
        <v>365.5</v>
      </c>
      <c r="B751" s="50">
        <f>$V$4*Performance!$E$12*(1/A751)+Performance!$E$23*(1/Constraints!$V$4)*Constraints!A751</f>
        <v>0.68534008603815366</v>
      </c>
      <c r="C751" s="50">
        <f>$V$5*Performance!$E$12*(1/A751)+Performance!$E$23*(1/Constraints!$V$5)*Constraints!A751</f>
        <v>0.54925702753532435</v>
      </c>
      <c r="D751" s="52">
        <f t="shared" si="11"/>
        <v>0.44761585568077134</v>
      </c>
    </row>
    <row r="752" spans="1:4" x14ac:dyDescent="0.3">
      <c r="A752" s="51">
        <v>366</v>
      </c>
      <c r="B752" s="50">
        <f>$V$4*Performance!$E$12*(1/A752)+Performance!$E$23*(1/Constraints!$V$4)*Constraints!A752</f>
        <v>0.68627312480195535</v>
      </c>
      <c r="C752" s="50">
        <f>$V$5*Performance!$E$12*(1/A752)+Performance!$E$23*(1/Constraints!$V$5)*Constraints!A752</f>
        <v>0.55000278394307967</v>
      </c>
      <c r="D752" s="52">
        <f t="shared" si="11"/>
        <v>0.44788814139305688</v>
      </c>
    </row>
    <row r="753" spans="1:4" x14ac:dyDescent="0.3">
      <c r="A753" s="51">
        <v>366.5</v>
      </c>
      <c r="B753" s="50">
        <f>$V$4*Performance!$E$12*(1/A753)+Performance!$E$23*(1/Constraints!$V$4)*Constraints!A753</f>
        <v>0.68720616969931569</v>
      </c>
      <c r="C753" s="50">
        <f>$V$5*Performance!$E$12*(1/A753)+Performance!$E$23*(1/Constraints!$V$5)*Constraints!A753</f>
        <v>0.55074854801434492</v>
      </c>
      <c r="D753" s="52">
        <f t="shared" si="11"/>
        <v>0.44816042710534248</v>
      </c>
    </row>
    <row r="754" spans="1:4" x14ac:dyDescent="0.3">
      <c r="A754" s="51">
        <v>367</v>
      </c>
      <c r="B754" s="50">
        <f>$V$4*Performance!$E$12*(1/A754)+Performance!$E$23*(1/Constraints!$V$4)*Constraints!A754</f>
        <v>0.68813922070516553</v>
      </c>
      <c r="C754" s="50">
        <f>$V$5*Performance!$E$12*(1/A754)+Performance!$E$23*(1/Constraints!$V$5)*Constraints!A754</f>
        <v>0.5514943197177975</v>
      </c>
      <c r="D754" s="52">
        <f t="shared" si="11"/>
        <v>0.44843271281762809</v>
      </c>
    </row>
    <row r="755" spans="1:4" x14ac:dyDescent="0.3">
      <c r="A755" s="51">
        <v>367.5</v>
      </c>
      <c r="B755" s="50">
        <f>$V$4*Performance!$E$12*(1/A755)+Performance!$E$23*(1/Constraints!$V$4)*Constraints!A755</f>
        <v>0.68907227779457225</v>
      </c>
      <c r="C755" s="50">
        <f>$V$5*Performance!$E$12*(1/A755)+Performance!$E$23*(1/Constraints!$V$5)*Constraints!A755</f>
        <v>0.55224009902228588</v>
      </c>
      <c r="D755" s="52">
        <f t="shared" si="11"/>
        <v>0.44870499852991369</v>
      </c>
    </row>
    <row r="756" spans="1:4" x14ac:dyDescent="0.3">
      <c r="A756" s="51">
        <v>368</v>
      </c>
      <c r="B756" s="50">
        <f>$V$4*Performance!$E$12*(1/A756)+Performance!$E$23*(1/Constraints!$V$4)*Constraints!A756</f>
        <v>0.6900053409427388</v>
      </c>
      <c r="C756" s="50">
        <f>$V$5*Performance!$E$12*(1/A756)+Performance!$E$23*(1/Constraints!$V$5)*Constraints!A756</f>
        <v>0.5529858858968274</v>
      </c>
      <c r="D756" s="52">
        <f t="shared" si="11"/>
        <v>0.44897728424219929</v>
      </c>
    </row>
    <row r="757" spans="1:4" x14ac:dyDescent="0.3">
      <c r="A757" s="51">
        <v>368.5</v>
      </c>
      <c r="B757" s="50">
        <f>$V$4*Performance!$E$12*(1/A757)+Performance!$E$23*(1/Constraints!$V$4)*Constraints!A757</f>
        <v>0.69093841012500268</v>
      </c>
      <c r="C757" s="50">
        <f>$V$5*Performance!$E$12*(1/A757)+Performance!$E$23*(1/Constraints!$V$5)*Constraints!A757</f>
        <v>0.55373168031060804</v>
      </c>
      <c r="D757" s="52">
        <f t="shared" si="11"/>
        <v>0.44924956995448484</v>
      </c>
    </row>
    <row r="758" spans="1:4" x14ac:dyDescent="0.3">
      <c r="A758" s="51">
        <v>369</v>
      </c>
      <c r="B758" s="50">
        <f>$V$4*Performance!$E$12*(1/A758)+Performance!$E$23*(1/Constraints!$V$4)*Constraints!A758</f>
        <v>0.69187148531683484</v>
      </c>
      <c r="C758" s="50">
        <f>$V$5*Performance!$E$12*(1/A758)+Performance!$E$23*(1/Constraints!$V$5)*Constraints!A758</f>
        <v>0.55447748223298021</v>
      </c>
      <c r="D758" s="52">
        <f t="shared" si="11"/>
        <v>0.4495218556667705</v>
      </c>
    </row>
    <row r="759" spans="1:4" x14ac:dyDescent="0.3">
      <c r="A759" s="51">
        <v>369.5</v>
      </c>
      <c r="B759" s="50">
        <f>$V$4*Performance!$E$12*(1/A759)+Performance!$E$23*(1/Constraints!$V$4)*Constraints!A759</f>
        <v>0.69280456649383937</v>
      </c>
      <c r="C759" s="50">
        <f>$V$5*Performance!$E$12*(1/A759)+Performance!$E$23*(1/Constraints!$V$5)*Constraints!A759</f>
        <v>0.5552232916334624</v>
      </c>
      <c r="D759" s="52">
        <f t="shared" si="11"/>
        <v>0.44979414137905604</v>
      </c>
    </row>
    <row r="760" spans="1:4" x14ac:dyDescent="0.3">
      <c r="A760" s="51">
        <v>370</v>
      </c>
      <c r="B760" s="50">
        <f>$V$4*Performance!$E$12*(1/A760)+Performance!$E$23*(1/Constraints!$V$4)*Constraints!A760</f>
        <v>0.69373765363175222</v>
      </c>
      <c r="C760" s="50">
        <f>$V$5*Performance!$E$12*(1/A760)+Performance!$E$23*(1/Constraints!$V$5)*Constraints!A760</f>
        <v>0.55596910848173831</v>
      </c>
      <c r="D760" s="52">
        <f t="shared" si="11"/>
        <v>0.4500664270913417</v>
      </c>
    </row>
    <row r="761" spans="1:4" x14ac:dyDescent="0.3">
      <c r="A761" s="51">
        <v>370.5</v>
      </c>
      <c r="B761" s="50">
        <f>$V$4*Performance!$E$12*(1/A761)+Performance!$E$23*(1/Constraints!$V$4)*Constraints!A761</f>
        <v>0.6946707467064398</v>
      </c>
      <c r="C761" s="50">
        <f>$V$5*Performance!$E$12*(1/A761)+Performance!$E$23*(1/Constraints!$V$5)*Constraints!A761</f>
        <v>0.5567149327476546</v>
      </c>
      <c r="D761" s="52">
        <f t="shared" si="11"/>
        <v>0.45033871280362725</v>
      </c>
    </row>
    <row r="762" spans="1:4" x14ac:dyDescent="0.3">
      <c r="A762" s="51">
        <v>371</v>
      </c>
      <c r="B762" s="50">
        <f>$V$4*Performance!$E$12*(1/A762)+Performance!$E$23*(1/Constraints!$V$4)*Constraints!A762</f>
        <v>0.69560384569389933</v>
      </c>
      <c r="C762" s="50">
        <f>$V$5*Performance!$E$12*(1/A762)+Performance!$E$23*(1/Constraints!$V$5)*Constraints!A762</f>
        <v>0.55746076440122094</v>
      </c>
      <c r="D762" s="52">
        <f t="shared" si="11"/>
        <v>0.45061099851591285</v>
      </c>
    </row>
    <row r="763" spans="1:4" x14ac:dyDescent="0.3">
      <c r="A763" s="51">
        <v>371.5</v>
      </c>
      <c r="B763" s="50">
        <f>$V$4*Performance!$E$12*(1/A763)+Performance!$E$23*(1/Constraints!$V$4)*Constraints!A763</f>
        <v>0.69653695057025655</v>
      </c>
      <c r="C763" s="50">
        <f>$V$5*Performance!$E$12*(1/A763)+Performance!$E$23*(1/Constraints!$V$5)*Constraints!A763</f>
        <v>0.55820660341260842</v>
      </c>
      <c r="D763" s="52">
        <f t="shared" si="11"/>
        <v>0.45088328422819846</v>
      </c>
    </row>
    <row r="764" spans="1:4" x14ac:dyDescent="0.3">
      <c r="A764" s="51">
        <v>372</v>
      </c>
      <c r="B764" s="50">
        <f>$V$4*Performance!$E$12*(1/A764)+Performance!$E$23*(1/Constraints!$V$4)*Constraints!A764</f>
        <v>0.69747006131176614</v>
      </c>
      <c r="C764" s="50">
        <f>$V$5*Performance!$E$12*(1/A764)+Performance!$E$23*(1/Constraints!$V$5)*Constraints!A764</f>
        <v>0.55895244975214819</v>
      </c>
      <c r="D764" s="52">
        <f t="shared" si="11"/>
        <v>0.45115556994048406</v>
      </c>
    </row>
    <row r="765" spans="1:4" x14ac:dyDescent="0.3">
      <c r="A765" s="51">
        <v>372.5</v>
      </c>
      <c r="B765" s="50">
        <f>$V$4*Performance!$E$12*(1/A765)+Performance!$E$23*(1/Constraints!$V$4)*Constraints!A765</f>
        <v>0.69840317789480999</v>
      </c>
      <c r="C765" s="50">
        <f>$V$5*Performance!$E$12*(1/A765)+Performance!$E$23*(1/Constraints!$V$5)*Constraints!A765</f>
        <v>0.55969830339033111</v>
      </c>
      <c r="D765" s="52">
        <f t="shared" si="11"/>
        <v>0.45142785565276966</v>
      </c>
    </row>
    <row r="766" spans="1:4" x14ac:dyDescent="0.3">
      <c r="A766" s="51">
        <v>373</v>
      </c>
      <c r="B766" s="50">
        <f>$V$4*Performance!$E$12*(1/A766)+Performance!$E$23*(1/Constraints!$V$4)*Constraints!A766</f>
        <v>0.69933630029589655</v>
      </c>
      <c r="C766" s="50">
        <f>$V$5*Performance!$E$12*(1/A766)+Performance!$E$23*(1/Constraints!$V$5)*Constraints!A766</f>
        <v>0.56044416429780597</v>
      </c>
      <c r="D766" s="52">
        <f t="shared" si="11"/>
        <v>0.45170014136505526</v>
      </c>
    </row>
    <row r="767" spans="1:4" x14ac:dyDescent="0.3">
      <c r="A767" s="51">
        <v>373.5</v>
      </c>
      <c r="B767" s="50">
        <f>$V$4*Performance!$E$12*(1/A767)+Performance!$E$23*(1/Constraints!$V$4)*Constraints!A767</f>
        <v>0.70026942849166041</v>
      </c>
      <c r="C767" s="50">
        <f>$V$5*Performance!$E$12*(1/A767)+Performance!$E$23*(1/Constraints!$V$5)*Constraints!A767</f>
        <v>0.56119003244537879</v>
      </c>
      <c r="D767" s="52">
        <f t="shared" si="11"/>
        <v>0.45197242707734087</v>
      </c>
    </row>
    <row r="768" spans="1:4" x14ac:dyDescent="0.3">
      <c r="A768" s="51">
        <v>374</v>
      </c>
      <c r="B768" s="50">
        <f>$V$4*Performance!$E$12*(1/A768)+Performance!$E$23*(1/Constraints!$V$4)*Constraints!A768</f>
        <v>0.70120256245886081</v>
      </c>
      <c r="C768" s="50">
        <f>$V$5*Performance!$E$12*(1/A768)+Performance!$E$23*(1/Constraints!$V$5)*Constraints!A768</f>
        <v>0.56193590780401181</v>
      </c>
      <c r="D768" s="52">
        <f t="shared" si="11"/>
        <v>0.45224471278962641</v>
      </c>
    </row>
    <row r="769" spans="1:4" x14ac:dyDescent="0.3">
      <c r="A769" s="51">
        <v>374.5</v>
      </c>
      <c r="B769" s="50">
        <f>$V$4*Performance!$E$12*(1/A769)+Performance!$E$23*(1/Constraints!$V$4)*Constraints!A769</f>
        <v>0.70213570217438104</v>
      </c>
      <c r="C769" s="50">
        <f>$V$5*Performance!$E$12*(1/A769)+Performance!$E$23*(1/Constraints!$V$5)*Constraints!A769</f>
        <v>0.56268179034482235</v>
      </c>
      <c r="D769" s="52">
        <f t="shared" si="11"/>
        <v>0.45251699850191207</v>
      </c>
    </row>
    <row r="770" spans="1:4" x14ac:dyDescent="0.3">
      <c r="A770" s="51">
        <v>375</v>
      </c>
      <c r="B770" s="50">
        <f>$V$4*Performance!$E$12*(1/A770)+Performance!$E$23*(1/Constraints!$V$4)*Constraints!A770</f>
        <v>0.70306884761522792</v>
      </c>
      <c r="C770" s="50">
        <f>$V$5*Performance!$E$12*(1/A770)+Performance!$E$23*(1/Constraints!$V$5)*Constraints!A770</f>
        <v>0.5634276800390815</v>
      </c>
      <c r="D770" s="52">
        <f t="shared" si="11"/>
        <v>0.45278928421419762</v>
      </c>
    </row>
    <row r="771" spans="1:4" x14ac:dyDescent="0.3">
      <c r="A771" s="51">
        <v>375.5</v>
      </c>
      <c r="B771" s="50">
        <f>$V$4*Performance!$E$12*(1/A771)+Performance!$E$23*(1/Constraints!$V$4)*Constraints!A771</f>
        <v>0.70400199875853076</v>
      </c>
      <c r="C771" s="50">
        <f>$V$5*Performance!$E$12*(1/A771)+Performance!$E$23*(1/Constraints!$V$5)*Constraints!A771</f>
        <v>0.56417357685821368</v>
      </c>
      <c r="D771" s="52">
        <f t="shared" si="11"/>
        <v>0.45306156992648328</v>
      </c>
    </row>
    <row r="772" spans="1:4" x14ac:dyDescent="0.3">
      <c r="A772" s="51">
        <v>376</v>
      </c>
      <c r="B772" s="50">
        <f>$V$4*Performance!$E$12*(1/A772)+Performance!$E$23*(1/Constraints!$V$4)*Constraints!A772</f>
        <v>0.70493515558154007</v>
      </c>
      <c r="C772" s="50">
        <f>$V$5*Performance!$E$12*(1/A772)+Performance!$E$23*(1/Constraints!$V$5)*Constraints!A772</f>
        <v>0.56491948077379539</v>
      </c>
      <c r="D772" s="52">
        <f t="shared" si="11"/>
        <v>0.45333385563876882</v>
      </c>
    </row>
    <row r="773" spans="1:4" x14ac:dyDescent="0.3">
      <c r="A773" s="51">
        <v>376.5</v>
      </c>
      <c r="B773" s="50">
        <f>$V$4*Performance!$E$12*(1/A773)+Performance!$E$23*(1/Constraints!$V$4)*Constraints!A773</f>
        <v>0.70586831806162786</v>
      </c>
      <c r="C773" s="50">
        <f>$V$5*Performance!$E$12*(1/A773)+Performance!$E$23*(1/Constraints!$V$5)*Constraints!A773</f>
        <v>0.56566539175755348</v>
      </c>
      <c r="D773" s="52">
        <f t="shared" si="11"/>
        <v>0.45360614135105443</v>
      </c>
    </row>
    <row r="774" spans="1:4" x14ac:dyDescent="0.3">
      <c r="A774" s="51">
        <v>377</v>
      </c>
      <c r="B774" s="50">
        <f>$V$4*Performance!$E$12*(1/A774)+Performance!$E$23*(1/Constraints!$V$4)*Constraints!A774</f>
        <v>0.7068014861762858</v>
      </c>
      <c r="C774" s="50">
        <f>$V$5*Performance!$E$12*(1/A774)+Performance!$E$23*(1/Constraints!$V$5)*Constraints!A774</f>
        <v>0.56641130978136556</v>
      </c>
      <c r="D774" s="52">
        <f t="shared" si="11"/>
        <v>0.45387842706334003</v>
      </c>
    </row>
    <row r="775" spans="1:4" x14ac:dyDescent="0.3">
      <c r="A775" s="51">
        <v>377.5</v>
      </c>
      <c r="B775" s="50">
        <f>$V$4*Performance!$E$12*(1/A775)+Performance!$E$23*(1/Constraints!$V$4)*Constraints!A775</f>
        <v>0.70773465990312479</v>
      </c>
      <c r="C775" s="50">
        <f>$V$5*Performance!$E$12*(1/A775)+Performance!$E$23*(1/Constraints!$V$5)*Constraints!A775</f>
        <v>0.56715723481725788</v>
      </c>
      <c r="D775" s="52">
        <f t="shared" si="11"/>
        <v>0.45415071277562563</v>
      </c>
    </row>
    <row r="776" spans="1:4" x14ac:dyDescent="0.3">
      <c r="A776" s="51">
        <v>378</v>
      </c>
      <c r="B776" s="50">
        <f>$V$4*Performance!$E$12*(1/A776)+Performance!$E$23*(1/Constraints!$V$4)*Constraints!A776</f>
        <v>0.7086678392198742</v>
      </c>
      <c r="C776" s="50">
        <f>$V$5*Performance!$E$12*(1/A776)+Performance!$E$23*(1/Constraints!$V$5)*Constraints!A776</f>
        <v>0.5679031668374046</v>
      </c>
      <c r="D776" s="52">
        <f t="shared" si="11"/>
        <v>0.45442299848791123</v>
      </c>
    </row>
    <row r="777" spans="1:4" x14ac:dyDescent="0.3">
      <c r="A777" s="51">
        <v>378.5</v>
      </c>
      <c r="B777" s="50">
        <f>$V$4*Performance!$E$12*(1/A777)+Performance!$E$23*(1/Constraints!$V$4)*Constraints!A777</f>
        <v>0.70960102410438142</v>
      </c>
      <c r="C777" s="50">
        <f>$V$5*Performance!$E$12*(1/A777)+Performance!$E$23*(1/Constraints!$V$5)*Constraints!A777</f>
        <v>0.56864910581412709</v>
      </c>
      <c r="D777" s="52">
        <f t="shared" si="11"/>
        <v>0.45469528420019678</v>
      </c>
    </row>
    <row r="778" spans="1:4" x14ac:dyDescent="0.3">
      <c r="A778" s="51">
        <v>379</v>
      </c>
      <c r="B778" s="50">
        <f>$V$4*Performance!$E$12*(1/A778)+Performance!$E$23*(1/Constraints!$V$4)*Constraints!A778</f>
        <v>0.71053421453461019</v>
      </c>
      <c r="C778" s="50">
        <f>$V$5*Performance!$E$12*(1/A778)+Performance!$E$23*(1/Constraints!$V$5)*Constraints!A778</f>
        <v>0.56939505171989291</v>
      </c>
      <c r="D778" s="52">
        <f t="shared" si="11"/>
        <v>0.45496756991248244</v>
      </c>
    </row>
    <row r="779" spans="1:4" x14ac:dyDescent="0.3">
      <c r="A779" s="51">
        <v>379.5</v>
      </c>
      <c r="B779" s="50">
        <f>$V$4*Performance!$E$12*(1/A779)+Performance!$E$23*(1/Constraints!$V$4)*Constraints!A779</f>
        <v>0.71146741048864082</v>
      </c>
      <c r="C779" s="50">
        <f>$V$5*Performance!$E$12*(1/A779)+Performance!$E$23*(1/Constraints!$V$5)*Constraints!A779</f>
        <v>0.5701410045273142</v>
      </c>
      <c r="D779" s="52">
        <f t="shared" si="11"/>
        <v>0.45523985562476799</v>
      </c>
    </row>
    <row r="780" spans="1:4" x14ac:dyDescent="0.3">
      <c r="A780" s="51">
        <v>380</v>
      </c>
      <c r="B780" s="50">
        <f>$V$4*Performance!$E$12*(1/A780)+Performance!$E$23*(1/Constraints!$V$4)*Constraints!A780</f>
        <v>0.71240061194466875</v>
      </c>
      <c r="C780" s="50">
        <f>$V$5*Performance!$E$12*(1/A780)+Performance!$E$23*(1/Constraints!$V$5)*Constraints!A780</f>
        <v>0.57088696420914786</v>
      </c>
      <c r="D780" s="52">
        <f t="shared" si="11"/>
        <v>0.45551214133705364</v>
      </c>
    </row>
    <row r="781" spans="1:4" x14ac:dyDescent="0.3">
      <c r="A781" s="51">
        <v>380.5</v>
      </c>
      <c r="B781" s="50">
        <f>$V$4*Performance!$E$12*(1/A781)+Performance!$E$23*(1/Constraints!$V$4)*Constraints!A781</f>
        <v>0.71333381888100411</v>
      </c>
      <c r="C781" s="50">
        <f>$V$5*Performance!$E$12*(1/A781)+Performance!$E$23*(1/Constraints!$V$5)*Constraints!A781</f>
        <v>0.57163293073829358</v>
      </c>
      <c r="D781" s="52">
        <f t="shared" si="11"/>
        <v>0.45578442704933919</v>
      </c>
    </row>
    <row r="782" spans="1:4" x14ac:dyDescent="0.3">
      <c r="A782" s="51">
        <v>381</v>
      </c>
      <c r="B782" s="50">
        <f>$V$4*Performance!$E$12*(1/A782)+Performance!$E$23*(1/Constraints!$V$4)*Constraints!A782</f>
        <v>0.71426703127607094</v>
      </c>
      <c r="C782" s="50">
        <f>$V$5*Performance!$E$12*(1/A782)+Performance!$E$23*(1/Constraints!$V$5)*Constraints!A782</f>
        <v>0.57237890408779346</v>
      </c>
      <c r="D782" s="52">
        <f t="shared" si="11"/>
        <v>0.45605671276162479</v>
      </c>
    </row>
    <row r="783" spans="1:4" x14ac:dyDescent="0.3">
      <c r="A783" s="51">
        <v>381.5</v>
      </c>
      <c r="B783" s="50">
        <f>$V$4*Performance!$E$12*(1/A783)+Performance!$E$23*(1/Constraints!$V$4)*Constraints!A783</f>
        <v>0.71520024910840641</v>
      </c>
      <c r="C783" s="50">
        <f>$V$5*Performance!$E$12*(1/A783)+Performance!$E$23*(1/Constraints!$V$5)*Constraints!A783</f>
        <v>0.57312488423083086</v>
      </c>
      <c r="D783" s="52">
        <f t="shared" si="11"/>
        <v>0.4563289984739104</v>
      </c>
    </row>
    <row r="784" spans="1:4" x14ac:dyDescent="0.3">
      <c r="A784" s="51">
        <v>382</v>
      </c>
      <c r="B784" s="50">
        <f>$V$4*Performance!$E$12*(1/A784)+Performance!$E$23*(1/Constraints!$V$4)*Constraints!A784</f>
        <v>0.71613347235665969</v>
      </c>
      <c r="C784" s="50">
        <f>$V$5*Performance!$E$12*(1/A784)+Performance!$E$23*(1/Constraints!$V$5)*Constraints!A784</f>
        <v>0.57387087114072954</v>
      </c>
      <c r="D784" s="52">
        <f t="shared" si="11"/>
        <v>0.456601284186196</v>
      </c>
    </row>
    <row r="785" spans="1:4" x14ac:dyDescent="0.3">
      <c r="A785" s="51">
        <v>382.5</v>
      </c>
      <c r="B785" s="50">
        <f>$V$4*Performance!$E$12*(1/A785)+Performance!$E$23*(1/Constraints!$V$4)*Constraints!A785</f>
        <v>0.71706670099959213</v>
      </c>
      <c r="C785" s="50">
        <f>$V$5*Performance!$E$12*(1/A785)+Performance!$E$23*(1/Constraints!$V$5)*Constraints!A785</f>
        <v>0.57461686479095309</v>
      </c>
      <c r="D785" s="52">
        <f t="shared" si="11"/>
        <v>0.4568735698984816</v>
      </c>
    </row>
    <row r="786" spans="1:4" x14ac:dyDescent="0.3">
      <c r="A786" s="51">
        <v>383</v>
      </c>
      <c r="B786" s="50">
        <f>$V$4*Performance!$E$12*(1/A786)+Performance!$E$23*(1/Constraints!$V$4)*Constraints!A786</f>
        <v>0.71799993501607584</v>
      </c>
      <c r="C786" s="50">
        <f>$V$5*Performance!$E$12*(1/A786)+Performance!$E$23*(1/Constraints!$V$5)*Constraints!A786</f>
        <v>0.57536286515510304</v>
      </c>
      <c r="D786" s="52">
        <f t="shared" si="11"/>
        <v>0.45714585561076715</v>
      </c>
    </row>
    <row r="787" spans="1:4" x14ac:dyDescent="0.3">
      <c r="A787" s="51">
        <v>383.5</v>
      </c>
      <c r="B787" s="50">
        <f>$V$4*Performance!$E$12*(1/A787)+Performance!$E$23*(1/Constraints!$V$4)*Constraints!A787</f>
        <v>0.71893317438509274</v>
      </c>
      <c r="C787" s="50">
        <f>$V$5*Performance!$E$12*(1/A787)+Performance!$E$23*(1/Constraints!$V$5)*Constraints!A787</f>
        <v>0.57610887220691909</v>
      </c>
      <c r="D787" s="52">
        <f t="shared" si="11"/>
        <v>0.45741814132305281</v>
      </c>
    </row>
    <row r="788" spans="1:4" x14ac:dyDescent="0.3">
      <c r="A788" s="51">
        <v>384</v>
      </c>
      <c r="B788" s="50">
        <f>$V$4*Performance!$E$12*(1/A788)+Performance!$E$23*(1/Constraints!$V$4)*Constraints!A788</f>
        <v>0.71986641908573479</v>
      </c>
      <c r="C788" s="50">
        <f>$V$5*Performance!$E$12*(1/A788)+Performance!$E$23*(1/Constraints!$V$5)*Constraints!A788</f>
        <v>0.57685488592027756</v>
      </c>
      <c r="D788" s="52">
        <f t="shared" si="11"/>
        <v>0.45769042703533835</v>
      </c>
    </row>
    <row r="789" spans="1:4" x14ac:dyDescent="0.3">
      <c r="A789" s="51">
        <v>384.5</v>
      </c>
      <c r="B789" s="50">
        <f>$V$4*Performance!$E$12*(1/A789)+Performance!$E$23*(1/Constraints!$V$4)*Constraints!A789</f>
        <v>0.72079966909720206</v>
      </c>
      <c r="C789" s="50">
        <f>$V$5*Performance!$E$12*(1/A789)+Performance!$E$23*(1/Constraints!$V$5)*Constraints!A789</f>
        <v>0.57760090626919047</v>
      </c>
      <c r="D789" s="52">
        <f t="shared" si="11"/>
        <v>0.45796271274762401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D24"/>
  <sheetViews>
    <sheetView workbookViewId="0">
      <selection activeCell="C12" sqref="C12"/>
    </sheetView>
  </sheetViews>
  <sheetFormatPr defaultRowHeight="14.4" x14ac:dyDescent="0.3"/>
  <cols>
    <col min="2" max="2" width="23.44140625" customWidth="1"/>
    <col min="3" max="3" width="7.21875" customWidth="1"/>
    <col min="4" max="4" width="6.6640625" customWidth="1"/>
  </cols>
  <sheetData>
    <row r="3" spans="2:4" x14ac:dyDescent="0.3">
      <c r="B3" t="s">
        <v>0</v>
      </c>
    </row>
    <row r="5" spans="2:4" x14ac:dyDescent="0.3">
      <c r="B5" t="s">
        <v>1</v>
      </c>
      <c r="C5">
        <v>10.71</v>
      </c>
      <c r="D5" t="s">
        <v>2</v>
      </c>
    </row>
    <row r="6" spans="2:4" x14ac:dyDescent="0.3">
      <c r="B6" t="s">
        <v>3</v>
      </c>
      <c r="C6">
        <v>9.51</v>
      </c>
      <c r="D6" t="s">
        <v>4</v>
      </c>
    </row>
    <row r="7" spans="2:4" x14ac:dyDescent="0.3">
      <c r="B7" t="s">
        <v>5</v>
      </c>
      <c r="C7">
        <v>12.04</v>
      </c>
      <c r="D7" t="s">
        <v>7</v>
      </c>
    </row>
    <row r="8" spans="2:4" x14ac:dyDescent="0.3">
      <c r="B8" t="s">
        <v>6</v>
      </c>
      <c r="C8">
        <v>428</v>
      </c>
      <c r="D8" t="s">
        <v>8</v>
      </c>
    </row>
    <row r="9" spans="2:4" x14ac:dyDescent="0.3">
      <c r="B9" t="s">
        <v>9</v>
      </c>
      <c r="C9">
        <v>600</v>
      </c>
      <c r="D9" t="s">
        <v>8</v>
      </c>
    </row>
    <row r="10" spans="2:4" x14ac:dyDescent="0.3">
      <c r="B10" t="s">
        <v>12</v>
      </c>
      <c r="C10">
        <v>172</v>
      </c>
      <c r="D10" t="s">
        <v>8</v>
      </c>
    </row>
    <row r="11" spans="2:4" x14ac:dyDescent="0.3">
      <c r="B11" t="s">
        <v>15</v>
      </c>
      <c r="C11" t="s">
        <v>16</v>
      </c>
      <c r="D11" t="s">
        <v>17</v>
      </c>
    </row>
    <row r="12" spans="2:4" x14ac:dyDescent="0.3">
      <c r="B12" t="s">
        <v>27</v>
      </c>
      <c r="C12">
        <f>9.8*C9/C6</f>
        <v>618.29652996845425</v>
      </c>
    </row>
    <row r="13" spans="2:4" x14ac:dyDescent="0.3">
      <c r="B13" t="s">
        <v>13</v>
      </c>
      <c r="C13">
        <v>57.6</v>
      </c>
      <c r="D13" t="s">
        <v>14</v>
      </c>
    </row>
    <row r="14" spans="2:4" x14ac:dyDescent="0.3">
      <c r="B14" t="s">
        <v>10</v>
      </c>
      <c r="C14">
        <v>24.8</v>
      </c>
      <c r="D14" t="s">
        <v>11</v>
      </c>
    </row>
    <row r="15" spans="2:4" x14ac:dyDescent="0.3">
      <c r="B15" t="s">
        <v>18</v>
      </c>
      <c r="C15">
        <v>50</v>
      </c>
      <c r="D15" t="s">
        <v>19</v>
      </c>
    </row>
    <row r="16" spans="2:4" x14ac:dyDescent="0.3">
      <c r="B16" t="s">
        <v>26</v>
      </c>
      <c r="C16">
        <v>22.7</v>
      </c>
      <c r="D16" t="s">
        <v>8</v>
      </c>
    </row>
    <row r="18" spans="2:4" x14ac:dyDescent="0.3">
      <c r="B18" t="s">
        <v>21</v>
      </c>
      <c r="C18">
        <v>15</v>
      </c>
    </row>
    <row r="19" spans="2:4" x14ac:dyDescent="0.3">
      <c r="B19" t="s">
        <v>20</v>
      </c>
      <c r="C19">
        <v>1.875</v>
      </c>
    </row>
    <row r="22" spans="2:4" x14ac:dyDescent="0.3">
      <c r="B22" t="s">
        <v>23</v>
      </c>
      <c r="C22">
        <v>90</v>
      </c>
      <c r="D22" t="s">
        <v>22</v>
      </c>
    </row>
    <row r="23" spans="2:4" x14ac:dyDescent="0.3">
      <c r="B23" t="s">
        <v>24</v>
      </c>
      <c r="C23">
        <v>45</v>
      </c>
      <c r="D23" t="s">
        <v>22</v>
      </c>
    </row>
    <row r="24" spans="2:4" x14ac:dyDescent="0.3">
      <c r="B24" s="1" t="s">
        <v>25</v>
      </c>
      <c r="C24" s="1">
        <v>51</v>
      </c>
      <c r="D24" t="s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Performance</vt:lpstr>
      <vt:lpstr>Constraints</vt:lpstr>
      <vt:lpstr>Velis Electro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 Sundström</dc:creator>
  <cp:lastModifiedBy>Love Sundström</cp:lastModifiedBy>
  <dcterms:created xsi:type="dcterms:W3CDTF">2015-06-05T18:17:20Z</dcterms:created>
  <dcterms:modified xsi:type="dcterms:W3CDTF">2023-09-08T13:19:58Z</dcterms:modified>
</cp:coreProperties>
</file>