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th-my.sharepoint.com/personal/palomapt_ug_kth_se/Documents/Fundamentals of Flight/"/>
    </mc:Choice>
  </mc:AlternateContent>
  <xr:revisionPtr revIDLastSave="378" documentId="8_{E226FF88-8195-470A-B11E-EDB4AB426A27}" xr6:coauthVersionLast="47" xr6:coauthVersionMax="47" xr10:uidLastSave="{8E9D05A8-8C8E-45D9-BB5C-849D18F9241F}"/>
  <bookViews>
    <workbookView xWindow="-120" yWindow="-120" windowWidth="20730" windowHeight="11160" activeTab="1" xr2:uid="{00000000-000D-0000-FFFF-FFFF00000000}"/>
  </bookViews>
  <sheets>
    <sheet name="Performance" sheetId="2" r:id="rId1"/>
    <sheet name="Constraints" sheetId="3" r:id="rId2"/>
    <sheet name="Velis Electro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3" i="3" l="1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22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R22" i="3"/>
  <c r="Q22" i="3"/>
  <c r="P22" i="3"/>
  <c r="AC13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N22" i="3"/>
  <c r="M22" i="3"/>
  <c r="AE8" i="2"/>
  <c r="AE7" i="2"/>
  <c r="AE5" i="2"/>
  <c r="AE4" i="2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22" i="3"/>
  <c r="AJ4" i="3" a="1"/>
  <c r="AC16" i="3" a="1"/>
  <c r="AC5" i="3" a="1"/>
  <c r="J114" i="3" l="1"/>
  <c r="J106" i="3"/>
  <c r="J98" i="3"/>
  <c r="J50" i="3"/>
  <c r="J42" i="3"/>
  <c r="J34" i="3"/>
  <c r="J72" i="3"/>
  <c r="J48" i="3"/>
  <c r="J24" i="3"/>
  <c r="J56" i="3"/>
  <c r="J40" i="3"/>
  <c r="J32" i="3"/>
  <c r="J22" i="3"/>
  <c r="J103" i="3"/>
  <c r="J95" i="3"/>
  <c r="J87" i="3"/>
  <c r="J79" i="3"/>
  <c r="J39" i="3"/>
  <c r="J31" i="3"/>
  <c r="J23" i="3"/>
  <c r="J142" i="3"/>
  <c r="J102" i="3"/>
  <c r="J94" i="3"/>
  <c r="J86" i="3"/>
  <c r="J78" i="3"/>
  <c r="J38" i="3"/>
  <c r="J30" i="3"/>
  <c r="J141" i="3"/>
  <c r="J133" i="3"/>
  <c r="J93" i="3"/>
  <c r="J85" i="3"/>
  <c r="J77" i="3"/>
  <c r="J69" i="3"/>
  <c r="J29" i="3"/>
  <c r="J140" i="3"/>
  <c r="J124" i="3"/>
  <c r="J116" i="3"/>
  <c r="J76" i="3"/>
  <c r="J60" i="3"/>
  <c r="J52" i="3"/>
  <c r="J44" i="3"/>
  <c r="J123" i="3"/>
  <c r="J115" i="3"/>
  <c r="J107" i="3"/>
  <c r="J99" i="3"/>
  <c r="J59" i="3"/>
  <c r="J51" i="3"/>
  <c r="J43" i="3"/>
  <c r="J35" i="3"/>
  <c r="J113" i="3"/>
  <c r="J105" i="3"/>
  <c r="J97" i="3"/>
  <c r="J89" i="3"/>
  <c r="J49" i="3"/>
  <c r="J41" i="3"/>
  <c r="J33" i="3"/>
  <c r="J25" i="3"/>
  <c r="AJ4" i="3"/>
  <c r="AC16" i="3"/>
  <c r="AC5" i="3"/>
  <c r="AC6" i="3" s="1"/>
  <c r="J122" i="3" s="1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29" i="2"/>
  <c r="X15" i="2"/>
  <c r="X14" i="2"/>
  <c r="E20" i="2"/>
  <c r="M4" i="2"/>
  <c r="N11" i="3"/>
  <c r="N10" i="3"/>
  <c r="N9" i="3"/>
  <c r="N8" i="3"/>
  <c r="E7" i="2"/>
  <c r="E22" i="2" s="1"/>
  <c r="E23" i="2" s="1"/>
  <c r="C12" i="1"/>
  <c r="E4" i="3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29" i="2"/>
  <c r="N7" i="3" a="1"/>
  <c r="E16" i="3" a="1"/>
  <c r="E11" i="3" a="1"/>
  <c r="J57" i="3" l="1"/>
  <c r="J121" i="3"/>
  <c r="J67" i="3"/>
  <c r="J131" i="3"/>
  <c r="J84" i="3"/>
  <c r="J37" i="3"/>
  <c r="J101" i="3"/>
  <c r="J46" i="3"/>
  <c r="J110" i="3"/>
  <c r="J47" i="3"/>
  <c r="J111" i="3"/>
  <c r="J64" i="3"/>
  <c r="J88" i="3"/>
  <c r="J58" i="3"/>
  <c r="J149" i="3"/>
  <c r="J157" i="3"/>
  <c r="J165" i="3"/>
  <c r="J173" i="3"/>
  <c r="J181" i="3"/>
  <c r="J189" i="3"/>
  <c r="J197" i="3"/>
  <c r="J205" i="3"/>
  <c r="J213" i="3"/>
  <c r="J221" i="3"/>
  <c r="J229" i="3"/>
  <c r="J237" i="3"/>
  <c r="J245" i="3"/>
  <c r="J253" i="3"/>
  <c r="J261" i="3"/>
  <c r="J269" i="3"/>
  <c r="J277" i="3"/>
  <c r="J285" i="3"/>
  <c r="J293" i="3"/>
  <c r="J301" i="3"/>
  <c r="J309" i="3"/>
  <c r="J317" i="3"/>
  <c r="J325" i="3"/>
  <c r="J333" i="3"/>
  <c r="J341" i="3"/>
  <c r="J349" i="3"/>
  <c r="J357" i="3"/>
  <c r="J365" i="3"/>
  <c r="J373" i="3"/>
  <c r="J381" i="3"/>
  <c r="J389" i="3"/>
  <c r="J397" i="3"/>
  <c r="J405" i="3"/>
  <c r="J413" i="3"/>
  <c r="J421" i="3"/>
  <c r="J429" i="3"/>
  <c r="J437" i="3"/>
  <c r="J445" i="3"/>
  <c r="J453" i="3"/>
  <c r="J461" i="3"/>
  <c r="J469" i="3"/>
  <c r="J477" i="3"/>
  <c r="J485" i="3"/>
  <c r="J493" i="3"/>
  <c r="J150" i="3"/>
  <c r="J158" i="3"/>
  <c r="J166" i="3"/>
  <c r="J174" i="3"/>
  <c r="J182" i="3"/>
  <c r="J190" i="3"/>
  <c r="J198" i="3"/>
  <c r="J206" i="3"/>
  <c r="J214" i="3"/>
  <c r="J222" i="3"/>
  <c r="J230" i="3"/>
  <c r="J238" i="3"/>
  <c r="J246" i="3"/>
  <c r="J254" i="3"/>
  <c r="J262" i="3"/>
  <c r="J270" i="3"/>
  <c r="J278" i="3"/>
  <c r="J286" i="3"/>
  <c r="J294" i="3"/>
  <c r="J302" i="3"/>
  <c r="J310" i="3"/>
  <c r="J318" i="3"/>
  <c r="J326" i="3"/>
  <c r="J334" i="3"/>
  <c r="J342" i="3"/>
  <c r="J350" i="3"/>
  <c r="J358" i="3"/>
  <c r="J366" i="3"/>
  <c r="J374" i="3"/>
  <c r="J382" i="3"/>
  <c r="J390" i="3"/>
  <c r="J398" i="3"/>
  <c r="J406" i="3"/>
  <c r="J414" i="3"/>
  <c r="J422" i="3"/>
  <c r="J430" i="3"/>
  <c r="J438" i="3"/>
  <c r="J446" i="3"/>
  <c r="J454" i="3"/>
  <c r="J462" i="3"/>
  <c r="J470" i="3"/>
  <c r="J478" i="3"/>
  <c r="J486" i="3"/>
  <c r="J494" i="3"/>
  <c r="J143" i="3"/>
  <c r="J151" i="3"/>
  <c r="J159" i="3"/>
  <c r="J167" i="3"/>
  <c r="J175" i="3"/>
  <c r="J183" i="3"/>
  <c r="J191" i="3"/>
  <c r="J199" i="3"/>
  <c r="J207" i="3"/>
  <c r="J215" i="3"/>
  <c r="J223" i="3"/>
  <c r="J231" i="3"/>
  <c r="J239" i="3"/>
  <c r="J247" i="3"/>
  <c r="J255" i="3"/>
  <c r="J263" i="3"/>
  <c r="J271" i="3"/>
  <c r="J279" i="3"/>
  <c r="J287" i="3"/>
  <c r="J295" i="3"/>
  <c r="J303" i="3"/>
  <c r="J311" i="3"/>
  <c r="J319" i="3"/>
  <c r="J327" i="3"/>
  <c r="J335" i="3"/>
  <c r="J343" i="3"/>
  <c r="J351" i="3"/>
  <c r="J359" i="3"/>
  <c r="J367" i="3"/>
  <c r="J375" i="3"/>
  <c r="J383" i="3"/>
  <c r="J391" i="3"/>
  <c r="J399" i="3"/>
  <c r="J407" i="3"/>
  <c r="J415" i="3"/>
  <c r="J423" i="3"/>
  <c r="J431" i="3"/>
  <c r="J439" i="3"/>
  <c r="J447" i="3"/>
  <c r="J455" i="3"/>
  <c r="J463" i="3"/>
  <c r="J471" i="3"/>
  <c r="J479" i="3"/>
  <c r="J487" i="3"/>
  <c r="J495" i="3"/>
  <c r="J144" i="3"/>
  <c r="J152" i="3"/>
  <c r="J160" i="3"/>
  <c r="J168" i="3"/>
  <c r="J176" i="3"/>
  <c r="J184" i="3"/>
  <c r="J192" i="3"/>
  <c r="J200" i="3"/>
  <c r="J208" i="3"/>
  <c r="J216" i="3"/>
  <c r="J224" i="3"/>
  <c r="J232" i="3"/>
  <c r="J240" i="3"/>
  <c r="J248" i="3"/>
  <c r="J256" i="3"/>
  <c r="J264" i="3"/>
  <c r="J272" i="3"/>
  <c r="J280" i="3"/>
  <c r="J288" i="3"/>
  <c r="J296" i="3"/>
  <c r="J304" i="3"/>
  <c r="J312" i="3"/>
  <c r="J320" i="3"/>
  <c r="J328" i="3"/>
  <c r="J336" i="3"/>
  <c r="J344" i="3"/>
  <c r="J352" i="3"/>
  <c r="J360" i="3"/>
  <c r="J368" i="3"/>
  <c r="J376" i="3"/>
  <c r="J384" i="3"/>
  <c r="J392" i="3"/>
  <c r="J400" i="3"/>
  <c r="J408" i="3"/>
  <c r="J416" i="3"/>
  <c r="J424" i="3"/>
  <c r="J432" i="3"/>
  <c r="J440" i="3"/>
  <c r="J448" i="3"/>
  <c r="J456" i="3"/>
  <c r="J464" i="3"/>
  <c r="J472" i="3"/>
  <c r="J480" i="3"/>
  <c r="J488" i="3"/>
  <c r="J145" i="3"/>
  <c r="J153" i="3"/>
  <c r="J161" i="3"/>
  <c r="J169" i="3"/>
  <c r="J177" i="3"/>
  <c r="J185" i="3"/>
  <c r="J193" i="3"/>
  <c r="J201" i="3"/>
  <c r="J209" i="3"/>
  <c r="J217" i="3"/>
  <c r="J225" i="3"/>
  <c r="J233" i="3"/>
  <c r="J241" i="3"/>
  <c r="J249" i="3"/>
  <c r="J257" i="3"/>
  <c r="J265" i="3"/>
  <c r="J273" i="3"/>
  <c r="J281" i="3"/>
  <c r="J289" i="3"/>
  <c r="J297" i="3"/>
  <c r="J305" i="3"/>
  <c r="J313" i="3"/>
  <c r="J321" i="3"/>
  <c r="J329" i="3"/>
  <c r="J337" i="3"/>
  <c r="J345" i="3"/>
  <c r="J353" i="3"/>
  <c r="J361" i="3"/>
  <c r="J369" i="3"/>
  <c r="J377" i="3"/>
  <c r="J385" i="3"/>
  <c r="J393" i="3"/>
  <c r="J401" i="3"/>
  <c r="J409" i="3"/>
  <c r="J417" i="3"/>
  <c r="J425" i="3"/>
  <c r="J433" i="3"/>
  <c r="J441" i="3"/>
  <c r="J449" i="3"/>
  <c r="J457" i="3"/>
  <c r="J465" i="3"/>
  <c r="J473" i="3"/>
  <c r="J481" i="3"/>
  <c r="J489" i="3"/>
  <c r="J497" i="3"/>
  <c r="J146" i="3"/>
  <c r="J154" i="3"/>
  <c r="J162" i="3"/>
  <c r="J170" i="3"/>
  <c r="J178" i="3"/>
  <c r="J186" i="3"/>
  <c r="J194" i="3"/>
  <c r="J202" i="3"/>
  <c r="J210" i="3"/>
  <c r="J218" i="3"/>
  <c r="J226" i="3"/>
  <c r="J234" i="3"/>
  <c r="J242" i="3"/>
  <c r="J250" i="3"/>
  <c r="J258" i="3"/>
  <c r="J266" i="3"/>
  <c r="J274" i="3"/>
  <c r="J282" i="3"/>
  <c r="J290" i="3"/>
  <c r="J298" i="3"/>
  <c r="J306" i="3"/>
  <c r="J314" i="3"/>
  <c r="J322" i="3"/>
  <c r="J147" i="3"/>
  <c r="J155" i="3"/>
  <c r="J163" i="3"/>
  <c r="J171" i="3"/>
  <c r="J179" i="3"/>
  <c r="J187" i="3"/>
  <c r="J195" i="3"/>
  <c r="J203" i="3"/>
  <c r="J211" i="3"/>
  <c r="J219" i="3"/>
  <c r="J227" i="3"/>
  <c r="J235" i="3"/>
  <c r="J243" i="3"/>
  <c r="J251" i="3"/>
  <c r="J259" i="3"/>
  <c r="J267" i="3"/>
  <c r="J275" i="3"/>
  <c r="J283" i="3"/>
  <c r="J291" i="3"/>
  <c r="J299" i="3"/>
  <c r="J307" i="3"/>
  <c r="J315" i="3"/>
  <c r="J323" i="3"/>
  <c r="J331" i="3"/>
  <c r="J339" i="3"/>
  <c r="J347" i="3"/>
  <c r="J355" i="3"/>
  <c r="J363" i="3"/>
  <c r="J371" i="3"/>
  <c r="J379" i="3"/>
  <c r="J387" i="3"/>
  <c r="J395" i="3"/>
  <c r="J403" i="3"/>
  <c r="J411" i="3"/>
  <c r="J419" i="3"/>
  <c r="J427" i="3"/>
  <c r="J435" i="3"/>
  <c r="J443" i="3"/>
  <c r="J451" i="3"/>
  <c r="J459" i="3"/>
  <c r="J467" i="3"/>
  <c r="J475" i="3"/>
  <c r="J483" i="3"/>
  <c r="J491" i="3"/>
  <c r="J172" i="3"/>
  <c r="J236" i="3"/>
  <c r="J300" i="3"/>
  <c r="J346" i="3"/>
  <c r="J378" i="3"/>
  <c r="J410" i="3"/>
  <c r="J442" i="3"/>
  <c r="J474" i="3"/>
  <c r="J499" i="3"/>
  <c r="J507" i="3"/>
  <c r="J515" i="3"/>
  <c r="J523" i="3"/>
  <c r="J531" i="3"/>
  <c r="J539" i="3"/>
  <c r="J547" i="3"/>
  <c r="J555" i="3"/>
  <c r="J563" i="3"/>
  <c r="J571" i="3"/>
  <c r="J579" i="3"/>
  <c r="J587" i="3"/>
  <c r="J595" i="3"/>
  <c r="J603" i="3"/>
  <c r="J611" i="3"/>
  <c r="J619" i="3"/>
  <c r="J627" i="3"/>
  <c r="J635" i="3"/>
  <c r="J643" i="3"/>
  <c r="J651" i="3"/>
  <c r="J659" i="3"/>
  <c r="J667" i="3"/>
  <c r="J675" i="3"/>
  <c r="J683" i="3"/>
  <c r="J691" i="3"/>
  <c r="J699" i="3"/>
  <c r="J707" i="3"/>
  <c r="J715" i="3"/>
  <c r="J723" i="3"/>
  <c r="J731" i="3"/>
  <c r="J739" i="3"/>
  <c r="J747" i="3"/>
  <c r="J755" i="3"/>
  <c r="J763" i="3"/>
  <c r="J771" i="3"/>
  <c r="J779" i="3"/>
  <c r="J787" i="3"/>
  <c r="J180" i="3"/>
  <c r="J244" i="3"/>
  <c r="J308" i="3"/>
  <c r="J348" i="3"/>
  <c r="J380" i="3"/>
  <c r="J412" i="3"/>
  <c r="J444" i="3"/>
  <c r="J476" i="3"/>
  <c r="J500" i="3"/>
  <c r="J508" i="3"/>
  <c r="J516" i="3"/>
  <c r="J524" i="3"/>
  <c r="J532" i="3"/>
  <c r="J540" i="3"/>
  <c r="J548" i="3"/>
  <c r="J556" i="3"/>
  <c r="J564" i="3"/>
  <c r="J572" i="3"/>
  <c r="J580" i="3"/>
  <c r="J588" i="3"/>
  <c r="J596" i="3"/>
  <c r="J604" i="3"/>
  <c r="J612" i="3"/>
  <c r="J620" i="3"/>
  <c r="J628" i="3"/>
  <c r="J636" i="3"/>
  <c r="J644" i="3"/>
  <c r="J652" i="3"/>
  <c r="J660" i="3"/>
  <c r="J668" i="3"/>
  <c r="J676" i="3"/>
  <c r="J684" i="3"/>
  <c r="J692" i="3"/>
  <c r="J700" i="3"/>
  <c r="J708" i="3"/>
  <c r="J188" i="3"/>
  <c r="J252" i="3"/>
  <c r="J316" i="3"/>
  <c r="J354" i="3"/>
  <c r="J386" i="3"/>
  <c r="J418" i="3"/>
  <c r="J450" i="3"/>
  <c r="J482" i="3"/>
  <c r="J501" i="3"/>
  <c r="J509" i="3"/>
  <c r="J517" i="3"/>
  <c r="J525" i="3"/>
  <c r="J533" i="3"/>
  <c r="J541" i="3"/>
  <c r="J549" i="3"/>
  <c r="J557" i="3"/>
  <c r="J565" i="3"/>
  <c r="J573" i="3"/>
  <c r="J581" i="3"/>
  <c r="J589" i="3"/>
  <c r="J597" i="3"/>
  <c r="J605" i="3"/>
  <c r="J613" i="3"/>
  <c r="J621" i="3"/>
  <c r="J629" i="3"/>
  <c r="J637" i="3"/>
  <c r="J645" i="3"/>
  <c r="J653" i="3"/>
  <c r="J661" i="3"/>
  <c r="J669" i="3"/>
  <c r="J677" i="3"/>
  <c r="J685" i="3"/>
  <c r="J693" i="3"/>
  <c r="J701" i="3"/>
  <c r="J709" i="3"/>
  <c r="J204" i="3"/>
  <c r="J268" i="3"/>
  <c r="J330" i="3"/>
  <c r="J362" i="3"/>
  <c r="J394" i="3"/>
  <c r="J426" i="3"/>
  <c r="J458" i="3"/>
  <c r="J490" i="3"/>
  <c r="J503" i="3"/>
  <c r="J511" i="3"/>
  <c r="J519" i="3"/>
  <c r="J527" i="3"/>
  <c r="J535" i="3"/>
  <c r="J543" i="3"/>
  <c r="J551" i="3"/>
  <c r="J559" i="3"/>
  <c r="J567" i="3"/>
  <c r="J575" i="3"/>
  <c r="J583" i="3"/>
  <c r="J591" i="3"/>
  <c r="J599" i="3"/>
  <c r="J607" i="3"/>
  <c r="J615" i="3"/>
  <c r="J623" i="3"/>
  <c r="J631" i="3"/>
  <c r="J639" i="3"/>
  <c r="J647" i="3"/>
  <c r="J655" i="3"/>
  <c r="J663" i="3"/>
  <c r="J671" i="3"/>
  <c r="J679" i="3"/>
  <c r="J687" i="3"/>
  <c r="J695" i="3"/>
  <c r="J703" i="3"/>
  <c r="J711" i="3"/>
  <c r="J719" i="3"/>
  <c r="J727" i="3"/>
  <c r="J735" i="3"/>
  <c r="J743" i="3"/>
  <c r="J751" i="3"/>
  <c r="J759" i="3"/>
  <c r="J767" i="3"/>
  <c r="J775" i="3"/>
  <c r="J783" i="3"/>
  <c r="J148" i="3"/>
  <c r="J212" i="3"/>
  <c r="J276" i="3"/>
  <c r="J332" i="3"/>
  <c r="J364" i="3"/>
  <c r="J396" i="3"/>
  <c r="J428" i="3"/>
  <c r="J460" i="3"/>
  <c r="J492" i="3"/>
  <c r="J504" i="3"/>
  <c r="J512" i="3"/>
  <c r="J520" i="3"/>
  <c r="J528" i="3"/>
  <c r="J536" i="3"/>
  <c r="J544" i="3"/>
  <c r="J552" i="3"/>
  <c r="J560" i="3"/>
  <c r="J568" i="3"/>
  <c r="J576" i="3"/>
  <c r="J584" i="3"/>
  <c r="J592" i="3"/>
  <c r="J600" i="3"/>
  <c r="J608" i="3"/>
  <c r="J616" i="3"/>
  <c r="J624" i="3"/>
  <c r="J632" i="3"/>
  <c r="J640" i="3"/>
  <c r="J648" i="3"/>
  <c r="J656" i="3"/>
  <c r="J664" i="3"/>
  <c r="J672" i="3"/>
  <c r="J680" i="3"/>
  <c r="J688" i="3"/>
  <c r="J696" i="3"/>
  <c r="J704" i="3"/>
  <c r="J712" i="3"/>
  <c r="J720" i="3"/>
  <c r="J728" i="3"/>
  <c r="J736" i="3"/>
  <c r="J744" i="3"/>
  <c r="J752" i="3"/>
  <c r="J760" i="3"/>
  <c r="J768" i="3"/>
  <c r="J776" i="3"/>
  <c r="J784" i="3"/>
  <c r="J156" i="3"/>
  <c r="J220" i="3"/>
  <c r="J284" i="3"/>
  <c r="J338" i="3"/>
  <c r="J370" i="3"/>
  <c r="J402" i="3"/>
  <c r="J434" i="3"/>
  <c r="J466" i="3"/>
  <c r="J496" i="3"/>
  <c r="J505" i="3"/>
  <c r="J513" i="3"/>
  <c r="J521" i="3"/>
  <c r="J529" i="3"/>
  <c r="J537" i="3"/>
  <c r="J545" i="3"/>
  <c r="J553" i="3"/>
  <c r="J561" i="3"/>
  <c r="J569" i="3"/>
  <c r="J577" i="3"/>
  <c r="J585" i="3"/>
  <c r="J593" i="3"/>
  <c r="J601" i="3"/>
  <c r="J609" i="3"/>
  <c r="J617" i="3"/>
  <c r="J625" i="3"/>
  <c r="J633" i="3"/>
  <c r="J641" i="3"/>
  <c r="J649" i="3"/>
  <c r="J657" i="3"/>
  <c r="J665" i="3"/>
  <c r="J673" i="3"/>
  <c r="J681" i="3"/>
  <c r="J689" i="3"/>
  <c r="J697" i="3"/>
  <c r="J705" i="3"/>
  <c r="J713" i="3"/>
  <c r="J721" i="3"/>
  <c r="J729" i="3"/>
  <c r="J737" i="3"/>
  <c r="J745" i="3"/>
  <c r="J753" i="3"/>
  <c r="J761" i="3"/>
  <c r="J769" i="3"/>
  <c r="J777" i="3"/>
  <c r="J785" i="3"/>
  <c r="J292" i="3"/>
  <c r="J436" i="3"/>
  <c r="J340" i="3"/>
  <c r="J468" i="3"/>
  <c r="J522" i="3"/>
  <c r="J554" i="3"/>
  <c r="J586" i="3"/>
  <c r="J618" i="3"/>
  <c r="J650" i="3"/>
  <c r="J682" i="3"/>
  <c r="J714" i="3"/>
  <c r="J730" i="3"/>
  <c r="J746" i="3"/>
  <c r="J762" i="3"/>
  <c r="J778" i="3"/>
  <c r="J164" i="3"/>
  <c r="J372" i="3"/>
  <c r="J196" i="3"/>
  <c r="J388" i="3"/>
  <c r="J502" i="3"/>
  <c r="J534" i="3"/>
  <c r="J566" i="3"/>
  <c r="J598" i="3"/>
  <c r="J630" i="3"/>
  <c r="J662" i="3"/>
  <c r="J694" i="3"/>
  <c r="J718" i="3"/>
  <c r="J734" i="3"/>
  <c r="J750" i="3"/>
  <c r="J766" i="3"/>
  <c r="J782" i="3"/>
  <c r="J228" i="3"/>
  <c r="J404" i="3"/>
  <c r="J506" i="3"/>
  <c r="J538" i="3"/>
  <c r="J570" i="3"/>
  <c r="J602" i="3"/>
  <c r="J634" i="3"/>
  <c r="J666" i="3"/>
  <c r="J698" i="3"/>
  <c r="J722" i="3"/>
  <c r="J738" i="3"/>
  <c r="J754" i="3"/>
  <c r="J770" i="3"/>
  <c r="J786" i="3"/>
  <c r="J324" i="3"/>
  <c r="J518" i="3"/>
  <c r="J574" i="3"/>
  <c r="J622" i="3"/>
  <c r="J674" i="3"/>
  <c r="J717" i="3"/>
  <c r="J742" i="3"/>
  <c r="J772" i="3"/>
  <c r="J356" i="3"/>
  <c r="J526" i="3"/>
  <c r="J578" i="3"/>
  <c r="J626" i="3"/>
  <c r="J678" i="3"/>
  <c r="J420" i="3"/>
  <c r="J530" i="3"/>
  <c r="J582" i="3"/>
  <c r="J638" i="3"/>
  <c r="J686" i="3"/>
  <c r="J452" i="3"/>
  <c r="J542" i="3"/>
  <c r="J590" i="3"/>
  <c r="J642" i="3"/>
  <c r="J690" i="3"/>
  <c r="J726" i="3"/>
  <c r="J756" i="3"/>
  <c r="J780" i="3"/>
  <c r="J484" i="3"/>
  <c r="J546" i="3"/>
  <c r="J594" i="3"/>
  <c r="J646" i="3"/>
  <c r="J702" i="3"/>
  <c r="J732" i="3"/>
  <c r="J757" i="3"/>
  <c r="J781" i="3"/>
  <c r="J498" i="3"/>
  <c r="J550" i="3"/>
  <c r="J606" i="3"/>
  <c r="J654" i="3"/>
  <c r="J706" i="3"/>
  <c r="J733" i="3"/>
  <c r="J758" i="3"/>
  <c r="J788" i="3"/>
  <c r="J510" i="3"/>
  <c r="J558" i="3"/>
  <c r="J610" i="3"/>
  <c r="J658" i="3"/>
  <c r="J710" i="3"/>
  <c r="J740" i="3"/>
  <c r="J764" i="3"/>
  <c r="J789" i="3"/>
  <c r="J614" i="3"/>
  <c r="J765" i="3"/>
  <c r="J670" i="3"/>
  <c r="J773" i="3"/>
  <c r="J716" i="3"/>
  <c r="J774" i="3"/>
  <c r="J724" i="3"/>
  <c r="J725" i="3"/>
  <c r="J260" i="3"/>
  <c r="J741" i="3"/>
  <c r="J514" i="3"/>
  <c r="J748" i="3"/>
  <c r="J562" i="3"/>
  <c r="J749" i="3"/>
  <c r="J65" i="3"/>
  <c r="J129" i="3"/>
  <c r="J75" i="3"/>
  <c r="J139" i="3"/>
  <c r="J92" i="3"/>
  <c r="J45" i="3"/>
  <c r="J109" i="3"/>
  <c r="J54" i="3"/>
  <c r="J118" i="3"/>
  <c r="J55" i="3"/>
  <c r="J119" i="3"/>
  <c r="J80" i="3"/>
  <c r="J104" i="3"/>
  <c r="J66" i="3"/>
  <c r="J130" i="3"/>
  <c r="O47" i="3"/>
  <c r="O111" i="3"/>
  <c r="O175" i="3"/>
  <c r="O239" i="3"/>
  <c r="O303" i="3"/>
  <c r="O367" i="3"/>
  <c r="O431" i="3"/>
  <c r="O495" i="3"/>
  <c r="O519" i="3"/>
  <c r="O559" i="3"/>
  <c r="O583" i="3"/>
  <c r="O623" i="3"/>
  <c r="O647" i="3"/>
  <c r="O687" i="3"/>
  <c r="O32" i="3"/>
  <c r="O72" i="3"/>
  <c r="O96" i="3"/>
  <c r="O136" i="3"/>
  <c r="O160" i="3"/>
  <c r="O200" i="3"/>
  <c r="O224" i="3"/>
  <c r="O264" i="3"/>
  <c r="O288" i="3"/>
  <c r="O328" i="3"/>
  <c r="O352" i="3"/>
  <c r="O392" i="3"/>
  <c r="O416" i="3"/>
  <c r="O456" i="3"/>
  <c r="O480" i="3"/>
  <c r="O520" i="3"/>
  <c r="O544" i="3"/>
  <c r="O33" i="3"/>
  <c r="O57" i="3"/>
  <c r="O97" i="3"/>
  <c r="O121" i="3"/>
  <c r="O161" i="3"/>
  <c r="O185" i="3"/>
  <c r="O225" i="3"/>
  <c r="O249" i="3"/>
  <c r="O289" i="3"/>
  <c r="O313" i="3"/>
  <c r="O353" i="3"/>
  <c r="O377" i="3"/>
  <c r="O417" i="3"/>
  <c r="O441" i="3"/>
  <c r="O481" i="3"/>
  <c r="O505" i="3"/>
  <c r="O545" i="3"/>
  <c r="O569" i="3"/>
  <c r="O609" i="3"/>
  <c r="O633" i="3"/>
  <c r="O673" i="3"/>
  <c r="O697" i="3"/>
  <c r="O58" i="3"/>
  <c r="O82" i="3"/>
  <c r="O122" i="3"/>
  <c r="O146" i="3"/>
  <c r="O186" i="3"/>
  <c r="O210" i="3"/>
  <c r="O250" i="3"/>
  <c r="O274" i="3"/>
  <c r="O314" i="3"/>
  <c r="O338" i="3"/>
  <c r="O378" i="3"/>
  <c r="O402" i="3"/>
  <c r="O442" i="3"/>
  <c r="O466" i="3"/>
  <c r="O506" i="3"/>
  <c r="O530" i="3"/>
  <c r="O570" i="3"/>
  <c r="O35" i="3"/>
  <c r="O75" i="3"/>
  <c r="O99" i="3"/>
  <c r="O139" i="3"/>
  <c r="O163" i="3"/>
  <c r="O203" i="3"/>
  <c r="O227" i="3"/>
  <c r="O267" i="3"/>
  <c r="O291" i="3"/>
  <c r="O331" i="3"/>
  <c r="O355" i="3"/>
  <c r="O395" i="3"/>
  <c r="O419" i="3"/>
  <c r="O459" i="3"/>
  <c r="O483" i="3"/>
  <c r="O523" i="3"/>
  <c r="O547" i="3"/>
  <c r="O587" i="3"/>
  <c r="O611" i="3"/>
  <c r="O651" i="3"/>
  <c r="O675" i="3"/>
  <c r="O36" i="3"/>
  <c r="O60" i="3"/>
  <c r="O100" i="3"/>
  <c r="O124" i="3"/>
  <c r="O164" i="3"/>
  <c r="O188" i="3"/>
  <c r="O228" i="3"/>
  <c r="O252" i="3"/>
  <c r="O292" i="3"/>
  <c r="O316" i="3"/>
  <c r="O356" i="3"/>
  <c r="O380" i="3"/>
  <c r="O404" i="3"/>
  <c r="O420" i="3"/>
  <c r="O444" i="3"/>
  <c r="O468" i="3"/>
  <c r="O484" i="3"/>
  <c r="O508" i="3"/>
  <c r="O532" i="3"/>
  <c r="O548" i="3"/>
  <c r="O572" i="3"/>
  <c r="O596" i="3"/>
  <c r="O612" i="3"/>
  <c r="O636" i="3"/>
  <c r="O660" i="3"/>
  <c r="O676" i="3"/>
  <c r="O700" i="3"/>
  <c r="O45" i="3"/>
  <c r="O61" i="3"/>
  <c r="O69" i="3"/>
  <c r="O85" i="3"/>
  <c r="O109" i="3"/>
  <c r="O125" i="3"/>
  <c r="O133" i="3"/>
  <c r="O149" i="3"/>
  <c r="O173" i="3"/>
  <c r="O189" i="3"/>
  <c r="O197" i="3"/>
  <c r="O213" i="3"/>
  <c r="O237" i="3"/>
  <c r="O253" i="3"/>
  <c r="O261" i="3"/>
  <c r="O277" i="3"/>
  <c r="O301" i="3"/>
  <c r="O317" i="3"/>
  <c r="O325" i="3"/>
  <c r="O341" i="3"/>
  <c r="O365" i="3"/>
  <c r="O381" i="3"/>
  <c r="O389" i="3"/>
  <c r="O405" i="3"/>
  <c r="O429" i="3"/>
  <c r="O445" i="3"/>
  <c r="O453" i="3"/>
  <c r="O469" i="3"/>
  <c r="O493" i="3"/>
  <c r="O509" i="3"/>
  <c r="O517" i="3"/>
  <c r="O533" i="3"/>
  <c r="O557" i="3"/>
  <c r="O573" i="3"/>
  <c r="O581" i="3"/>
  <c r="O597" i="3"/>
  <c r="O621" i="3"/>
  <c r="O637" i="3"/>
  <c r="O645" i="3"/>
  <c r="O661" i="3"/>
  <c r="O685" i="3"/>
  <c r="O701" i="3"/>
  <c r="O30" i="3"/>
  <c r="O158" i="3"/>
  <c r="O350" i="3"/>
  <c r="O478" i="3"/>
  <c r="O542" i="3"/>
  <c r="O608" i="3"/>
  <c r="O672" i="3"/>
  <c r="O707" i="3"/>
  <c r="O715" i="3"/>
  <c r="O731" i="3"/>
  <c r="O755" i="3"/>
  <c r="O771" i="3"/>
  <c r="O779" i="3"/>
  <c r="O38" i="3"/>
  <c r="O230" i="3"/>
  <c r="O358" i="3"/>
  <c r="O422" i="3"/>
  <c r="O550" i="3"/>
  <c r="O632" i="3"/>
  <c r="O674" i="3"/>
  <c r="O696" i="3"/>
  <c r="O716" i="3"/>
  <c r="O740" i="3"/>
  <c r="O756" i="3"/>
  <c r="O764" i="3"/>
  <c r="O780" i="3"/>
  <c r="O110" i="3"/>
  <c r="O238" i="3"/>
  <c r="O302" i="3"/>
  <c r="O430" i="3"/>
  <c r="O592" i="3"/>
  <c r="O634" i="3"/>
  <c r="O656" i="3"/>
  <c r="O698" i="3"/>
  <c r="O725" i="3"/>
  <c r="O741" i="3"/>
  <c r="O749" i="3"/>
  <c r="O765" i="3"/>
  <c r="O789" i="3"/>
  <c r="O118" i="3"/>
  <c r="O182" i="3"/>
  <c r="O310" i="3"/>
  <c r="O502" i="3"/>
  <c r="O594" i="3"/>
  <c r="O616" i="3"/>
  <c r="O658" i="3"/>
  <c r="O710" i="3"/>
  <c r="O726" i="3"/>
  <c r="O734" i="3"/>
  <c r="O750" i="3"/>
  <c r="O774" i="3"/>
  <c r="O22" i="3"/>
  <c r="O62" i="3"/>
  <c r="O190" i="3"/>
  <c r="O254" i="3"/>
  <c r="O382" i="3"/>
  <c r="O446" i="3"/>
  <c r="O510" i="3"/>
  <c r="O574" i="3"/>
  <c r="O618" i="3"/>
  <c r="O640" i="3"/>
  <c r="O682" i="3"/>
  <c r="O703" i="3"/>
  <c r="O711" i="3"/>
  <c r="O719" i="3"/>
  <c r="O735" i="3"/>
  <c r="O743" i="3"/>
  <c r="O759" i="3"/>
  <c r="O767" i="3"/>
  <c r="O775" i="3"/>
  <c r="O783" i="3"/>
  <c r="AC17" i="3"/>
  <c r="O55" i="3" s="1"/>
  <c r="O70" i="3"/>
  <c r="O134" i="3"/>
  <c r="O262" i="3"/>
  <c r="O326" i="3"/>
  <c r="O390" i="3"/>
  <c r="O454" i="3"/>
  <c r="O518" i="3"/>
  <c r="O576" i="3"/>
  <c r="O600" i="3"/>
  <c r="O622" i="3"/>
  <c r="O642" i="3"/>
  <c r="O664" i="3"/>
  <c r="O686" i="3"/>
  <c r="O704" i="3"/>
  <c r="O712" i="3"/>
  <c r="O720" i="3"/>
  <c r="O728" i="3"/>
  <c r="O736" i="3"/>
  <c r="O744" i="3"/>
  <c r="O752" i="3"/>
  <c r="O760" i="3"/>
  <c r="O768" i="3"/>
  <c r="O776" i="3"/>
  <c r="O784" i="3"/>
  <c r="O78" i="3"/>
  <c r="O142" i="3"/>
  <c r="O206" i="3"/>
  <c r="O270" i="3"/>
  <c r="O334" i="3"/>
  <c r="O398" i="3"/>
  <c r="O462" i="3"/>
  <c r="O526" i="3"/>
  <c r="O582" i="3"/>
  <c r="O602" i="3"/>
  <c r="O624" i="3"/>
  <c r="O646" i="3"/>
  <c r="O666" i="3"/>
  <c r="O688" i="3"/>
  <c r="O705" i="3"/>
  <c r="O713" i="3"/>
  <c r="O721" i="3"/>
  <c r="O729" i="3"/>
  <c r="O737" i="3"/>
  <c r="O745" i="3"/>
  <c r="O753" i="3"/>
  <c r="O761" i="3"/>
  <c r="O769" i="3"/>
  <c r="O777" i="3"/>
  <c r="O785" i="3"/>
  <c r="O86" i="3"/>
  <c r="O584" i="3"/>
  <c r="O722" i="3"/>
  <c r="O786" i="3"/>
  <c r="O150" i="3"/>
  <c r="O606" i="3"/>
  <c r="O730" i="3"/>
  <c r="O214" i="3"/>
  <c r="O626" i="3"/>
  <c r="O738" i="3"/>
  <c r="O278" i="3"/>
  <c r="O648" i="3"/>
  <c r="O746" i="3"/>
  <c r="O342" i="3"/>
  <c r="O670" i="3"/>
  <c r="O754" i="3"/>
  <c r="O406" i="3"/>
  <c r="O690" i="3"/>
  <c r="O762" i="3"/>
  <c r="O470" i="3"/>
  <c r="O706" i="3"/>
  <c r="O770" i="3"/>
  <c r="O534" i="3"/>
  <c r="O714" i="3"/>
  <c r="O778" i="3"/>
  <c r="J73" i="3"/>
  <c r="J137" i="3"/>
  <c r="J83" i="3"/>
  <c r="J28" i="3"/>
  <c r="J100" i="3"/>
  <c r="J53" i="3"/>
  <c r="J117" i="3"/>
  <c r="J62" i="3"/>
  <c r="J126" i="3"/>
  <c r="J63" i="3"/>
  <c r="J127" i="3"/>
  <c r="J96" i="3"/>
  <c r="J120" i="3"/>
  <c r="J74" i="3"/>
  <c r="J138" i="3"/>
  <c r="J81" i="3"/>
  <c r="J27" i="3"/>
  <c r="J91" i="3"/>
  <c r="J36" i="3"/>
  <c r="J108" i="3"/>
  <c r="J61" i="3"/>
  <c r="J125" i="3"/>
  <c r="J70" i="3"/>
  <c r="J134" i="3"/>
  <c r="J71" i="3"/>
  <c r="J135" i="3"/>
  <c r="J112" i="3"/>
  <c r="J136" i="3"/>
  <c r="J82" i="3"/>
  <c r="J132" i="3"/>
  <c r="J128" i="3"/>
  <c r="J26" i="3"/>
  <c r="J90" i="3"/>
  <c r="J68" i="3"/>
  <c r="E16" i="3"/>
  <c r="E11" i="3"/>
  <c r="N7" i="3"/>
  <c r="E4" i="2"/>
  <c r="B149" i="2" a="1"/>
  <c r="F74" i="2" a="1"/>
  <c r="F105" i="2" a="1"/>
  <c r="F146" i="2" a="1"/>
  <c r="C135" i="2" a="1"/>
  <c r="B82" i="2" a="1"/>
  <c r="C67" i="2" a="1"/>
  <c r="F97" i="2" a="1"/>
  <c r="F95" i="2" a="1"/>
  <c r="C52" i="2" a="1"/>
  <c r="F51" i="2" a="1"/>
  <c r="C134" i="2" a="1"/>
  <c r="C107" i="2" a="1"/>
  <c r="F70" i="2" a="1"/>
  <c r="F38" i="2" a="1"/>
  <c r="F43" i="2" a="1"/>
  <c r="C85" i="2" a="1"/>
  <c r="B40" i="2" a="1"/>
  <c r="F30" i="2" a="1"/>
  <c r="F81" i="2" a="1"/>
  <c r="F133" i="2" a="1"/>
  <c r="B108" i="2" a="1"/>
  <c r="F141" i="2" a="1"/>
  <c r="F150" i="2" a="1"/>
  <c r="C61" i="2" a="1"/>
  <c r="F55" i="2" a="1"/>
  <c r="B35" i="2" a="1"/>
  <c r="F85" i="2" a="1"/>
  <c r="B139" i="2" a="1"/>
  <c r="C34" i="2" a="1"/>
  <c r="F119" i="2" a="1"/>
  <c r="F139" i="2" a="1"/>
  <c r="C151" i="2" a="1"/>
  <c r="B121" i="2" a="1"/>
  <c r="C35" i="2" a="1"/>
  <c r="C130" i="2" a="1"/>
  <c r="F40" i="2" a="1"/>
  <c r="F49" i="2" a="1"/>
  <c r="F158" i="2" a="1"/>
  <c r="F44" i="2" a="1"/>
  <c r="C93" i="2" a="1"/>
  <c r="B68" i="2" a="1"/>
  <c r="F66" i="2" a="1"/>
  <c r="C145" i="2" a="1"/>
  <c r="B47" i="2" a="1"/>
  <c r="F155" i="2" a="1"/>
  <c r="K8" i="2" a="1"/>
  <c r="F103" i="2" a="1"/>
  <c r="B49" i="2" a="1"/>
  <c r="B46" i="2" a="1"/>
  <c r="C142" i="2" a="1"/>
  <c r="F52" i="2" a="1"/>
  <c r="C42" i="2" a="1"/>
  <c r="C109" i="2" a="1"/>
  <c r="B93" i="2" a="1"/>
  <c r="C99" i="2" a="1"/>
  <c r="C159" i="2" a="1"/>
  <c r="F137" i="2" a="1"/>
  <c r="B86" i="2" a="1"/>
  <c r="F111" i="2" a="1"/>
  <c r="B99" i="2" a="1"/>
  <c r="C111" i="2" a="1"/>
  <c r="C86" i="2" a="1"/>
  <c r="C115" i="2" a="1"/>
  <c r="C83" i="2" a="1"/>
  <c r="F39" i="2" a="1"/>
  <c r="F80" i="2" a="1"/>
  <c r="F107" i="2" a="1"/>
  <c r="C87" i="2" a="1"/>
  <c r="F115" i="2" a="1"/>
  <c r="C113" i="2" a="1"/>
  <c r="B153" i="2" a="1"/>
  <c r="B78" i="2" a="1"/>
  <c r="C119" i="2" a="1"/>
  <c r="B116" i="2" a="1"/>
  <c r="C70" i="2" a="1"/>
  <c r="F41" i="2" a="1"/>
  <c r="F42" i="2" a="1"/>
  <c r="F78" i="2" a="1"/>
  <c r="C97" i="2" a="1"/>
  <c r="C69" i="2" a="1"/>
  <c r="F109" i="2" a="1"/>
  <c r="F62" i="2" a="1"/>
  <c r="F45" i="2" a="1"/>
  <c r="K9" i="2" a="1"/>
  <c r="C59" i="2" a="1"/>
  <c r="C49" i="2" a="1"/>
  <c r="C114" i="2" a="1"/>
  <c r="C81" i="2" a="1"/>
  <c r="B65" i="2" a="1"/>
  <c r="F132" i="2" a="1"/>
  <c r="B96" i="2" a="1"/>
  <c r="F113" i="2" a="1"/>
  <c r="C89" i="2" a="1"/>
  <c r="F129" i="2" a="1"/>
  <c r="F145" i="2" a="1"/>
  <c r="F76" i="2" a="1"/>
  <c r="B39" i="2" a="1"/>
  <c r="C136" i="2" a="1"/>
  <c r="B155" i="2" a="1"/>
  <c r="B81" i="2" a="1"/>
  <c r="C72" i="2" a="1"/>
  <c r="C156" i="2" a="1"/>
  <c r="C154" i="2" a="1"/>
  <c r="F153" i="2" a="1"/>
  <c r="C29" i="2" a="1"/>
  <c r="F34" i="2" a="1"/>
  <c r="B75" i="2" a="1"/>
  <c r="B73" i="2" a="1"/>
  <c r="B142" i="2" a="1"/>
  <c r="C122" i="2" a="1"/>
  <c r="C88" i="2" a="1"/>
  <c r="B120" i="2" a="1"/>
  <c r="B122" i="2" a="1"/>
  <c r="B133" i="2" a="1"/>
  <c r="B72" i="2" a="1"/>
  <c r="C108" i="2" a="1"/>
  <c r="F83" i="2" a="1"/>
  <c r="C127" i="2" a="1"/>
  <c r="C128" i="2" a="1"/>
  <c r="C60" i="2" a="1"/>
  <c r="F77" i="2" a="1"/>
  <c r="B103" i="2" a="1"/>
  <c r="B89" i="2" a="1"/>
  <c r="F33" i="2" a="1"/>
  <c r="C105" i="2" a="1"/>
  <c r="C65" i="2" a="1"/>
  <c r="B125" i="2" a="1"/>
  <c r="F116" i="2" a="1"/>
  <c r="C118" i="2" a="1"/>
  <c r="B70" i="2" a="1"/>
  <c r="F61" i="2" a="1"/>
  <c r="B158" i="2" a="1"/>
  <c r="B71" i="2" a="1"/>
  <c r="C57" i="2" a="1"/>
  <c r="C71" i="2" a="1"/>
  <c r="B32" i="2" a="1"/>
  <c r="K5" i="2" a="1"/>
  <c r="B79" i="2" a="1"/>
  <c r="B43" i="2" a="1"/>
  <c r="C101" i="2" a="1"/>
  <c r="C56" i="2" a="1"/>
  <c r="C143" i="2" a="1"/>
  <c r="F96" i="2" a="1"/>
  <c r="F79" i="2" a="1"/>
  <c r="F151" i="2" a="1"/>
  <c r="C45" i="2" a="1"/>
  <c r="B124" i="2" a="1"/>
  <c r="C100" i="2" a="1"/>
  <c r="F58" i="2" a="1"/>
  <c r="C66" i="2" a="1"/>
  <c r="C157" i="2" a="1"/>
  <c r="C140" i="2" a="1"/>
  <c r="F68" i="2" a="1"/>
  <c r="C137" i="2" a="1"/>
  <c r="B138" i="2" a="1"/>
  <c r="C90" i="2" a="1"/>
  <c r="B141" i="2" a="1"/>
  <c r="B126" i="2" a="1"/>
  <c r="F131" i="2" a="1"/>
  <c r="F152" i="2" a="1"/>
  <c r="C33" i="2" a="1"/>
  <c r="B88" i="2" a="1"/>
  <c r="C139" i="2" a="1"/>
  <c r="C112" i="2" a="1"/>
  <c r="F72" i="2" a="1"/>
  <c r="B45" i="2" a="1"/>
  <c r="C148" i="2" a="1"/>
  <c r="F125" i="2" a="1"/>
  <c r="B152" i="2" a="1"/>
  <c r="F89" i="2" a="1"/>
  <c r="F98" i="2" a="1"/>
  <c r="F135" i="2" a="1"/>
  <c r="B119" i="2" a="1"/>
  <c r="C37" i="2" a="1"/>
  <c r="C120" i="2" a="1"/>
  <c r="C138" i="2" a="1"/>
  <c r="B36" i="2" a="1"/>
  <c r="F91" i="2" a="1"/>
  <c r="B37" i="2" a="1"/>
  <c r="F73" i="2" a="1"/>
  <c r="F48" i="2" a="1"/>
  <c r="B57" i="2" a="1"/>
  <c r="F144" i="2" a="1"/>
  <c r="F117" i="2" a="1"/>
  <c r="F94" i="2" a="1"/>
  <c r="C75" i="2" a="1"/>
  <c r="C79" i="2" a="1"/>
  <c r="C133" i="2" a="1"/>
  <c r="C76" i="2" a="1"/>
  <c r="C68" i="2" a="1"/>
  <c r="F106" i="2" a="1"/>
  <c r="F126" i="2" a="1"/>
  <c r="K7" i="2" a="1"/>
  <c r="B30" i="2" a="1"/>
  <c r="B130" i="2" a="1"/>
  <c r="F56" i="2" a="1"/>
  <c r="B90" i="2" a="1"/>
  <c r="B84" i="2" a="1"/>
  <c r="F118" i="2" a="1"/>
  <c r="B144" i="2" a="1"/>
  <c r="F123" i="2" a="1"/>
  <c r="B98" i="2" a="1"/>
  <c r="B128" i="2" a="1"/>
  <c r="F122" i="2" a="1"/>
  <c r="C82" i="2" a="1"/>
  <c r="B131" i="2" a="1"/>
  <c r="C152" i="2" a="1"/>
  <c r="C62" i="2" a="1"/>
  <c r="B115" i="2" a="1"/>
  <c r="B97" i="2" a="1"/>
  <c r="B157" i="2" a="1"/>
  <c r="B111" i="2" a="1"/>
  <c r="B63" i="2" a="1"/>
  <c r="F120" i="2" a="1"/>
  <c r="F93" i="2" a="1"/>
  <c r="F102" i="2" a="1"/>
  <c r="F35" i="2" a="1"/>
  <c r="B127" i="2" a="1"/>
  <c r="F59" i="2" a="1"/>
  <c r="F65" i="2" a="1"/>
  <c r="K10" i="2" a="1"/>
  <c r="C54" i="2" a="1"/>
  <c r="B91" i="2" a="1"/>
  <c r="B101" i="2" a="1"/>
  <c r="F31" i="2" a="1"/>
  <c r="B106" i="2" a="1"/>
  <c r="C36" i="2" a="1"/>
  <c r="B41" i="2" a="1"/>
  <c r="C38" i="2" a="1"/>
  <c r="B132" i="2" a="1"/>
  <c r="B114" i="2" a="1"/>
  <c r="C92" i="2" a="1"/>
  <c r="F143" i="2" a="1"/>
  <c r="C47" i="2" a="1"/>
  <c r="B54" i="2" a="1"/>
  <c r="C121" i="2" a="1"/>
  <c r="F148" i="2" a="1"/>
  <c r="C58" i="2" a="1"/>
  <c r="C129" i="2" a="1"/>
  <c r="C43" i="2" a="1"/>
  <c r="F154" i="2" a="1"/>
  <c r="C124" i="2" a="1"/>
  <c r="F136" i="2" a="1"/>
  <c r="F134" i="2" a="1"/>
  <c r="F57" i="2" a="1"/>
  <c r="B145" i="2" a="1"/>
  <c r="B129" i="2" a="1"/>
  <c r="B85" i="2" a="1"/>
  <c r="B87" i="2" a="1"/>
  <c r="C153" i="2" a="1"/>
  <c r="C125" i="2" a="1"/>
  <c r="F104" i="2" a="1"/>
  <c r="B143" i="2" a="1"/>
  <c r="C150" i="2" a="1"/>
  <c r="B48" i="2" a="1"/>
  <c r="C141" i="2" a="1"/>
  <c r="C103" i="2" a="1"/>
  <c r="F112" i="2" a="1"/>
  <c r="B102" i="2" a="1"/>
  <c r="C149" i="2" a="1"/>
  <c r="B44" i="2" a="1"/>
  <c r="F63" i="2" a="1"/>
  <c r="F71" i="2" a="1"/>
  <c r="F84" i="2" a="1"/>
  <c r="B69" i="2" a="1"/>
  <c r="B76" i="2" a="1"/>
  <c r="F32" i="2" a="1"/>
  <c r="F47" i="2" a="1"/>
  <c r="F92" i="2" a="1"/>
  <c r="B50" i="2" a="1"/>
  <c r="B77" i="2" a="1"/>
  <c r="F46" i="2" a="1"/>
  <c r="F138" i="2" a="1"/>
  <c r="B117" i="2" a="1"/>
  <c r="B104" i="2" a="1"/>
  <c r="C155" i="2" a="1"/>
  <c r="B134" i="2" a="1"/>
  <c r="F90" i="2" a="1"/>
  <c r="B60" i="2" a="1"/>
  <c r="F99" i="2" a="1"/>
  <c r="B59" i="2" a="1"/>
  <c r="F36" i="2" a="1"/>
  <c r="F140" i="2" a="1"/>
  <c r="B113" i="2" a="1"/>
  <c r="B118" i="2" a="1"/>
  <c r="B147" i="2" a="1"/>
  <c r="C94" i="2" a="1"/>
  <c r="C50" i="2" a="1"/>
  <c r="B140" i="2" a="1"/>
  <c r="B156" i="2" a="1"/>
  <c r="B123" i="2" a="1"/>
  <c r="B94" i="2" a="1"/>
  <c r="B64" i="2" a="1"/>
  <c r="C39" i="2" a="1"/>
  <c r="F53" i="2" a="1"/>
  <c r="B135" i="2" a="1"/>
  <c r="C132" i="2" a="1"/>
  <c r="F156" i="2" a="1"/>
  <c r="C131" i="2" a="1"/>
  <c r="B61" i="2" a="1"/>
  <c r="K6" i="2" a="1"/>
  <c r="F50" i="2" a="1"/>
  <c r="B53" i="2" a="1"/>
  <c r="F82" i="2" a="1"/>
  <c r="B92" i="2" a="1"/>
  <c r="F149" i="2" a="1"/>
  <c r="F142" i="2" a="1"/>
  <c r="F128" i="2" a="1"/>
  <c r="C53" i="2" a="1"/>
  <c r="C95" i="2" a="1"/>
  <c r="C44" i="2" a="1"/>
  <c r="B67" i="2" a="1"/>
  <c r="B137" i="2" a="1"/>
  <c r="C73" i="2" a="1"/>
  <c r="C96" i="2" a="1"/>
  <c r="B105" i="2" a="1"/>
  <c r="B52" i="2" a="1"/>
  <c r="C51" i="2" a="1"/>
  <c r="F67" i="2" a="1"/>
  <c r="F100" i="2" a="1"/>
  <c r="B42" i="2" a="1"/>
  <c r="C80" i="2" a="1"/>
  <c r="B107" i="2" a="1"/>
  <c r="C144" i="2" a="1"/>
  <c r="C110" i="2" a="1"/>
  <c r="C64" i="2" a="1"/>
  <c r="C30" i="2" a="1"/>
  <c r="F64" i="2" a="1"/>
  <c r="F69" i="2" a="1"/>
  <c r="F157" i="2" a="1"/>
  <c r="C126" i="2" a="1"/>
  <c r="B112" i="2" a="1"/>
  <c r="B159" i="2" a="1"/>
  <c r="B56" i="2" a="1"/>
  <c r="B83" i="2" a="1"/>
  <c r="B109" i="2" a="1"/>
  <c r="F114" i="2" a="1"/>
  <c r="B38" i="2" a="1"/>
  <c r="F108" i="2" a="1"/>
  <c r="F127" i="2" a="1"/>
  <c r="C98" i="2" a="1"/>
  <c r="B100" i="2" a="1"/>
  <c r="C84" i="2" a="1"/>
  <c r="B31" i="2" a="1"/>
  <c r="C40" i="2" a="1"/>
  <c r="B150" i="2" a="1"/>
  <c r="B74" i="2" a="1"/>
  <c r="C74" i="2" a="1"/>
  <c r="C123" i="2" a="1"/>
  <c r="C158" i="2" a="1"/>
  <c r="F101" i="2" a="1"/>
  <c r="B58" i="2" a="1"/>
  <c r="B151" i="2" a="1"/>
  <c r="F124" i="2" a="1"/>
  <c r="B34" i="2" a="1"/>
  <c r="C77" i="2" a="1"/>
  <c r="C146" i="2" a="1"/>
  <c r="F87" i="2" a="1"/>
  <c r="F37" i="2" a="1"/>
  <c r="F121" i="2" a="1"/>
  <c r="C106" i="2" a="1"/>
  <c r="F54" i="2" a="1"/>
  <c r="F86" i="2" a="1"/>
  <c r="B136" i="2" a="1"/>
  <c r="C31" i="2" a="1"/>
  <c r="F159" i="2" a="1"/>
  <c r="B80" i="2" a="1"/>
  <c r="B29" i="2" a="1"/>
  <c r="F130" i="2" a="1"/>
  <c r="B146" i="2" a="1"/>
  <c r="C48" i="2" a="1"/>
  <c r="C102" i="2" a="1"/>
  <c r="B66" i="2" a="1"/>
  <c r="C55" i="2" a="1"/>
  <c r="C147" i="2" a="1"/>
  <c r="C32" i="2" a="1"/>
  <c r="B51" i="2" a="1"/>
  <c r="C63" i="2" a="1"/>
  <c r="C41" i="2" a="1"/>
  <c r="C78" i="2" a="1"/>
  <c r="F147" i="2" a="1"/>
  <c r="C91" i="2" a="1"/>
  <c r="C116" i="2" a="1"/>
  <c r="C46" i="2" a="1"/>
  <c r="F60" i="2" a="1"/>
  <c r="C117" i="2" a="1"/>
  <c r="B95" i="2" a="1"/>
  <c r="F75" i="2" a="1"/>
  <c r="B33" i="2" a="1"/>
  <c r="B55" i="2" a="1"/>
  <c r="F29" i="2" a="1"/>
  <c r="B62" i="2" a="1"/>
  <c r="B154" i="2" a="1"/>
  <c r="B110" i="2" a="1"/>
  <c r="F88" i="2" a="1"/>
  <c r="B148" i="2" a="1"/>
  <c r="F110" i="2" a="1"/>
  <c r="C104" i="2" a="1"/>
  <c r="V3" i="3" a="1"/>
  <c r="E10" i="3" a="1"/>
  <c r="D777" i="3" l="1"/>
  <c r="F24" i="3"/>
  <c r="F32" i="3"/>
  <c r="F40" i="3"/>
  <c r="F48" i="3"/>
  <c r="F56" i="3"/>
  <c r="F64" i="3"/>
  <c r="F72" i="3"/>
  <c r="F80" i="3"/>
  <c r="F88" i="3"/>
  <c r="F96" i="3"/>
  <c r="F104" i="3"/>
  <c r="F112" i="3"/>
  <c r="F120" i="3"/>
  <c r="F128" i="3"/>
  <c r="F136" i="3"/>
  <c r="F144" i="3"/>
  <c r="F152" i="3"/>
  <c r="F160" i="3"/>
  <c r="F168" i="3"/>
  <c r="F176" i="3"/>
  <c r="F184" i="3"/>
  <c r="F192" i="3"/>
  <c r="F200" i="3"/>
  <c r="F208" i="3"/>
  <c r="F216" i="3"/>
  <c r="F224" i="3"/>
  <c r="F232" i="3"/>
  <c r="F240" i="3"/>
  <c r="F248" i="3"/>
  <c r="F256" i="3"/>
  <c r="F264" i="3"/>
  <c r="F272" i="3"/>
  <c r="F280" i="3"/>
  <c r="F288" i="3"/>
  <c r="F296" i="3"/>
  <c r="F304" i="3"/>
  <c r="F312" i="3"/>
  <c r="F26" i="3"/>
  <c r="F34" i="3"/>
  <c r="F27" i="3"/>
  <c r="F35" i="3"/>
  <c r="F43" i="3"/>
  <c r="F51" i="3"/>
  <c r="F59" i="3"/>
  <c r="F67" i="3"/>
  <c r="F75" i="3"/>
  <c r="F83" i="3"/>
  <c r="F91" i="3"/>
  <c r="F99" i="3"/>
  <c r="F107" i="3"/>
  <c r="F115" i="3"/>
  <c r="F123" i="3"/>
  <c r="F131" i="3"/>
  <c r="F139" i="3"/>
  <c r="F147" i="3"/>
  <c r="F155" i="3"/>
  <c r="F163" i="3"/>
  <c r="F171" i="3"/>
  <c r="F179" i="3"/>
  <c r="F187" i="3"/>
  <c r="F195" i="3"/>
  <c r="F203" i="3"/>
  <c r="F211" i="3"/>
  <c r="F219" i="3"/>
  <c r="F227" i="3"/>
  <c r="F235" i="3"/>
  <c r="F243" i="3"/>
  <c r="F251" i="3"/>
  <c r="F259" i="3"/>
  <c r="F267" i="3"/>
  <c r="F275" i="3"/>
  <c r="F283" i="3"/>
  <c r="F291" i="3"/>
  <c r="F299" i="3"/>
  <c r="F307" i="3"/>
  <c r="F315" i="3"/>
  <c r="F323" i="3"/>
  <c r="F31" i="3"/>
  <c r="F44" i="3"/>
  <c r="F54" i="3"/>
  <c r="F65" i="3"/>
  <c r="F76" i="3"/>
  <c r="F86" i="3"/>
  <c r="F97" i="3"/>
  <c r="F108" i="3"/>
  <c r="F118" i="3"/>
  <c r="F129" i="3"/>
  <c r="F140" i="3"/>
  <c r="F150" i="3"/>
  <c r="F161" i="3"/>
  <c r="F172" i="3"/>
  <c r="F182" i="3"/>
  <c r="F193" i="3"/>
  <c r="F204" i="3"/>
  <c r="F214" i="3"/>
  <c r="F225" i="3"/>
  <c r="F236" i="3"/>
  <c r="F246" i="3"/>
  <c r="F257" i="3"/>
  <c r="F268" i="3"/>
  <c r="F278" i="3"/>
  <c r="F289" i="3"/>
  <c r="F300" i="3"/>
  <c r="F310" i="3"/>
  <c r="F320" i="3"/>
  <c r="F329" i="3"/>
  <c r="F337" i="3"/>
  <c r="F345" i="3"/>
  <c r="F353" i="3"/>
  <c r="F361" i="3"/>
  <c r="F369" i="3"/>
  <c r="F377" i="3"/>
  <c r="F385" i="3"/>
  <c r="F393" i="3"/>
  <c r="F401" i="3"/>
  <c r="F409" i="3"/>
  <c r="F417" i="3"/>
  <c r="F425" i="3"/>
  <c r="F433" i="3"/>
  <c r="F441" i="3"/>
  <c r="F449" i="3"/>
  <c r="F457" i="3"/>
  <c r="F465" i="3"/>
  <c r="F473" i="3"/>
  <c r="F481" i="3"/>
  <c r="F489" i="3"/>
  <c r="F497" i="3"/>
  <c r="F505" i="3"/>
  <c r="F513" i="3"/>
  <c r="F521" i="3"/>
  <c r="F529" i="3"/>
  <c r="F537" i="3"/>
  <c r="F545" i="3"/>
  <c r="F553" i="3"/>
  <c r="F561" i="3"/>
  <c r="F569" i="3"/>
  <c r="F577" i="3"/>
  <c r="F585" i="3"/>
  <c r="F593" i="3"/>
  <c r="F601" i="3"/>
  <c r="F609" i="3"/>
  <c r="F617" i="3"/>
  <c r="F625" i="3"/>
  <c r="F633" i="3"/>
  <c r="F641" i="3"/>
  <c r="F649" i="3"/>
  <c r="F657" i="3"/>
  <c r="F665" i="3"/>
  <c r="F673" i="3"/>
  <c r="F681" i="3"/>
  <c r="F689" i="3"/>
  <c r="F697" i="3"/>
  <c r="F705" i="3"/>
  <c r="F713" i="3"/>
  <c r="F721" i="3"/>
  <c r="F729" i="3"/>
  <c r="F737" i="3"/>
  <c r="F745" i="3"/>
  <c r="F753" i="3"/>
  <c r="F761" i="3"/>
  <c r="F769" i="3"/>
  <c r="F777" i="3"/>
  <c r="F785" i="3"/>
  <c r="F594" i="3"/>
  <c r="F626" i="3"/>
  <c r="F642" i="3"/>
  <c r="F658" i="3"/>
  <c r="F33" i="3"/>
  <c r="F45" i="3"/>
  <c r="F55" i="3"/>
  <c r="F66" i="3"/>
  <c r="F77" i="3"/>
  <c r="F87" i="3"/>
  <c r="F98" i="3"/>
  <c r="F109" i="3"/>
  <c r="F119" i="3"/>
  <c r="F130" i="3"/>
  <c r="F141" i="3"/>
  <c r="F151" i="3"/>
  <c r="F162" i="3"/>
  <c r="F173" i="3"/>
  <c r="F183" i="3"/>
  <c r="F194" i="3"/>
  <c r="F205" i="3"/>
  <c r="F215" i="3"/>
  <c r="F226" i="3"/>
  <c r="F237" i="3"/>
  <c r="F247" i="3"/>
  <c r="F258" i="3"/>
  <c r="F269" i="3"/>
  <c r="F279" i="3"/>
  <c r="F290" i="3"/>
  <c r="F301" i="3"/>
  <c r="F311" i="3"/>
  <c r="F321" i="3"/>
  <c r="F330" i="3"/>
  <c r="F338" i="3"/>
  <c r="F346" i="3"/>
  <c r="F354" i="3"/>
  <c r="F362" i="3"/>
  <c r="F370" i="3"/>
  <c r="F378" i="3"/>
  <c r="F386" i="3"/>
  <c r="F394" i="3"/>
  <c r="F402" i="3"/>
  <c r="F410" i="3"/>
  <c r="F418" i="3"/>
  <c r="F426" i="3"/>
  <c r="F434" i="3"/>
  <c r="F442" i="3"/>
  <c r="F450" i="3"/>
  <c r="F458" i="3"/>
  <c r="F466" i="3"/>
  <c r="F474" i="3"/>
  <c r="F482" i="3"/>
  <c r="F490" i="3"/>
  <c r="F498" i="3"/>
  <c r="F506" i="3"/>
  <c r="F514" i="3"/>
  <c r="F522" i="3"/>
  <c r="F530" i="3"/>
  <c r="F538" i="3"/>
  <c r="F546" i="3"/>
  <c r="F554" i="3"/>
  <c r="F562" i="3"/>
  <c r="F570" i="3"/>
  <c r="F578" i="3"/>
  <c r="F586" i="3"/>
  <c r="F602" i="3"/>
  <c r="F610" i="3"/>
  <c r="F618" i="3"/>
  <c r="F634" i="3"/>
  <c r="F650" i="3"/>
  <c r="F666" i="3"/>
  <c r="F674" i="3"/>
  <c r="F690" i="3"/>
  <c r="F36" i="3"/>
  <c r="F46" i="3"/>
  <c r="F57" i="3"/>
  <c r="F68" i="3"/>
  <c r="F78" i="3"/>
  <c r="F89" i="3"/>
  <c r="F100" i="3"/>
  <c r="F110" i="3"/>
  <c r="F121" i="3"/>
  <c r="F132" i="3"/>
  <c r="F142" i="3"/>
  <c r="F153" i="3"/>
  <c r="F164" i="3"/>
  <c r="F174" i="3"/>
  <c r="F185" i="3"/>
  <c r="F196" i="3"/>
  <c r="F206" i="3"/>
  <c r="F217" i="3"/>
  <c r="F228" i="3"/>
  <c r="F238" i="3"/>
  <c r="F249" i="3"/>
  <c r="F260" i="3"/>
  <c r="F270" i="3"/>
  <c r="F281" i="3"/>
  <c r="F292" i="3"/>
  <c r="F302" i="3"/>
  <c r="F313" i="3"/>
  <c r="F322" i="3"/>
  <c r="F331" i="3"/>
  <c r="F339" i="3"/>
  <c r="F347" i="3"/>
  <c r="F355" i="3"/>
  <c r="F363" i="3"/>
  <c r="F371" i="3"/>
  <c r="F379" i="3"/>
  <c r="F387" i="3"/>
  <c r="F395" i="3"/>
  <c r="F403" i="3"/>
  <c r="F411" i="3"/>
  <c r="F419" i="3"/>
  <c r="F427" i="3"/>
  <c r="F435" i="3"/>
  <c r="F443" i="3"/>
  <c r="F451" i="3"/>
  <c r="F459" i="3"/>
  <c r="F467" i="3"/>
  <c r="F475" i="3"/>
  <c r="F483" i="3"/>
  <c r="F491" i="3"/>
  <c r="F499" i="3"/>
  <c r="F507" i="3"/>
  <c r="F515" i="3"/>
  <c r="F523" i="3"/>
  <c r="F531" i="3"/>
  <c r="F539" i="3"/>
  <c r="F547" i="3"/>
  <c r="F555" i="3"/>
  <c r="F563" i="3"/>
  <c r="F571" i="3"/>
  <c r="F579" i="3"/>
  <c r="F587" i="3"/>
  <c r="F595" i="3"/>
  <c r="F603" i="3"/>
  <c r="F611" i="3"/>
  <c r="F619" i="3"/>
  <c r="F627" i="3"/>
  <c r="F635" i="3"/>
  <c r="F643" i="3"/>
  <c r="F651" i="3"/>
  <c r="F659" i="3"/>
  <c r="F667" i="3"/>
  <c r="F675" i="3"/>
  <c r="F683" i="3"/>
  <c r="F691" i="3"/>
  <c r="F699" i="3"/>
  <c r="F707" i="3"/>
  <c r="F715" i="3"/>
  <c r="F723" i="3"/>
  <c r="F731" i="3"/>
  <c r="F739" i="3"/>
  <c r="F747" i="3"/>
  <c r="F755" i="3"/>
  <c r="F763" i="3"/>
  <c r="F771" i="3"/>
  <c r="F779" i="3"/>
  <c r="F787" i="3"/>
  <c r="F23" i="3"/>
  <c r="F47" i="3"/>
  <c r="F58" i="3"/>
  <c r="F79" i="3"/>
  <c r="F101" i="3"/>
  <c r="F122" i="3"/>
  <c r="F143" i="3"/>
  <c r="F165" i="3"/>
  <c r="F175" i="3"/>
  <c r="F197" i="3"/>
  <c r="F218" i="3"/>
  <c r="F239" i="3"/>
  <c r="F250" i="3"/>
  <c r="F271" i="3"/>
  <c r="F303" i="3"/>
  <c r="F324" i="3"/>
  <c r="F348" i="3"/>
  <c r="F372" i="3"/>
  <c r="F388" i="3"/>
  <c r="F404" i="3"/>
  <c r="F420" i="3"/>
  <c r="F436" i="3"/>
  <c r="F460" i="3"/>
  <c r="F476" i="3"/>
  <c r="F492" i="3"/>
  <c r="F508" i="3"/>
  <c r="F524" i="3"/>
  <c r="F540" i="3"/>
  <c r="F556" i="3"/>
  <c r="F572" i="3"/>
  <c r="F588" i="3"/>
  <c r="F612" i="3"/>
  <c r="F628" i="3"/>
  <c r="F644" i="3"/>
  <c r="F668" i="3"/>
  <c r="F684" i="3"/>
  <c r="F700" i="3"/>
  <c r="F716" i="3"/>
  <c r="F732" i="3"/>
  <c r="F748" i="3"/>
  <c r="F764" i="3"/>
  <c r="F780" i="3"/>
  <c r="F298" i="3"/>
  <c r="F440" i="3"/>
  <c r="F496" i="3"/>
  <c r="F528" i="3"/>
  <c r="F560" i="3"/>
  <c r="F600" i="3"/>
  <c r="F664" i="3"/>
  <c r="F704" i="3"/>
  <c r="F37" i="3"/>
  <c r="F69" i="3"/>
  <c r="F90" i="3"/>
  <c r="F111" i="3"/>
  <c r="F133" i="3"/>
  <c r="F154" i="3"/>
  <c r="F186" i="3"/>
  <c r="F207" i="3"/>
  <c r="F229" i="3"/>
  <c r="F261" i="3"/>
  <c r="F282" i="3"/>
  <c r="F293" i="3"/>
  <c r="F314" i="3"/>
  <c r="F332" i="3"/>
  <c r="F340" i="3"/>
  <c r="F356" i="3"/>
  <c r="F364" i="3"/>
  <c r="F380" i="3"/>
  <c r="F396" i="3"/>
  <c r="F412" i="3"/>
  <c r="F428" i="3"/>
  <c r="F444" i="3"/>
  <c r="F452" i="3"/>
  <c r="F468" i="3"/>
  <c r="F484" i="3"/>
  <c r="F500" i="3"/>
  <c r="F516" i="3"/>
  <c r="F532" i="3"/>
  <c r="F548" i="3"/>
  <c r="F564" i="3"/>
  <c r="F580" i="3"/>
  <c r="F596" i="3"/>
  <c r="F604" i="3"/>
  <c r="F620" i="3"/>
  <c r="F636" i="3"/>
  <c r="F652" i="3"/>
  <c r="F660" i="3"/>
  <c r="F676" i="3"/>
  <c r="F692" i="3"/>
  <c r="F708" i="3"/>
  <c r="F724" i="3"/>
  <c r="F740" i="3"/>
  <c r="F756" i="3"/>
  <c r="F772" i="3"/>
  <c r="F788" i="3"/>
  <c r="F328" i="3"/>
  <c r="F464" i="3"/>
  <c r="F512" i="3"/>
  <c r="F552" i="3"/>
  <c r="F592" i="3"/>
  <c r="F624" i="3"/>
  <c r="F648" i="3"/>
  <c r="F688" i="3"/>
  <c r="F25" i="3"/>
  <c r="F38" i="3"/>
  <c r="F49" i="3"/>
  <c r="F60" i="3"/>
  <c r="F70" i="3"/>
  <c r="F81" i="3"/>
  <c r="F92" i="3"/>
  <c r="F102" i="3"/>
  <c r="F113" i="3"/>
  <c r="F124" i="3"/>
  <c r="F134" i="3"/>
  <c r="F145" i="3"/>
  <c r="F156" i="3"/>
  <c r="F166" i="3"/>
  <c r="F177" i="3"/>
  <c r="F188" i="3"/>
  <c r="F198" i="3"/>
  <c r="F209" i="3"/>
  <c r="F220" i="3"/>
  <c r="F230" i="3"/>
  <c r="F241" i="3"/>
  <c r="F252" i="3"/>
  <c r="F262" i="3"/>
  <c r="F273" i="3"/>
  <c r="F284" i="3"/>
  <c r="F294" i="3"/>
  <c r="F305" i="3"/>
  <c r="F316" i="3"/>
  <c r="F325" i="3"/>
  <c r="F333" i="3"/>
  <c r="F341" i="3"/>
  <c r="F349" i="3"/>
  <c r="F357" i="3"/>
  <c r="F365" i="3"/>
  <c r="F373" i="3"/>
  <c r="F381" i="3"/>
  <c r="F389" i="3"/>
  <c r="F397" i="3"/>
  <c r="F405" i="3"/>
  <c r="F413" i="3"/>
  <c r="F421" i="3"/>
  <c r="F429" i="3"/>
  <c r="F437" i="3"/>
  <c r="F445" i="3"/>
  <c r="F453" i="3"/>
  <c r="F461" i="3"/>
  <c r="F469" i="3"/>
  <c r="F477" i="3"/>
  <c r="F485" i="3"/>
  <c r="F493" i="3"/>
  <c r="F501" i="3"/>
  <c r="F509" i="3"/>
  <c r="F517" i="3"/>
  <c r="F525" i="3"/>
  <c r="F533" i="3"/>
  <c r="F541" i="3"/>
  <c r="F549" i="3"/>
  <c r="F557" i="3"/>
  <c r="F565" i="3"/>
  <c r="F573" i="3"/>
  <c r="F581" i="3"/>
  <c r="F589" i="3"/>
  <c r="F597" i="3"/>
  <c r="F605" i="3"/>
  <c r="F613" i="3"/>
  <c r="F621" i="3"/>
  <c r="F629" i="3"/>
  <c r="F637" i="3"/>
  <c r="F645" i="3"/>
  <c r="F653" i="3"/>
  <c r="F661" i="3"/>
  <c r="F669" i="3"/>
  <c r="F677" i="3"/>
  <c r="F685" i="3"/>
  <c r="F693" i="3"/>
  <c r="F701" i="3"/>
  <c r="F709" i="3"/>
  <c r="F717" i="3"/>
  <c r="F725" i="3"/>
  <c r="F733" i="3"/>
  <c r="F741" i="3"/>
  <c r="F749" i="3"/>
  <c r="F757" i="3"/>
  <c r="F765" i="3"/>
  <c r="F773" i="3"/>
  <c r="F781" i="3"/>
  <c r="F789" i="3"/>
  <c r="F53" i="3"/>
  <c r="F181" i="3"/>
  <c r="F234" i="3"/>
  <c r="F266" i="3"/>
  <c r="F319" i="3"/>
  <c r="F344" i="3"/>
  <c r="F368" i="3"/>
  <c r="F392" i="3"/>
  <c r="F408" i="3"/>
  <c r="F432" i="3"/>
  <c r="F472" i="3"/>
  <c r="F504" i="3"/>
  <c r="F544" i="3"/>
  <c r="F584" i="3"/>
  <c r="F632" i="3"/>
  <c r="F672" i="3"/>
  <c r="F696" i="3"/>
  <c r="F28" i="3"/>
  <c r="F39" i="3"/>
  <c r="F50" i="3"/>
  <c r="F61" i="3"/>
  <c r="F71" i="3"/>
  <c r="F82" i="3"/>
  <c r="F93" i="3"/>
  <c r="F103" i="3"/>
  <c r="F114" i="3"/>
  <c r="F125" i="3"/>
  <c r="F135" i="3"/>
  <c r="F146" i="3"/>
  <c r="F157" i="3"/>
  <c r="F167" i="3"/>
  <c r="F178" i="3"/>
  <c r="F189" i="3"/>
  <c r="F199" i="3"/>
  <c r="F210" i="3"/>
  <c r="F221" i="3"/>
  <c r="F231" i="3"/>
  <c r="F242" i="3"/>
  <c r="F253" i="3"/>
  <c r="F263" i="3"/>
  <c r="F274" i="3"/>
  <c r="F285" i="3"/>
  <c r="F295" i="3"/>
  <c r="F306" i="3"/>
  <c r="F317" i="3"/>
  <c r="F326" i="3"/>
  <c r="F334" i="3"/>
  <c r="F342" i="3"/>
  <c r="F350" i="3"/>
  <c r="F358" i="3"/>
  <c r="F366" i="3"/>
  <c r="F374" i="3"/>
  <c r="F382" i="3"/>
  <c r="F390" i="3"/>
  <c r="F398" i="3"/>
  <c r="F406" i="3"/>
  <c r="F414" i="3"/>
  <c r="F422" i="3"/>
  <c r="F430" i="3"/>
  <c r="F438" i="3"/>
  <c r="F446" i="3"/>
  <c r="F454" i="3"/>
  <c r="F462" i="3"/>
  <c r="F470" i="3"/>
  <c r="F478" i="3"/>
  <c r="F486" i="3"/>
  <c r="F494" i="3"/>
  <c r="F502" i="3"/>
  <c r="F510" i="3"/>
  <c r="F518" i="3"/>
  <c r="F526" i="3"/>
  <c r="F534" i="3"/>
  <c r="F542" i="3"/>
  <c r="F550" i="3"/>
  <c r="F558" i="3"/>
  <c r="F566" i="3"/>
  <c r="F574" i="3"/>
  <c r="F582" i="3"/>
  <c r="F590" i="3"/>
  <c r="F598" i="3"/>
  <c r="F606" i="3"/>
  <c r="F614" i="3"/>
  <c r="F622" i="3"/>
  <c r="F630" i="3"/>
  <c r="F638" i="3"/>
  <c r="F646" i="3"/>
  <c r="F654" i="3"/>
  <c r="F662" i="3"/>
  <c r="F670" i="3"/>
  <c r="F678" i="3"/>
  <c r="F686" i="3"/>
  <c r="F694" i="3"/>
  <c r="F702" i="3"/>
  <c r="F710" i="3"/>
  <c r="F718" i="3"/>
  <c r="F726" i="3"/>
  <c r="F734" i="3"/>
  <c r="F742" i="3"/>
  <c r="F750" i="3"/>
  <c r="F758" i="3"/>
  <c r="F766" i="3"/>
  <c r="F774" i="3"/>
  <c r="F782" i="3"/>
  <c r="F22" i="3"/>
  <c r="F42" i="3"/>
  <c r="F74" i="3"/>
  <c r="F106" i="3"/>
  <c r="F127" i="3"/>
  <c r="F159" i="3"/>
  <c r="F191" i="3"/>
  <c r="F213" i="3"/>
  <c r="F245" i="3"/>
  <c r="F287" i="3"/>
  <c r="F336" i="3"/>
  <c r="F360" i="3"/>
  <c r="F384" i="3"/>
  <c r="F416" i="3"/>
  <c r="F448" i="3"/>
  <c r="F480" i="3"/>
  <c r="F520" i="3"/>
  <c r="F568" i="3"/>
  <c r="F616" i="3"/>
  <c r="F656" i="3"/>
  <c r="F29" i="3"/>
  <c r="F41" i="3"/>
  <c r="F52" i="3"/>
  <c r="F62" i="3"/>
  <c r="F73" i="3"/>
  <c r="F84" i="3"/>
  <c r="F94" i="3"/>
  <c r="F105" i="3"/>
  <c r="F116" i="3"/>
  <c r="F126" i="3"/>
  <c r="F137" i="3"/>
  <c r="F148" i="3"/>
  <c r="F158" i="3"/>
  <c r="F169" i="3"/>
  <c r="F180" i="3"/>
  <c r="F190" i="3"/>
  <c r="F201" i="3"/>
  <c r="F212" i="3"/>
  <c r="F222" i="3"/>
  <c r="F233" i="3"/>
  <c r="F244" i="3"/>
  <c r="F254" i="3"/>
  <c r="F265" i="3"/>
  <c r="F276" i="3"/>
  <c r="F286" i="3"/>
  <c r="F297" i="3"/>
  <c r="F308" i="3"/>
  <c r="F318" i="3"/>
  <c r="F327" i="3"/>
  <c r="F335" i="3"/>
  <c r="F343" i="3"/>
  <c r="F351" i="3"/>
  <c r="F359" i="3"/>
  <c r="F367" i="3"/>
  <c r="F375" i="3"/>
  <c r="F383" i="3"/>
  <c r="F391" i="3"/>
  <c r="F399" i="3"/>
  <c r="F407" i="3"/>
  <c r="F415" i="3"/>
  <c r="F423" i="3"/>
  <c r="F431" i="3"/>
  <c r="F439" i="3"/>
  <c r="F447" i="3"/>
  <c r="F455" i="3"/>
  <c r="F463" i="3"/>
  <c r="F471" i="3"/>
  <c r="F479" i="3"/>
  <c r="F487" i="3"/>
  <c r="F495" i="3"/>
  <c r="F503" i="3"/>
  <c r="F511" i="3"/>
  <c r="F519" i="3"/>
  <c r="F527" i="3"/>
  <c r="F535" i="3"/>
  <c r="F543" i="3"/>
  <c r="F551" i="3"/>
  <c r="F559" i="3"/>
  <c r="F567" i="3"/>
  <c r="F575" i="3"/>
  <c r="F583" i="3"/>
  <c r="F591" i="3"/>
  <c r="F599" i="3"/>
  <c r="F607" i="3"/>
  <c r="F615" i="3"/>
  <c r="F623" i="3"/>
  <c r="F631" i="3"/>
  <c r="F639" i="3"/>
  <c r="F647" i="3"/>
  <c r="F655" i="3"/>
  <c r="F663" i="3"/>
  <c r="F671" i="3"/>
  <c r="F679" i="3"/>
  <c r="F687" i="3"/>
  <c r="F695" i="3"/>
  <c r="F703" i="3"/>
  <c r="F711" i="3"/>
  <c r="F719" i="3"/>
  <c r="F727" i="3"/>
  <c r="F735" i="3"/>
  <c r="F743" i="3"/>
  <c r="F751" i="3"/>
  <c r="F759" i="3"/>
  <c r="F767" i="3"/>
  <c r="F775" i="3"/>
  <c r="F783" i="3"/>
  <c r="F30" i="3"/>
  <c r="F63" i="3"/>
  <c r="F85" i="3"/>
  <c r="F95" i="3"/>
  <c r="F117" i="3"/>
  <c r="F138" i="3"/>
  <c r="F149" i="3"/>
  <c r="F170" i="3"/>
  <c r="F202" i="3"/>
  <c r="F223" i="3"/>
  <c r="F255" i="3"/>
  <c r="F277" i="3"/>
  <c r="F309" i="3"/>
  <c r="F352" i="3"/>
  <c r="F376" i="3"/>
  <c r="F400" i="3"/>
  <c r="F424" i="3"/>
  <c r="F456" i="3"/>
  <c r="F488" i="3"/>
  <c r="F536" i="3"/>
  <c r="F576" i="3"/>
  <c r="F608" i="3"/>
  <c r="F640" i="3"/>
  <c r="F680" i="3"/>
  <c r="F712" i="3"/>
  <c r="F706" i="3"/>
  <c r="F744" i="3"/>
  <c r="F776" i="3"/>
  <c r="F714" i="3"/>
  <c r="F746" i="3"/>
  <c r="F720" i="3"/>
  <c r="F722" i="3"/>
  <c r="F754" i="3"/>
  <c r="F786" i="3"/>
  <c r="F728" i="3"/>
  <c r="F770" i="3"/>
  <c r="F784" i="3"/>
  <c r="F760" i="3"/>
  <c r="F778" i="3"/>
  <c r="F730" i="3"/>
  <c r="F762" i="3"/>
  <c r="F768" i="3"/>
  <c r="F698" i="3"/>
  <c r="F682" i="3"/>
  <c r="F736" i="3"/>
  <c r="F738" i="3"/>
  <c r="F752" i="3"/>
  <c r="D22" i="3"/>
  <c r="O782" i="3"/>
  <c r="O718" i="3"/>
  <c r="O566" i="3"/>
  <c r="O54" i="3"/>
  <c r="O733" i="3"/>
  <c r="O614" i="3"/>
  <c r="O174" i="3"/>
  <c r="O748" i="3"/>
  <c r="O654" i="3"/>
  <c r="O294" i="3"/>
  <c r="O763" i="3"/>
  <c r="O694" i="3"/>
  <c r="O414" i="3"/>
  <c r="O693" i="3"/>
  <c r="O629" i="3"/>
  <c r="O565" i="3"/>
  <c r="O501" i="3"/>
  <c r="O437" i="3"/>
  <c r="O373" i="3"/>
  <c r="O309" i="3"/>
  <c r="O245" i="3"/>
  <c r="O181" i="3"/>
  <c r="O117" i="3"/>
  <c r="O53" i="3"/>
  <c r="O668" i="3"/>
  <c r="O604" i="3"/>
  <c r="O540" i="3"/>
  <c r="O476" i="3"/>
  <c r="O412" i="3"/>
  <c r="O348" i="3"/>
  <c r="O284" i="3"/>
  <c r="O220" i="3"/>
  <c r="O156" i="3"/>
  <c r="O92" i="3"/>
  <c r="O28" i="3"/>
  <c r="O643" i="3"/>
  <c r="O579" i="3"/>
  <c r="O515" i="3"/>
  <c r="O451" i="3"/>
  <c r="O387" i="3"/>
  <c r="O323" i="3"/>
  <c r="O259" i="3"/>
  <c r="O195" i="3"/>
  <c r="O131" i="3"/>
  <c r="O67" i="3"/>
  <c r="O562" i="3"/>
  <c r="O498" i="3"/>
  <c r="O434" i="3"/>
  <c r="O370" i="3"/>
  <c r="O306" i="3"/>
  <c r="O242" i="3"/>
  <c r="O178" i="3"/>
  <c r="O114" i="3"/>
  <c r="O50" i="3"/>
  <c r="O665" i="3"/>
  <c r="O601" i="3"/>
  <c r="O537" i="3"/>
  <c r="O473" i="3"/>
  <c r="O409" i="3"/>
  <c r="O345" i="3"/>
  <c r="O281" i="3"/>
  <c r="O217" i="3"/>
  <c r="O153" i="3"/>
  <c r="O89" i="3"/>
  <c r="O25" i="3"/>
  <c r="O512" i="3"/>
  <c r="O448" i="3"/>
  <c r="O384" i="3"/>
  <c r="O320" i="3"/>
  <c r="O256" i="3"/>
  <c r="O192" i="3"/>
  <c r="O128" i="3"/>
  <c r="O64" i="3"/>
  <c r="O679" i="3"/>
  <c r="O615" i="3"/>
  <c r="O551" i="3"/>
  <c r="O487" i="3"/>
  <c r="O423" i="3"/>
  <c r="O359" i="3"/>
  <c r="O295" i="3"/>
  <c r="O231" i="3"/>
  <c r="O167" i="3"/>
  <c r="O103" i="3"/>
  <c r="O39" i="3"/>
  <c r="O340" i="3"/>
  <c r="O276" i="3"/>
  <c r="O212" i="3"/>
  <c r="O148" i="3"/>
  <c r="O84" i="3"/>
  <c r="O699" i="3"/>
  <c r="O635" i="3"/>
  <c r="O571" i="3"/>
  <c r="O507" i="3"/>
  <c r="O443" i="3"/>
  <c r="O379" i="3"/>
  <c r="O315" i="3"/>
  <c r="O251" i="3"/>
  <c r="O187" i="3"/>
  <c r="O123" i="3"/>
  <c r="O59" i="3"/>
  <c r="O554" i="3"/>
  <c r="O490" i="3"/>
  <c r="O426" i="3"/>
  <c r="O362" i="3"/>
  <c r="O298" i="3"/>
  <c r="O234" i="3"/>
  <c r="O170" i="3"/>
  <c r="O106" i="3"/>
  <c r="O42" i="3"/>
  <c r="O657" i="3"/>
  <c r="O593" i="3"/>
  <c r="O529" i="3"/>
  <c r="O465" i="3"/>
  <c r="O401" i="3"/>
  <c r="O337" i="3"/>
  <c r="O273" i="3"/>
  <c r="O209" i="3"/>
  <c r="O145" i="3"/>
  <c r="O81" i="3"/>
  <c r="O568" i="3"/>
  <c r="O504" i="3"/>
  <c r="O440" i="3"/>
  <c r="O376" i="3"/>
  <c r="O312" i="3"/>
  <c r="O248" i="3"/>
  <c r="O184" i="3"/>
  <c r="O120" i="3"/>
  <c r="O56" i="3"/>
  <c r="O671" i="3"/>
  <c r="O607" i="3"/>
  <c r="O543" i="3"/>
  <c r="O479" i="3"/>
  <c r="O415" i="3"/>
  <c r="O351" i="3"/>
  <c r="O287" i="3"/>
  <c r="O223" i="3"/>
  <c r="O159" i="3"/>
  <c r="O95" i="3"/>
  <c r="O31" i="3"/>
  <c r="O198" i="3"/>
  <c r="O751" i="3"/>
  <c r="O662" i="3"/>
  <c r="O318" i="3"/>
  <c r="O766" i="3"/>
  <c r="O702" i="3"/>
  <c r="O438" i="3"/>
  <c r="O781" i="3"/>
  <c r="O717" i="3"/>
  <c r="O558" i="3"/>
  <c r="O46" i="3"/>
  <c r="O732" i="3"/>
  <c r="O610" i="3"/>
  <c r="O166" i="3"/>
  <c r="O747" i="3"/>
  <c r="O650" i="3"/>
  <c r="O286" i="3"/>
  <c r="O677" i="3"/>
  <c r="O613" i="3"/>
  <c r="O549" i="3"/>
  <c r="O485" i="3"/>
  <c r="O421" i="3"/>
  <c r="O357" i="3"/>
  <c r="O293" i="3"/>
  <c r="O229" i="3"/>
  <c r="O165" i="3"/>
  <c r="O101" i="3"/>
  <c r="O37" i="3"/>
  <c r="O652" i="3"/>
  <c r="O588" i="3"/>
  <c r="O524" i="3"/>
  <c r="O460" i="3"/>
  <c r="O396" i="3"/>
  <c r="O332" i="3"/>
  <c r="O268" i="3"/>
  <c r="O204" i="3"/>
  <c r="O140" i="3"/>
  <c r="O76" i="3"/>
  <c r="O691" i="3"/>
  <c r="O627" i="3"/>
  <c r="O563" i="3"/>
  <c r="O499" i="3"/>
  <c r="O435" i="3"/>
  <c r="O371" i="3"/>
  <c r="O307" i="3"/>
  <c r="O243" i="3"/>
  <c r="O179" i="3"/>
  <c r="O115" i="3"/>
  <c r="O51" i="3"/>
  <c r="O546" i="3"/>
  <c r="O482" i="3"/>
  <c r="O418" i="3"/>
  <c r="O354" i="3"/>
  <c r="O290" i="3"/>
  <c r="O226" i="3"/>
  <c r="O162" i="3"/>
  <c r="O98" i="3"/>
  <c r="O34" i="3"/>
  <c r="O649" i="3"/>
  <c r="O585" i="3"/>
  <c r="O521" i="3"/>
  <c r="O457" i="3"/>
  <c r="O393" i="3"/>
  <c r="O329" i="3"/>
  <c r="O265" i="3"/>
  <c r="O201" i="3"/>
  <c r="O137" i="3"/>
  <c r="O73" i="3"/>
  <c r="O560" i="3"/>
  <c r="O496" i="3"/>
  <c r="O432" i="3"/>
  <c r="O368" i="3"/>
  <c r="O304" i="3"/>
  <c r="O240" i="3"/>
  <c r="O176" i="3"/>
  <c r="O112" i="3"/>
  <c r="O48" i="3"/>
  <c r="O663" i="3"/>
  <c r="O599" i="3"/>
  <c r="O535" i="3"/>
  <c r="O471" i="3"/>
  <c r="O407" i="3"/>
  <c r="O343" i="3"/>
  <c r="O279" i="3"/>
  <c r="O215" i="3"/>
  <c r="O151" i="3"/>
  <c r="O87" i="3"/>
  <c r="O23" i="3"/>
  <c r="O758" i="3"/>
  <c r="O680" i="3"/>
  <c r="O374" i="3"/>
  <c r="O773" i="3"/>
  <c r="O709" i="3"/>
  <c r="O494" i="3"/>
  <c r="O788" i="3"/>
  <c r="O724" i="3"/>
  <c r="O590" i="3"/>
  <c r="O102" i="3"/>
  <c r="O739" i="3"/>
  <c r="O630" i="3"/>
  <c r="O222" i="3"/>
  <c r="O669" i="3"/>
  <c r="O605" i="3"/>
  <c r="O541" i="3"/>
  <c r="O477" i="3"/>
  <c r="O413" i="3"/>
  <c r="O349" i="3"/>
  <c r="O285" i="3"/>
  <c r="O221" i="3"/>
  <c r="O157" i="3"/>
  <c r="O93" i="3"/>
  <c r="O29" i="3"/>
  <c r="O644" i="3"/>
  <c r="O580" i="3"/>
  <c r="O516" i="3"/>
  <c r="O452" i="3"/>
  <c r="O388" i="3"/>
  <c r="O324" i="3"/>
  <c r="O260" i="3"/>
  <c r="O196" i="3"/>
  <c r="O132" i="3"/>
  <c r="O68" i="3"/>
  <c r="O683" i="3"/>
  <c r="O619" i="3"/>
  <c r="O555" i="3"/>
  <c r="O491" i="3"/>
  <c r="O427" i="3"/>
  <c r="O363" i="3"/>
  <c r="O299" i="3"/>
  <c r="O235" i="3"/>
  <c r="O171" i="3"/>
  <c r="O107" i="3"/>
  <c r="O43" i="3"/>
  <c r="O538" i="3"/>
  <c r="O474" i="3"/>
  <c r="O410" i="3"/>
  <c r="O346" i="3"/>
  <c r="O282" i="3"/>
  <c r="O218" i="3"/>
  <c r="O154" i="3"/>
  <c r="O90" i="3"/>
  <c r="O26" i="3"/>
  <c r="O641" i="3"/>
  <c r="O577" i="3"/>
  <c r="O513" i="3"/>
  <c r="O449" i="3"/>
  <c r="O385" i="3"/>
  <c r="O321" i="3"/>
  <c r="O257" i="3"/>
  <c r="O193" i="3"/>
  <c r="O129" i="3"/>
  <c r="O65" i="3"/>
  <c r="O552" i="3"/>
  <c r="O488" i="3"/>
  <c r="O424" i="3"/>
  <c r="O360" i="3"/>
  <c r="O296" i="3"/>
  <c r="O232" i="3"/>
  <c r="O168" i="3"/>
  <c r="O104" i="3"/>
  <c r="O40" i="3"/>
  <c r="O655" i="3"/>
  <c r="O591" i="3"/>
  <c r="O527" i="3"/>
  <c r="O463" i="3"/>
  <c r="O399" i="3"/>
  <c r="O335" i="3"/>
  <c r="O271" i="3"/>
  <c r="O207" i="3"/>
  <c r="O143" i="3"/>
  <c r="O79" i="3"/>
  <c r="O455" i="3"/>
  <c r="O391" i="3"/>
  <c r="O327" i="3"/>
  <c r="O263" i="3"/>
  <c r="O199" i="3"/>
  <c r="O135" i="3"/>
  <c r="O71" i="3"/>
  <c r="O727" i="3"/>
  <c r="O598" i="3"/>
  <c r="O126" i="3"/>
  <c r="O742" i="3"/>
  <c r="O638" i="3"/>
  <c r="O246" i="3"/>
  <c r="O757" i="3"/>
  <c r="O678" i="3"/>
  <c r="O366" i="3"/>
  <c r="O772" i="3"/>
  <c r="O708" i="3"/>
  <c r="O486" i="3"/>
  <c r="O787" i="3"/>
  <c r="O723" i="3"/>
  <c r="O586" i="3"/>
  <c r="O94" i="3"/>
  <c r="O653" i="3"/>
  <c r="O589" i="3"/>
  <c r="O525" i="3"/>
  <c r="O461" i="3"/>
  <c r="O397" i="3"/>
  <c r="O333" i="3"/>
  <c r="O269" i="3"/>
  <c r="O205" i="3"/>
  <c r="O141" i="3"/>
  <c r="O77" i="3"/>
  <c r="O692" i="3"/>
  <c r="O628" i="3"/>
  <c r="O564" i="3"/>
  <c r="O500" i="3"/>
  <c r="O436" i="3"/>
  <c r="O372" i="3"/>
  <c r="O308" i="3"/>
  <c r="O244" i="3"/>
  <c r="O180" i="3"/>
  <c r="O116" i="3"/>
  <c r="O52" i="3"/>
  <c r="O667" i="3"/>
  <c r="O603" i="3"/>
  <c r="O539" i="3"/>
  <c r="O475" i="3"/>
  <c r="O411" i="3"/>
  <c r="O347" i="3"/>
  <c r="O283" i="3"/>
  <c r="O219" i="3"/>
  <c r="O155" i="3"/>
  <c r="O91" i="3"/>
  <c r="O27" i="3"/>
  <c r="O522" i="3"/>
  <c r="O458" i="3"/>
  <c r="O394" i="3"/>
  <c r="O330" i="3"/>
  <c r="O266" i="3"/>
  <c r="O202" i="3"/>
  <c r="O138" i="3"/>
  <c r="O74" i="3"/>
  <c r="O689" i="3"/>
  <c r="O625" i="3"/>
  <c r="O561" i="3"/>
  <c r="O497" i="3"/>
  <c r="O433" i="3"/>
  <c r="O369" i="3"/>
  <c r="O305" i="3"/>
  <c r="O241" i="3"/>
  <c r="O177" i="3"/>
  <c r="O113" i="3"/>
  <c r="O49" i="3"/>
  <c r="O536" i="3"/>
  <c r="O472" i="3"/>
  <c r="O408" i="3"/>
  <c r="O344" i="3"/>
  <c r="O280" i="3"/>
  <c r="O216" i="3"/>
  <c r="O152" i="3"/>
  <c r="O88" i="3"/>
  <c r="O24" i="3"/>
  <c r="O639" i="3"/>
  <c r="O575" i="3"/>
  <c r="O511" i="3"/>
  <c r="O447" i="3"/>
  <c r="O383" i="3"/>
  <c r="O319" i="3"/>
  <c r="O255" i="3"/>
  <c r="O191" i="3"/>
  <c r="O127" i="3"/>
  <c r="O63" i="3"/>
  <c r="O684" i="3"/>
  <c r="O620" i="3"/>
  <c r="O556" i="3"/>
  <c r="O492" i="3"/>
  <c r="O428" i="3"/>
  <c r="O364" i="3"/>
  <c r="O300" i="3"/>
  <c r="O236" i="3"/>
  <c r="O172" i="3"/>
  <c r="O108" i="3"/>
  <c r="O44" i="3"/>
  <c r="O659" i="3"/>
  <c r="O595" i="3"/>
  <c r="O531" i="3"/>
  <c r="O467" i="3"/>
  <c r="O403" i="3"/>
  <c r="O339" i="3"/>
  <c r="O275" i="3"/>
  <c r="O211" i="3"/>
  <c r="O147" i="3"/>
  <c r="O83" i="3"/>
  <c r="O578" i="3"/>
  <c r="O514" i="3"/>
  <c r="O450" i="3"/>
  <c r="O386" i="3"/>
  <c r="O322" i="3"/>
  <c r="O258" i="3"/>
  <c r="O194" i="3"/>
  <c r="O130" i="3"/>
  <c r="O66" i="3"/>
  <c r="O681" i="3"/>
  <c r="O617" i="3"/>
  <c r="O553" i="3"/>
  <c r="O489" i="3"/>
  <c r="O425" i="3"/>
  <c r="O361" i="3"/>
  <c r="O297" i="3"/>
  <c r="O233" i="3"/>
  <c r="O169" i="3"/>
  <c r="O105" i="3"/>
  <c r="O41" i="3"/>
  <c r="O528" i="3"/>
  <c r="O464" i="3"/>
  <c r="O400" i="3"/>
  <c r="O336" i="3"/>
  <c r="O272" i="3"/>
  <c r="O208" i="3"/>
  <c r="O144" i="3"/>
  <c r="O80" i="3"/>
  <c r="O695" i="3"/>
  <c r="O631" i="3"/>
  <c r="O567" i="3"/>
  <c r="O503" i="3"/>
  <c r="O439" i="3"/>
  <c r="O375" i="3"/>
  <c r="O311" i="3"/>
  <c r="O247" i="3"/>
  <c r="O183" i="3"/>
  <c r="O119" i="3"/>
  <c r="D640" i="3"/>
  <c r="D667" i="3"/>
  <c r="D686" i="3"/>
  <c r="D414" i="3"/>
  <c r="D248" i="3"/>
  <c r="D260" i="3"/>
  <c r="D656" i="3"/>
  <c r="D611" i="3"/>
  <c r="D558" i="3"/>
  <c r="D774" i="3"/>
  <c r="D314" i="3"/>
  <c r="D364" i="3"/>
  <c r="D285" i="3"/>
  <c r="D664" i="3"/>
  <c r="D619" i="3"/>
  <c r="D566" i="3"/>
  <c r="D782" i="3"/>
  <c r="D390" i="3"/>
  <c r="D431" i="3"/>
  <c r="D332" i="3"/>
  <c r="D441" i="3"/>
  <c r="D609" i="3"/>
  <c r="D560" i="3"/>
  <c r="D632" i="3"/>
  <c r="D704" i="3"/>
  <c r="D511" i="3"/>
  <c r="D587" i="3"/>
  <c r="D659" i="3"/>
  <c r="D731" i="3"/>
  <c r="D534" i="3"/>
  <c r="D606" i="3"/>
  <c r="D678" i="3"/>
  <c r="D750" i="3"/>
  <c r="D494" i="3"/>
  <c r="D422" i="3"/>
  <c r="D346" i="3"/>
  <c r="D90" i="3"/>
  <c r="D296" i="3"/>
  <c r="D436" i="3"/>
  <c r="D110" i="3"/>
  <c r="D307" i="3"/>
  <c r="D227" i="3"/>
  <c r="D357" i="3"/>
  <c r="D117" i="3"/>
  <c r="D712" i="3"/>
  <c r="D614" i="3"/>
  <c r="D69" i="3"/>
  <c r="D116" i="3"/>
  <c r="D523" i="3"/>
  <c r="D542" i="3"/>
  <c r="D486" i="3"/>
  <c r="D42" i="3"/>
  <c r="D62" i="3"/>
  <c r="D203" i="3"/>
  <c r="D584" i="3"/>
  <c r="D539" i="3"/>
  <c r="D755" i="3"/>
  <c r="D702" i="3"/>
  <c r="D398" i="3"/>
  <c r="D152" i="3"/>
  <c r="D164" i="3"/>
  <c r="D155" i="3"/>
  <c r="D520" i="3"/>
  <c r="D736" i="3"/>
  <c r="D691" i="3"/>
  <c r="D638" i="3"/>
  <c r="D462" i="3"/>
  <c r="D104" i="3"/>
  <c r="D131" i="3"/>
  <c r="D536" i="3"/>
  <c r="D608" i="3"/>
  <c r="D680" i="3"/>
  <c r="D752" i="3"/>
  <c r="D563" i="3"/>
  <c r="D635" i="3"/>
  <c r="D707" i="3"/>
  <c r="D497" i="3"/>
  <c r="D582" i="3"/>
  <c r="D654" i="3"/>
  <c r="D726" i="3"/>
  <c r="D518" i="3"/>
  <c r="D446" i="3"/>
  <c r="D374" i="3"/>
  <c r="D234" i="3"/>
  <c r="D383" i="3"/>
  <c r="D508" i="3"/>
  <c r="D254" i="3"/>
  <c r="D393" i="3"/>
  <c r="D26" i="3"/>
  <c r="D83" i="3"/>
  <c r="D213" i="3"/>
  <c r="D705" i="3"/>
  <c r="D568" i="3"/>
  <c r="D595" i="3"/>
  <c r="D739" i="3"/>
  <c r="D758" i="3"/>
  <c r="D340" i="3"/>
  <c r="D412" i="3"/>
  <c r="D333" i="3"/>
  <c r="D509" i="3"/>
  <c r="D728" i="3"/>
  <c r="D683" i="3"/>
  <c r="D630" i="3"/>
  <c r="D470" i="3"/>
  <c r="D455" i="3"/>
  <c r="D465" i="3"/>
  <c r="D561" i="3"/>
  <c r="D592" i="3"/>
  <c r="D547" i="3"/>
  <c r="D763" i="3"/>
  <c r="D710" i="3"/>
  <c r="D308" i="3"/>
  <c r="D261" i="3"/>
  <c r="D544" i="3"/>
  <c r="D616" i="3"/>
  <c r="D688" i="3"/>
  <c r="D776" i="3"/>
  <c r="D571" i="3"/>
  <c r="D643" i="3"/>
  <c r="D715" i="3"/>
  <c r="D513" i="3"/>
  <c r="D590" i="3"/>
  <c r="D662" i="3"/>
  <c r="D734" i="3"/>
  <c r="D510" i="3"/>
  <c r="D438" i="3"/>
  <c r="D366" i="3"/>
  <c r="D186" i="3"/>
  <c r="D360" i="3"/>
  <c r="D484" i="3"/>
  <c r="D206" i="3"/>
  <c r="D369" i="3"/>
  <c r="D275" i="3"/>
  <c r="D59" i="3"/>
  <c r="D189" i="3"/>
  <c r="D753" i="3"/>
  <c r="D501" i="3"/>
  <c r="D532" i="3"/>
  <c r="D556" i="3"/>
  <c r="D580" i="3"/>
  <c r="D604" i="3"/>
  <c r="D628" i="3"/>
  <c r="D652" i="3"/>
  <c r="D676" i="3"/>
  <c r="D700" i="3"/>
  <c r="D724" i="3"/>
  <c r="D748" i="3"/>
  <c r="D503" i="3"/>
  <c r="D535" i="3"/>
  <c r="D559" i="3"/>
  <c r="D583" i="3"/>
  <c r="D607" i="3"/>
  <c r="D631" i="3"/>
  <c r="D655" i="3"/>
  <c r="D679" i="3"/>
  <c r="D703" i="3"/>
  <c r="D727" i="3"/>
  <c r="D751" i="3"/>
  <c r="D775" i="3"/>
  <c r="D530" i="3"/>
  <c r="D554" i="3"/>
  <c r="D578" i="3"/>
  <c r="D602" i="3"/>
  <c r="D626" i="3"/>
  <c r="D650" i="3"/>
  <c r="D674" i="3"/>
  <c r="D698" i="3"/>
  <c r="D722" i="3"/>
  <c r="D746" i="3"/>
  <c r="D770" i="3"/>
  <c r="D784" i="3"/>
  <c r="D498" i="3"/>
  <c r="D474" i="3"/>
  <c r="D450" i="3"/>
  <c r="D426" i="3"/>
  <c r="D402" i="3"/>
  <c r="D378" i="3"/>
  <c r="D356" i="3"/>
  <c r="D324" i="3"/>
  <c r="D258" i="3"/>
  <c r="D114" i="3"/>
  <c r="D467" i="3"/>
  <c r="D395" i="3"/>
  <c r="D312" i="3"/>
  <c r="D176" i="3"/>
  <c r="D32" i="3"/>
  <c r="D448" i="3"/>
  <c r="D376" i="3"/>
  <c r="D278" i="3"/>
  <c r="D134" i="3"/>
  <c r="D477" i="3"/>
  <c r="D405" i="3"/>
  <c r="D323" i="3"/>
  <c r="D188" i="3"/>
  <c r="D44" i="3"/>
  <c r="D239" i="3"/>
  <c r="D167" i="3"/>
  <c r="D95" i="3"/>
  <c r="D23" i="3"/>
  <c r="D297" i="3"/>
  <c r="D225" i="3"/>
  <c r="D141" i="3"/>
  <c r="D537" i="3"/>
  <c r="D681" i="3"/>
  <c r="D517" i="3"/>
  <c r="D540" i="3"/>
  <c r="D564" i="3"/>
  <c r="D588" i="3"/>
  <c r="D612" i="3"/>
  <c r="D636" i="3"/>
  <c r="D660" i="3"/>
  <c r="D684" i="3"/>
  <c r="D708" i="3"/>
  <c r="D732" i="3"/>
  <c r="D772" i="3"/>
  <c r="D519" i="3"/>
  <c r="D543" i="3"/>
  <c r="D567" i="3"/>
  <c r="D591" i="3"/>
  <c r="D615" i="3"/>
  <c r="D639" i="3"/>
  <c r="D663" i="3"/>
  <c r="D687" i="3"/>
  <c r="D711" i="3"/>
  <c r="D735" i="3"/>
  <c r="D759" i="3"/>
  <c r="D505" i="3"/>
  <c r="D538" i="3"/>
  <c r="D562" i="3"/>
  <c r="D586" i="3"/>
  <c r="D610" i="3"/>
  <c r="D634" i="3"/>
  <c r="D658" i="3"/>
  <c r="D682" i="3"/>
  <c r="D706" i="3"/>
  <c r="D730" i="3"/>
  <c r="D754" i="3"/>
  <c r="D778" i="3"/>
  <c r="D514" i="3"/>
  <c r="D490" i="3"/>
  <c r="D466" i="3"/>
  <c r="D442" i="3"/>
  <c r="D418" i="3"/>
  <c r="D394" i="3"/>
  <c r="D370" i="3"/>
  <c r="D343" i="3"/>
  <c r="D311" i="3"/>
  <c r="D210" i="3"/>
  <c r="D66" i="3"/>
  <c r="D443" i="3"/>
  <c r="D371" i="3"/>
  <c r="D272" i="3"/>
  <c r="D128" i="3"/>
  <c r="D496" i="3"/>
  <c r="D424" i="3"/>
  <c r="D348" i="3"/>
  <c r="D230" i="3"/>
  <c r="D86" i="3"/>
  <c r="D453" i="3"/>
  <c r="D381" i="3"/>
  <c r="D284" i="3"/>
  <c r="D140" i="3"/>
  <c r="D287" i="3"/>
  <c r="D215" i="3"/>
  <c r="D143" i="3"/>
  <c r="D71" i="3"/>
  <c r="D345" i="3"/>
  <c r="D273" i="3"/>
  <c r="D201" i="3"/>
  <c r="D93" i="3"/>
  <c r="D585" i="3"/>
  <c r="D729" i="3"/>
  <c r="D524" i="3"/>
  <c r="D548" i="3"/>
  <c r="D572" i="3"/>
  <c r="D596" i="3"/>
  <c r="D620" i="3"/>
  <c r="D644" i="3"/>
  <c r="D668" i="3"/>
  <c r="D692" i="3"/>
  <c r="D716" i="3"/>
  <c r="D740" i="3"/>
  <c r="D788" i="3"/>
  <c r="D527" i="3"/>
  <c r="D551" i="3"/>
  <c r="D575" i="3"/>
  <c r="D599" i="3"/>
  <c r="D623" i="3"/>
  <c r="D647" i="3"/>
  <c r="D671" i="3"/>
  <c r="D695" i="3"/>
  <c r="D719" i="3"/>
  <c r="D743" i="3"/>
  <c r="D767" i="3"/>
  <c r="D522" i="3"/>
  <c r="D546" i="3"/>
  <c r="D570" i="3"/>
  <c r="D594" i="3"/>
  <c r="D618" i="3"/>
  <c r="D642" i="3"/>
  <c r="D666" i="3"/>
  <c r="D690" i="3"/>
  <c r="D714" i="3"/>
  <c r="D738" i="3"/>
  <c r="D762" i="3"/>
  <c r="D786" i="3"/>
  <c r="D506" i="3"/>
  <c r="D482" i="3"/>
  <c r="D458" i="3"/>
  <c r="D434" i="3"/>
  <c r="D410" i="3"/>
  <c r="D386" i="3"/>
  <c r="D362" i="3"/>
  <c r="D330" i="3"/>
  <c r="D298" i="3"/>
  <c r="D162" i="3"/>
  <c r="D491" i="3"/>
  <c r="D419" i="3"/>
  <c r="D344" i="3"/>
  <c r="D224" i="3"/>
  <c r="D80" i="3"/>
  <c r="D472" i="3"/>
  <c r="D400" i="3"/>
  <c r="D316" i="3"/>
  <c r="D182" i="3"/>
  <c r="D38" i="3"/>
  <c r="D429" i="3"/>
  <c r="D355" i="3"/>
  <c r="D236" i="3"/>
  <c r="D92" i="3"/>
  <c r="D263" i="3"/>
  <c r="D191" i="3"/>
  <c r="D119" i="3"/>
  <c r="D47" i="3"/>
  <c r="D321" i="3"/>
  <c r="D249" i="3"/>
  <c r="D177" i="3"/>
  <c r="D45" i="3"/>
  <c r="D633" i="3"/>
  <c r="D499" i="3"/>
  <c r="D756" i="3"/>
  <c r="D769" i="3"/>
  <c r="D745" i="3"/>
  <c r="D721" i="3"/>
  <c r="D697" i="3"/>
  <c r="D673" i="3"/>
  <c r="D649" i="3"/>
  <c r="D625" i="3"/>
  <c r="D601" i="3"/>
  <c r="D577" i="3"/>
  <c r="D553" i="3"/>
  <c r="D529" i="3"/>
  <c r="D29" i="3"/>
  <c r="D53" i="3"/>
  <c r="D77" i="3"/>
  <c r="D101" i="3"/>
  <c r="D125" i="3"/>
  <c r="D149" i="3"/>
  <c r="D173" i="3"/>
  <c r="D197" i="3"/>
  <c r="D221" i="3"/>
  <c r="D245" i="3"/>
  <c r="D269" i="3"/>
  <c r="D293" i="3"/>
  <c r="D317" i="3"/>
  <c r="D341" i="3"/>
  <c r="D24" i="3"/>
  <c r="D43" i="3"/>
  <c r="D67" i="3"/>
  <c r="D91" i="3"/>
  <c r="D115" i="3"/>
  <c r="D139" i="3"/>
  <c r="D163" i="3"/>
  <c r="D187" i="3"/>
  <c r="D211" i="3"/>
  <c r="D235" i="3"/>
  <c r="D259" i="3"/>
  <c r="D283" i="3"/>
  <c r="D36" i="3"/>
  <c r="D84" i="3"/>
  <c r="D132" i="3"/>
  <c r="D180" i="3"/>
  <c r="D228" i="3"/>
  <c r="D276" i="3"/>
  <c r="D320" i="3"/>
  <c r="D352" i="3"/>
  <c r="D377" i="3"/>
  <c r="D401" i="3"/>
  <c r="D425" i="3"/>
  <c r="D449" i="3"/>
  <c r="D473" i="3"/>
  <c r="D30" i="3"/>
  <c r="D78" i="3"/>
  <c r="D126" i="3"/>
  <c r="D174" i="3"/>
  <c r="D222" i="3"/>
  <c r="D270" i="3"/>
  <c r="D306" i="3"/>
  <c r="D338" i="3"/>
  <c r="D372" i="3"/>
  <c r="D396" i="3"/>
  <c r="D420" i="3"/>
  <c r="D444" i="3"/>
  <c r="D468" i="3"/>
  <c r="D492" i="3"/>
  <c r="D516" i="3"/>
  <c r="D72" i="3"/>
  <c r="D120" i="3"/>
  <c r="D168" i="3"/>
  <c r="D216" i="3"/>
  <c r="D264" i="3"/>
  <c r="D302" i="3"/>
  <c r="D334" i="3"/>
  <c r="D367" i="3"/>
  <c r="D391" i="3"/>
  <c r="D415" i="3"/>
  <c r="D439" i="3"/>
  <c r="D463" i="3"/>
  <c r="D487" i="3"/>
  <c r="D58" i="3"/>
  <c r="D106" i="3"/>
  <c r="D154" i="3"/>
  <c r="D202" i="3"/>
  <c r="D250" i="3"/>
  <c r="D779" i="3"/>
  <c r="D789" i="3"/>
  <c r="D765" i="3"/>
  <c r="D741" i="3"/>
  <c r="D717" i="3"/>
  <c r="D693" i="3"/>
  <c r="D669" i="3"/>
  <c r="D645" i="3"/>
  <c r="D621" i="3"/>
  <c r="D597" i="3"/>
  <c r="D573" i="3"/>
  <c r="D549" i="3"/>
  <c r="D525" i="3"/>
  <c r="D33" i="3"/>
  <c r="D57" i="3"/>
  <c r="D81" i="3"/>
  <c r="D105" i="3"/>
  <c r="D129" i="3"/>
  <c r="D153" i="3"/>
  <c r="D783" i="3"/>
  <c r="D785" i="3"/>
  <c r="D761" i="3"/>
  <c r="D737" i="3"/>
  <c r="D713" i="3"/>
  <c r="D689" i="3"/>
  <c r="D665" i="3"/>
  <c r="D641" i="3"/>
  <c r="D617" i="3"/>
  <c r="D593" i="3"/>
  <c r="D569" i="3"/>
  <c r="D545" i="3"/>
  <c r="D521" i="3"/>
  <c r="D37" i="3"/>
  <c r="D61" i="3"/>
  <c r="D85" i="3"/>
  <c r="D109" i="3"/>
  <c r="D133" i="3"/>
  <c r="D157" i="3"/>
  <c r="D181" i="3"/>
  <c r="D205" i="3"/>
  <c r="D229" i="3"/>
  <c r="D253" i="3"/>
  <c r="D277" i="3"/>
  <c r="D301" i="3"/>
  <c r="D325" i="3"/>
  <c r="D349" i="3"/>
  <c r="D27" i="3"/>
  <c r="D51" i="3"/>
  <c r="D75" i="3"/>
  <c r="D99" i="3"/>
  <c r="D123" i="3"/>
  <c r="D147" i="3"/>
  <c r="D171" i="3"/>
  <c r="D195" i="3"/>
  <c r="D219" i="3"/>
  <c r="D243" i="3"/>
  <c r="D267" i="3"/>
  <c r="D291" i="3"/>
  <c r="D52" i="3"/>
  <c r="D100" i="3"/>
  <c r="D148" i="3"/>
  <c r="D196" i="3"/>
  <c r="D244" i="3"/>
  <c r="D292" i="3"/>
  <c r="D326" i="3"/>
  <c r="D358" i="3"/>
  <c r="D385" i="3"/>
  <c r="D409" i="3"/>
  <c r="D433" i="3"/>
  <c r="D457" i="3"/>
  <c r="D481" i="3"/>
  <c r="D46" i="3"/>
  <c r="D94" i="3"/>
  <c r="D142" i="3"/>
  <c r="D190" i="3"/>
  <c r="D238" i="3"/>
  <c r="D286" i="3"/>
  <c r="D319" i="3"/>
  <c r="D351" i="3"/>
  <c r="D380" i="3"/>
  <c r="D404" i="3"/>
  <c r="D428" i="3"/>
  <c r="D452" i="3"/>
  <c r="D476" i="3"/>
  <c r="D500" i="3"/>
  <c r="D40" i="3"/>
  <c r="D88" i="3"/>
  <c r="D136" i="3"/>
  <c r="D184" i="3"/>
  <c r="D232" i="3"/>
  <c r="D280" i="3"/>
  <c r="D315" i="3"/>
  <c r="D347" i="3"/>
  <c r="D375" i="3"/>
  <c r="D399" i="3"/>
  <c r="D423" i="3"/>
  <c r="D447" i="3"/>
  <c r="D471" i="3"/>
  <c r="D495" i="3"/>
  <c r="D74" i="3"/>
  <c r="D122" i="3"/>
  <c r="D170" i="3"/>
  <c r="D218" i="3"/>
  <c r="D266" i="3"/>
  <c r="D780" i="3"/>
  <c r="D781" i="3"/>
  <c r="D757" i="3"/>
  <c r="D733" i="3"/>
  <c r="D709" i="3"/>
  <c r="D685" i="3"/>
  <c r="D661" i="3"/>
  <c r="D637" i="3"/>
  <c r="D613" i="3"/>
  <c r="D589" i="3"/>
  <c r="D565" i="3"/>
  <c r="D541" i="3"/>
  <c r="D515" i="3"/>
  <c r="D41" i="3"/>
  <c r="D65" i="3"/>
  <c r="D89" i="3"/>
  <c r="D113" i="3"/>
  <c r="D137" i="3"/>
  <c r="D161" i="3"/>
  <c r="D185" i="3"/>
  <c r="D209" i="3"/>
  <c r="D233" i="3"/>
  <c r="D257" i="3"/>
  <c r="D281" i="3"/>
  <c r="D305" i="3"/>
  <c r="D329" i="3"/>
  <c r="D353" i="3"/>
  <c r="D31" i="3"/>
  <c r="D55" i="3"/>
  <c r="D79" i="3"/>
  <c r="D103" i="3"/>
  <c r="D127" i="3"/>
  <c r="D151" i="3"/>
  <c r="D175" i="3"/>
  <c r="D199" i="3"/>
  <c r="D223" i="3"/>
  <c r="D247" i="3"/>
  <c r="D271" i="3"/>
  <c r="D295" i="3"/>
  <c r="D60" i="3"/>
  <c r="D108" i="3"/>
  <c r="D156" i="3"/>
  <c r="D204" i="3"/>
  <c r="D252" i="3"/>
  <c r="D304" i="3"/>
  <c r="D336" i="3"/>
  <c r="D365" i="3"/>
  <c r="D389" i="3"/>
  <c r="D413" i="3"/>
  <c r="D437" i="3"/>
  <c r="D461" i="3"/>
  <c r="D485" i="3"/>
  <c r="D54" i="3"/>
  <c r="D102" i="3"/>
  <c r="D150" i="3"/>
  <c r="D198" i="3"/>
  <c r="D246" i="3"/>
  <c r="D294" i="3"/>
  <c r="D322" i="3"/>
  <c r="D354" i="3"/>
  <c r="D384" i="3"/>
  <c r="D408" i="3"/>
  <c r="D432" i="3"/>
  <c r="D456" i="3"/>
  <c r="D480" i="3"/>
  <c r="D504" i="3"/>
  <c r="D48" i="3"/>
  <c r="D96" i="3"/>
  <c r="D144" i="3"/>
  <c r="D192" i="3"/>
  <c r="D240" i="3"/>
  <c r="D288" i="3"/>
  <c r="D318" i="3"/>
  <c r="D350" i="3"/>
  <c r="D379" i="3"/>
  <c r="D403" i="3"/>
  <c r="D427" i="3"/>
  <c r="D451" i="3"/>
  <c r="D475" i="3"/>
  <c r="D34" i="3"/>
  <c r="D82" i="3"/>
  <c r="D130" i="3"/>
  <c r="D178" i="3"/>
  <c r="D226" i="3"/>
  <c r="D274" i="3"/>
  <c r="D760" i="3"/>
  <c r="D773" i="3"/>
  <c r="D749" i="3"/>
  <c r="D725" i="3"/>
  <c r="D701" i="3"/>
  <c r="D677" i="3"/>
  <c r="D653" i="3"/>
  <c r="D629" i="3"/>
  <c r="D605" i="3"/>
  <c r="D581" i="3"/>
  <c r="D557" i="3"/>
  <c r="D533" i="3"/>
  <c r="D25" i="3"/>
  <c r="D49" i="3"/>
  <c r="D73" i="3"/>
  <c r="D97" i="3"/>
  <c r="D121" i="3"/>
  <c r="D145" i="3"/>
  <c r="D169" i="3"/>
  <c r="D193" i="3"/>
  <c r="D217" i="3"/>
  <c r="D241" i="3"/>
  <c r="D265" i="3"/>
  <c r="D289" i="3"/>
  <c r="D313" i="3"/>
  <c r="D337" i="3"/>
  <c r="D361" i="3"/>
  <c r="D39" i="3"/>
  <c r="D63" i="3"/>
  <c r="D87" i="3"/>
  <c r="D111" i="3"/>
  <c r="D135" i="3"/>
  <c r="D159" i="3"/>
  <c r="D183" i="3"/>
  <c r="D207" i="3"/>
  <c r="D231" i="3"/>
  <c r="D255" i="3"/>
  <c r="D279" i="3"/>
  <c r="D28" i="3"/>
  <c r="D76" i="3"/>
  <c r="D124" i="3"/>
  <c r="D172" i="3"/>
  <c r="D220" i="3"/>
  <c r="D268" i="3"/>
  <c r="D310" i="3"/>
  <c r="D342" i="3"/>
  <c r="D373" i="3"/>
  <c r="D397" i="3"/>
  <c r="D421" i="3"/>
  <c r="D445" i="3"/>
  <c r="D469" i="3"/>
  <c r="D493" i="3"/>
  <c r="D70" i="3"/>
  <c r="D118" i="3"/>
  <c r="D166" i="3"/>
  <c r="D214" i="3"/>
  <c r="D262" i="3"/>
  <c r="D303" i="3"/>
  <c r="D335" i="3"/>
  <c r="D368" i="3"/>
  <c r="D392" i="3"/>
  <c r="D416" i="3"/>
  <c r="D440" i="3"/>
  <c r="D464" i="3"/>
  <c r="D488" i="3"/>
  <c r="D512" i="3"/>
  <c r="D64" i="3"/>
  <c r="D112" i="3"/>
  <c r="D160" i="3"/>
  <c r="D208" i="3"/>
  <c r="D256" i="3"/>
  <c r="D299" i="3"/>
  <c r="D331" i="3"/>
  <c r="D363" i="3"/>
  <c r="D387" i="3"/>
  <c r="D411" i="3"/>
  <c r="D435" i="3"/>
  <c r="D459" i="3"/>
  <c r="D483" i="3"/>
  <c r="D50" i="3"/>
  <c r="D98" i="3"/>
  <c r="D146" i="3"/>
  <c r="D194" i="3"/>
  <c r="D242" i="3"/>
  <c r="D290" i="3"/>
  <c r="D528" i="3"/>
  <c r="D552" i="3"/>
  <c r="D576" i="3"/>
  <c r="D600" i="3"/>
  <c r="D624" i="3"/>
  <c r="D648" i="3"/>
  <c r="D672" i="3"/>
  <c r="D696" i="3"/>
  <c r="D720" i="3"/>
  <c r="D744" i="3"/>
  <c r="D787" i="3"/>
  <c r="D531" i="3"/>
  <c r="D555" i="3"/>
  <c r="D579" i="3"/>
  <c r="D603" i="3"/>
  <c r="D627" i="3"/>
  <c r="D651" i="3"/>
  <c r="D675" i="3"/>
  <c r="D699" i="3"/>
  <c r="D723" i="3"/>
  <c r="D747" i="3"/>
  <c r="D771" i="3"/>
  <c r="D526" i="3"/>
  <c r="D550" i="3"/>
  <c r="D574" i="3"/>
  <c r="D598" i="3"/>
  <c r="D622" i="3"/>
  <c r="D646" i="3"/>
  <c r="D670" i="3"/>
  <c r="D694" i="3"/>
  <c r="D718" i="3"/>
  <c r="D742" i="3"/>
  <c r="D766" i="3"/>
  <c r="D768" i="3"/>
  <c r="D502" i="3"/>
  <c r="D478" i="3"/>
  <c r="D454" i="3"/>
  <c r="D430" i="3"/>
  <c r="D406" i="3"/>
  <c r="D382" i="3"/>
  <c r="D359" i="3"/>
  <c r="D327" i="3"/>
  <c r="D282" i="3"/>
  <c r="D138" i="3"/>
  <c r="D479" i="3"/>
  <c r="D407" i="3"/>
  <c r="D328" i="3"/>
  <c r="D200" i="3"/>
  <c r="D56" i="3"/>
  <c r="D460" i="3"/>
  <c r="D388" i="3"/>
  <c r="D300" i="3"/>
  <c r="D158" i="3"/>
  <c r="D489" i="3"/>
  <c r="D417" i="3"/>
  <c r="D339" i="3"/>
  <c r="D212" i="3"/>
  <c r="D68" i="3"/>
  <c r="D251" i="3"/>
  <c r="D179" i="3"/>
  <c r="D107" i="3"/>
  <c r="D35" i="3"/>
  <c r="D309" i="3"/>
  <c r="D237" i="3"/>
  <c r="D165" i="3"/>
  <c r="D507" i="3"/>
  <c r="D657" i="3"/>
  <c r="D764" i="3"/>
  <c r="F41" i="2"/>
  <c r="C86" i="2"/>
  <c r="D86" i="2" s="1"/>
  <c r="E86" i="2" s="1"/>
  <c r="C31" i="2"/>
  <c r="D31" i="2" s="1"/>
  <c r="E31" i="2" s="1"/>
  <c r="C104" i="2"/>
  <c r="D104" i="2" s="1"/>
  <c r="E104" i="2" s="1"/>
  <c r="C46" i="2"/>
  <c r="D46" i="2" s="1"/>
  <c r="E46" i="2" s="1"/>
  <c r="B63" i="2"/>
  <c r="F61" i="2"/>
  <c r="F130" i="2"/>
  <c r="B136" i="2"/>
  <c r="C45" i="2"/>
  <c r="D45" i="2" s="1"/>
  <c r="E45" i="2" s="1"/>
  <c r="B118" i="2"/>
  <c r="B111" i="2"/>
  <c r="F147" i="2"/>
  <c r="C111" i="2"/>
  <c r="D111" i="2" s="1"/>
  <c r="E111" i="2" s="1"/>
  <c r="F86" i="2"/>
  <c r="F156" i="2"/>
  <c r="C47" i="2"/>
  <c r="D47" i="2" s="1"/>
  <c r="E47" i="2" s="1"/>
  <c r="B157" i="2"/>
  <c r="C70" i="2"/>
  <c r="D70" i="2" s="1"/>
  <c r="E70" i="2" s="1"/>
  <c r="B29" i="2"/>
  <c r="F54" i="2"/>
  <c r="B96" i="2"/>
  <c r="F78" i="2"/>
  <c r="B97" i="2"/>
  <c r="E10" i="3"/>
  <c r="B99" i="2"/>
  <c r="C106" i="2"/>
  <c r="D106" i="2" s="1"/>
  <c r="E106" i="2" s="1"/>
  <c r="B129" i="2"/>
  <c r="B71" i="2"/>
  <c r="B115" i="2"/>
  <c r="B70" i="2"/>
  <c r="B80" i="2"/>
  <c r="F121" i="2"/>
  <c r="F110" i="2"/>
  <c r="C116" i="2"/>
  <c r="D116" i="2" s="1"/>
  <c r="E116" i="2" s="1"/>
  <c r="C62" i="2"/>
  <c r="D62" i="2" s="1"/>
  <c r="E62" i="2" s="1"/>
  <c r="B116" i="2"/>
  <c r="F111" i="2"/>
  <c r="F37" i="2"/>
  <c r="F151" i="2"/>
  <c r="F143" i="2"/>
  <c r="C152" i="2"/>
  <c r="D152" i="2" s="1"/>
  <c r="E152" i="2" s="1"/>
  <c r="C78" i="2"/>
  <c r="D78" i="2" s="1"/>
  <c r="E78" i="2" s="1"/>
  <c r="B86" i="2"/>
  <c r="F87" i="2"/>
  <c r="C132" i="2"/>
  <c r="D132" i="2" s="1"/>
  <c r="E132" i="2" s="1"/>
  <c r="B113" i="2"/>
  <c r="B131" i="2"/>
  <c r="C118" i="2"/>
  <c r="D118" i="2" s="1"/>
  <c r="E118" i="2" s="1"/>
  <c r="F159" i="2"/>
  <c r="C146" i="2"/>
  <c r="D146" i="2" s="1"/>
  <c r="E146" i="2" s="1"/>
  <c r="F132" i="2"/>
  <c r="C92" i="2"/>
  <c r="D92" i="2" s="1"/>
  <c r="E92" i="2" s="1"/>
  <c r="C82" i="2"/>
  <c r="D82" i="2" s="1"/>
  <c r="E82" i="2" s="1"/>
  <c r="C119" i="2"/>
  <c r="D119" i="2" s="1"/>
  <c r="E119" i="2" s="1"/>
  <c r="F137" i="2"/>
  <c r="C77" i="2"/>
  <c r="D77" i="2" s="1"/>
  <c r="E77" i="2" s="1"/>
  <c r="B145" i="2"/>
  <c r="F42" i="2"/>
  <c r="F122" i="2"/>
  <c r="C41" i="2"/>
  <c r="D41" i="2" s="1"/>
  <c r="E41" i="2" s="1"/>
  <c r="C159" i="2"/>
  <c r="D159" i="2" s="1"/>
  <c r="E159" i="2" s="1"/>
  <c r="B34" i="2"/>
  <c r="B148" i="2"/>
  <c r="B158" i="2"/>
  <c r="B128" i="2"/>
  <c r="F116" i="2"/>
  <c r="C99" i="2"/>
  <c r="D99" i="2" s="1"/>
  <c r="E99" i="2" s="1"/>
  <c r="F124" i="2"/>
  <c r="F79" i="2"/>
  <c r="F140" i="2"/>
  <c r="B98" i="2"/>
  <c r="B78" i="2"/>
  <c r="B93" i="2"/>
  <c r="B151" i="2"/>
  <c r="B135" i="2"/>
  <c r="C91" i="2"/>
  <c r="D91" i="2" s="1"/>
  <c r="E91" i="2" s="1"/>
  <c r="F123" i="2"/>
  <c r="C63" i="2"/>
  <c r="D63" i="2" s="1"/>
  <c r="E63" i="2" s="1"/>
  <c r="C109" i="2"/>
  <c r="D109" i="2" s="1"/>
  <c r="E109" i="2" s="1"/>
  <c r="B58" i="2"/>
  <c r="B65" i="2"/>
  <c r="B114" i="2"/>
  <c r="B144" i="2"/>
  <c r="B125" i="2"/>
  <c r="C42" i="2"/>
  <c r="D42" i="2" s="1"/>
  <c r="E42" i="2" s="1"/>
  <c r="F101" i="2"/>
  <c r="F57" i="2"/>
  <c r="F36" i="2"/>
  <c r="F118" i="2"/>
  <c r="B153" i="2"/>
  <c r="F52" i="2"/>
  <c r="C158" i="2"/>
  <c r="D158" i="2" s="1"/>
  <c r="E158" i="2" s="1"/>
  <c r="F88" i="2"/>
  <c r="B132" i="2"/>
  <c r="B84" i="2"/>
  <c r="B51" i="2"/>
  <c r="C142" i="2"/>
  <c r="D142" i="2" s="1"/>
  <c r="E142" i="2" s="1"/>
  <c r="C123" i="2"/>
  <c r="D123" i="2" s="1"/>
  <c r="E123" i="2" s="1"/>
  <c r="F96" i="2"/>
  <c r="C38" i="2"/>
  <c r="D38" i="2" s="1"/>
  <c r="E38" i="2" s="1"/>
  <c r="B90" i="2"/>
  <c r="C65" i="2"/>
  <c r="D65" i="2" s="1"/>
  <c r="E65" i="2" s="1"/>
  <c r="B46" i="2"/>
  <c r="C74" i="2"/>
  <c r="D74" i="2" s="1"/>
  <c r="E74" i="2" s="1"/>
  <c r="F53" i="2"/>
  <c r="B59" i="2"/>
  <c r="F56" i="2"/>
  <c r="C113" i="2"/>
  <c r="D113" i="2" s="1"/>
  <c r="E113" i="2" s="1"/>
  <c r="B49" i="2"/>
  <c r="B74" i="2"/>
  <c r="C81" i="2"/>
  <c r="D81" i="2" s="1"/>
  <c r="E81" i="2" s="1"/>
  <c r="B41" i="2"/>
  <c r="B130" i="2"/>
  <c r="C32" i="2"/>
  <c r="D32" i="2" s="1"/>
  <c r="E32" i="2" s="1"/>
  <c r="F103" i="2"/>
  <c r="B150" i="2"/>
  <c r="F134" i="2"/>
  <c r="F99" i="2"/>
  <c r="B30" i="2"/>
  <c r="C105" i="2"/>
  <c r="D105" i="2" s="1"/>
  <c r="E105" i="2" s="1"/>
  <c r="K8" i="2"/>
  <c r="C40" i="2"/>
  <c r="D40" i="2" s="1"/>
  <c r="E40" i="2" s="1"/>
  <c r="B110" i="2"/>
  <c r="C36" i="2"/>
  <c r="D36" i="2" s="1"/>
  <c r="E36" i="2" s="1"/>
  <c r="K7" i="2"/>
  <c r="F115" i="2"/>
  <c r="F155" i="2"/>
  <c r="B31" i="2"/>
  <c r="C143" i="2"/>
  <c r="D143" i="2" s="1"/>
  <c r="E143" i="2" s="1"/>
  <c r="B60" i="2"/>
  <c r="F126" i="2"/>
  <c r="C147" i="2"/>
  <c r="D147" i="2" s="1"/>
  <c r="E147" i="2" s="1"/>
  <c r="B47" i="2"/>
  <c r="C84" i="2"/>
  <c r="D84" i="2" s="1"/>
  <c r="E84" i="2" s="1"/>
  <c r="C114" i="2"/>
  <c r="D114" i="2" s="1"/>
  <c r="E114" i="2" s="1"/>
  <c r="B106" i="2"/>
  <c r="F106" i="2"/>
  <c r="C87" i="2"/>
  <c r="D87" i="2" s="1"/>
  <c r="E87" i="2" s="1"/>
  <c r="C145" i="2"/>
  <c r="D145" i="2" s="1"/>
  <c r="E145" i="2" s="1"/>
  <c r="B100" i="2"/>
  <c r="C39" i="2"/>
  <c r="D39" i="2" s="1"/>
  <c r="E39" i="2" s="1"/>
  <c r="F90" i="2"/>
  <c r="C68" i="2"/>
  <c r="D68" i="2" s="1"/>
  <c r="E68" i="2" s="1"/>
  <c r="F33" i="2"/>
  <c r="F66" i="2"/>
  <c r="C98" i="2"/>
  <c r="D98" i="2" s="1"/>
  <c r="E98" i="2" s="1"/>
  <c r="F136" i="2"/>
  <c r="F31" i="2"/>
  <c r="C76" i="2"/>
  <c r="D76" i="2" s="1"/>
  <c r="E76" i="2" s="1"/>
  <c r="C55" i="2"/>
  <c r="D55" i="2" s="1"/>
  <c r="E55" i="2" s="1"/>
  <c r="B68" i="2"/>
  <c r="F127" i="2"/>
  <c r="B154" i="2"/>
  <c r="B134" i="2"/>
  <c r="C133" i="2"/>
  <c r="D133" i="2" s="1"/>
  <c r="E133" i="2" s="1"/>
  <c r="F107" i="2"/>
  <c r="C93" i="2"/>
  <c r="D93" i="2" s="1"/>
  <c r="E93" i="2" s="1"/>
  <c r="F108" i="2"/>
  <c r="B101" i="2"/>
  <c r="C79" i="2"/>
  <c r="D79" i="2" s="1"/>
  <c r="E79" i="2" s="1"/>
  <c r="B89" i="2"/>
  <c r="F44" i="2"/>
  <c r="B38" i="2"/>
  <c r="C56" i="2"/>
  <c r="D56" i="2" s="1"/>
  <c r="E56" i="2" s="1"/>
  <c r="C155" i="2"/>
  <c r="D155" i="2" s="1"/>
  <c r="E155" i="2" s="1"/>
  <c r="C75" i="2"/>
  <c r="D75" i="2" s="1"/>
  <c r="E75" i="2" s="1"/>
  <c r="B66" i="2"/>
  <c r="F158" i="2"/>
  <c r="F114" i="2"/>
  <c r="C49" i="2"/>
  <c r="D49" i="2" s="1"/>
  <c r="E49" i="2" s="1"/>
  <c r="B91" i="2"/>
  <c r="F94" i="2"/>
  <c r="F80" i="2"/>
  <c r="F49" i="2"/>
  <c r="B109" i="2"/>
  <c r="C124" i="2"/>
  <c r="D124" i="2" s="1"/>
  <c r="E124" i="2" s="1"/>
  <c r="C54" i="2"/>
  <c r="D54" i="2" s="1"/>
  <c r="E54" i="2" s="1"/>
  <c r="F117" i="2"/>
  <c r="B103" i="2"/>
  <c r="F40" i="2"/>
  <c r="B83" i="2"/>
  <c r="B62" i="2"/>
  <c r="B104" i="2"/>
  <c r="F144" i="2"/>
  <c r="C102" i="2"/>
  <c r="D102" i="2" s="1"/>
  <c r="E102" i="2" s="1"/>
  <c r="C130" i="2"/>
  <c r="D130" i="2" s="1"/>
  <c r="E130" i="2" s="1"/>
  <c r="B56" i="2"/>
  <c r="B64" i="2"/>
  <c r="K10" i="2"/>
  <c r="B57" i="2"/>
  <c r="F39" i="2"/>
  <c r="C35" i="2"/>
  <c r="D35" i="2" s="1"/>
  <c r="E35" i="2" s="1"/>
  <c r="B159" i="2"/>
  <c r="C101" i="2"/>
  <c r="D101" i="2" s="1"/>
  <c r="E101" i="2" s="1"/>
  <c r="B117" i="2"/>
  <c r="F48" i="2"/>
  <c r="F77" i="2"/>
  <c r="B121" i="2"/>
  <c r="B112" i="2"/>
  <c r="C59" i="2"/>
  <c r="D59" i="2" s="1"/>
  <c r="E59" i="2" s="1"/>
  <c r="F65" i="2"/>
  <c r="F73" i="2"/>
  <c r="C48" i="2"/>
  <c r="D48" i="2" s="1"/>
  <c r="E48" i="2" s="1"/>
  <c r="C151" i="2"/>
  <c r="D151" i="2" s="1"/>
  <c r="E151" i="2" s="1"/>
  <c r="C126" i="2"/>
  <c r="D126" i="2" s="1"/>
  <c r="E126" i="2" s="1"/>
  <c r="F154" i="2"/>
  <c r="F138" i="2"/>
  <c r="B37" i="2"/>
  <c r="C83" i="2"/>
  <c r="D83" i="2" s="1"/>
  <c r="E83" i="2" s="1"/>
  <c r="F139" i="2"/>
  <c r="F157" i="2"/>
  <c r="F29" i="2"/>
  <c r="F59" i="2"/>
  <c r="F91" i="2"/>
  <c r="C60" i="2"/>
  <c r="D60" i="2" s="1"/>
  <c r="E60" i="2" s="1"/>
  <c r="F119" i="2"/>
  <c r="F69" i="2"/>
  <c r="B94" i="2"/>
  <c r="B127" i="2"/>
  <c r="B36" i="2"/>
  <c r="C128" i="2"/>
  <c r="D128" i="2" s="1"/>
  <c r="E128" i="2" s="1"/>
  <c r="C34" i="2"/>
  <c r="D34" i="2" s="1"/>
  <c r="E34" i="2" s="1"/>
  <c r="F64" i="2"/>
  <c r="B43" i="2"/>
  <c r="F46" i="2"/>
  <c r="C138" i="2"/>
  <c r="D138" i="2" s="1"/>
  <c r="E138" i="2" s="1"/>
  <c r="C127" i="2"/>
  <c r="D127" i="2" s="1"/>
  <c r="E127" i="2" s="1"/>
  <c r="B139" i="2"/>
  <c r="C30" i="2"/>
  <c r="D30" i="2" s="1"/>
  <c r="E30" i="2" s="1"/>
  <c r="K9" i="2"/>
  <c r="F35" i="2"/>
  <c r="C120" i="2"/>
  <c r="D120" i="2" s="1"/>
  <c r="E120" i="2" s="1"/>
  <c r="F83" i="2"/>
  <c r="F85" i="2"/>
  <c r="C64" i="2"/>
  <c r="D64" i="2" s="1"/>
  <c r="E64" i="2" s="1"/>
  <c r="C43" i="2"/>
  <c r="D43" i="2" s="1"/>
  <c r="E43" i="2" s="1"/>
  <c r="B77" i="2"/>
  <c r="C37" i="2"/>
  <c r="D37" i="2" s="1"/>
  <c r="E37" i="2" s="1"/>
  <c r="C108" i="2"/>
  <c r="D108" i="2" s="1"/>
  <c r="E108" i="2" s="1"/>
  <c r="B35" i="2"/>
  <c r="C110" i="2"/>
  <c r="D110" i="2" s="1"/>
  <c r="E110" i="2" s="1"/>
  <c r="B55" i="2"/>
  <c r="F102" i="2"/>
  <c r="B119" i="2"/>
  <c r="B72" i="2"/>
  <c r="F55" i="2"/>
  <c r="C144" i="2"/>
  <c r="D144" i="2" s="1"/>
  <c r="E144" i="2" s="1"/>
  <c r="B79" i="2"/>
  <c r="B50" i="2"/>
  <c r="F135" i="2"/>
  <c r="B133" i="2"/>
  <c r="C61" i="2"/>
  <c r="D61" i="2" s="1"/>
  <c r="E61" i="2" s="1"/>
  <c r="B107" i="2"/>
  <c r="B123" i="2"/>
  <c r="F92" i="2"/>
  <c r="F98" i="2"/>
  <c r="B122" i="2"/>
  <c r="F150" i="2"/>
  <c r="C80" i="2"/>
  <c r="D80" i="2" s="1"/>
  <c r="E80" i="2" s="1"/>
  <c r="F45" i="2"/>
  <c r="F93" i="2"/>
  <c r="F89" i="2"/>
  <c r="C115" i="2"/>
  <c r="D115" i="2" s="1"/>
  <c r="E115" i="2" s="1"/>
  <c r="F141" i="2"/>
  <c r="B42" i="2"/>
  <c r="C129" i="2"/>
  <c r="D129" i="2" s="1"/>
  <c r="E129" i="2" s="1"/>
  <c r="F47" i="2"/>
  <c r="B152" i="2"/>
  <c r="B120" i="2"/>
  <c r="B108" i="2"/>
  <c r="F100" i="2"/>
  <c r="B33" i="2"/>
  <c r="F32" i="2"/>
  <c r="F125" i="2"/>
  <c r="B146" i="2"/>
  <c r="F133" i="2"/>
  <c r="F67" i="2"/>
  <c r="K5" i="2"/>
  <c r="B76" i="2"/>
  <c r="C148" i="2"/>
  <c r="D148" i="2" s="1"/>
  <c r="E148" i="2" s="1"/>
  <c r="C88" i="2"/>
  <c r="D88" i="2" s="1"/>
  <c r="E88" i="2" s="1"/>
  <c r="F81" i="2"/>
  <c r="C51" i="2"/>
  <c r="D51" i="2" s="1"/>
  <c r="E51" i="2" s="1"/>
  <c r="B156" i="2"/>
  <c r="B69" i="2"/>
  <c r="B45" i="2"/>
  <c r="C122" i="2"/>
  <c r="D122" i="2" s="1"/>
  <c r="E122" i="2" s="1"/>
  <c r="F30" i="2"/>
  <c r="B52" i="2"/>
  <c r="F62" i="2"/>
  <c r="F84" i="2"/>
  <c r="F72" i="2"/>
  <c r="B142" i="2"/>
  <c r="B40" i="2"/>
  <c r="B105" i="2"/>
  <c r="C58" i="2"/>
  <c r="D58" i="2" s="1"/>
  <c r="E58" i="2" s="1"/>
  <c r="F71" i="2"/>
  <c r="C112" i="2"/>
  <c r="D112" i="2" s="1"/>
  <c r="E112" i="2" s="1"/>
  <c r="B73" i="2"/>
  <c r="C85" i="2"/>
  <c r="D85" i="2" s="1"/>
  <c r="E85" i="2" s="1"/>
  <c r="C96" i="2"/>
  <c r="D96" i="2" s="1"/>
  <c r="E96" i="2" s="1"/>
  <c r="F75" i="2"/>
  <c r="F63" i="2"/>
  <c r="C139" i="2"/>
  <c r="D139" i="2" s="1"/>
  <c r="E139" i="2" s="1"/>
  <c r="B75" i="2"/>
  <c r="F43" i="2"/>
  <c r="C73" i="2"/>
  <c r="D73" i="2" s="1"/>
  <c r="E73" i="2" s="1"/>
  <c r="B32" i="2"/>
  <c r="B44" i="2"/>
  <c r="B88" i="2"/>
  <c r="F34" i="2"/>
  <c r="F38" i="2"/>
  <c r="B137" i="2"/>
  <c r="B140" i="2"/>
  <c r="C149" i="2"/>
  <c r="D149" i="2" s="1"/>
  <c r="E149" i="2" s="1"/>
  <c r="C33" i="2"/>
  <c r="D33" i="2" s="1"/>
  <c r="E33" i="2" s="1"/>
  <c r="C29" i="2"/>
  <c r="D29" i="2" s="1"/>
  <c r="E29" i="2" s="1"/>
  <c r="F70" i="2"/>
  <c r="B67" i="2"/>
  <c r="F109" i="2"/>
  <c r="B102" i="2"/>
  <c r="F152" i="2"/>
  <c r="F153" i="2"/>
  <c r="C107" i="2"/>
  <c r="D107" i="2" s="1"/>
  <c r="E107" i="2" s="1"/>
  <c r="C44" i="2"/>
  <c r="D44" i="2" s="1"/>
  <c r="E44" i="2" s="1"/>
  <c r="F148" i="2"/>
  <c r="F112" i="2"/>
  <c r="F131" i="2"/>
  <c r="C154" i="2"/>
  <c r="D154" i="2" s="1"/>
  <c r="E154" i="2" s="1"/>
  <c r="C134" i="2"/>
  <c r="D134" i="2" s="1"/>
  <c r="E134" i="2" s="1"/>
  <c r="C95" i="2"/>
  <c r="D95" i="2" s="1"/>
  <c r="E95" i="2" s="1"/>
  <c r="B95" i="2"/>
  <c r="C103" i="2"/>
  <c r="D103" i="2" s="1"/>
  <c r="E103" i="2" s="1"/>
  <c r="B126" i="2"/>
  <c r="C156" i="2"/>
  <c r="D156" i="2" s="1"/>
  <c r="E156" i="2" s="1"/>
  <c r="F51" i="2"/>
  <c r="C53" i="2"/>
  <c r="D53" i="2" s="1"/>
  <c r="E53" i="2" s="1"/>
  <c r="C50" i="2"/>
  <c r="D50" i="2" s="1"/>
  <c r="E50" i="2" s="1"/>
  <c r="C141" i="2"/>
  <c r="D141" i="2" s="1"/>
  <c r="E141" i="2" s="1"/>
  <c r="B141" i="2"/>
  <c r="C72" i="2"/>
  <c r="D72" i="2" s="1"/>
  <c r="E72" i="2" s="1"/>
  <c r="C52" i="2"/>
  <c r="D52" i="2" s="1"/>
  <c r="E52" i="2" s="1"/>
  <c r="F128" i="2"/>
  <c r="C71" i="2"/>
  <c r="D71" i="2" s="1"/>
  <c r="E71" i="2" s="1"/>
  <c r="F120" i="2"/>
  <c r="C90" i="2"/>
  <c r="D90" i="2" s="1"/>
  <c r="E90" i="2" s="1"/>
  <c r="B81" i="2"/>
  <c r="F95" i="2"/>
  <c r="F142" i="2"/>
  <c r="C69" i="2"/>
  <c r="D69" i="2" s="1"/>
  <c r="E69" i="2" s="1"/>
  <c r="B48" i="2"/>
  <c r="B138" i="2"/>
  <c r="B155" i="2"/>
  <c r="F97" i="2"/>
  <c r="F149" i="2"/>
  <c r="C121" i="2"/>
  <c r="D121" i="2" s="1"/>
  <c r="E121" i="2" s="1"/>
  <c r="C150" i="2"/>
  <c r="D150" i="2" s="1"/>
  <c r="E150" i="2" s="1"/>
  <c r="C137" i="2"/>
  <c r="D137" i="2" s="1"/>
  <c r="E137" i="2" s="1"/>
  <c r="C136" i="2"/>
  <c r="D136" i="2" s="1"/>
  <c r="E136" i="2" s="1"/>
  <c r="C67" i="2"/>
  <c r="D67" i="2" s="1"/>
  <c r="E67" i="2" s="1"/>
  <c r="B92" i="2"/>
  <c r="C117" i="2"/>
  <c r="D117" i="2" s="1"/>
  <c r="E117" i="2" s="1"/>
  <c r="B143" i="2"/>
  <c r="F68" i="2"/>
  <c r="B39" i="2"/>
  <c r="B82" i="2"/>
  <c r="F82" i="2"/>
  <c r="C94" i="2"/>
  <c r="D94" i="2" s="1"/>
  <c r="E94" i="2" s="1"/>
  <c r="V3" i="3"/>
  <c r="C140" i="2"/>
  <c r="D140" i="2" s="1"/>
  <c r="E140" i="2" s="1"/>
  <c r="F76" i="2"/>
  <c r="C135" i="2"/>
  <c r="D135" i="2" s="1"/>
  <c r="E135" i="2" s="1"/>
  <c r="B53" i="2"/>
  <c r="B147" i="2"/>
  <c r="F104" i="2"/>
  <c r="C157" i="2"/>
  <c r="D157" i="2" s="1"/>
  <c r="E157" i="2" s="1"/>
  <c r="F145" i="2"/>
  <c r="F146" i="2"/>
  <c r="F50" i="2"/>
  <c r="F60" i="2"/>
  <c r="C125" i="2"/>
  <c r="D125" i="2" s="1"/>
  <c r="E125" i="2" s="1"/>
  <c r="C66" i="2"/>
  <c r="D66" i="2" s="1"/>
  <c r="E66" i="2" s="1"/>
  <c r="F129" i="2"/>
  <c r="F105" i="2"/>
  <c r="K6" i="2"/>
  <c r="G70" i="2" s="1"/>
  <c r="H70" i="2" s="1"/>
  <c r="B54" i="2"/>
  <c r="C153" i="2"/>
  <c r="D153" i="2" s="1"/>
  <c r="E153" i="2" s="1"/>
  <c r="F58" i="2"/>
  <c r="C89" i="2"/>
  <c r="D89" i="2" s="1"/>
  <c r="E89" i="2" s="1"/>
  <c r="F74" i="2"/>
  <c r="B61" i="2"/>
  <c r="C97" i="2"/>
  <c r="D97" i="2" s="1"/>
  <c r="E97" i="2" s="1"/>
  <c r="B87" i="2"/>
  <c r="C100" i="2"/>
  <c r="D100" i="2" s="1"/>
  <c r="E100" i="2" s="1"/>
  <c r="F113" i="2"/>
  <c r="B149" i="2"/>
  <c r="C131" i="2"/>
  <c r="D131" i="2" s="1"/>
  <c r="E131" i="2" s="1"/>
  <c r="C57" i="2"/>
  <c r="D57" i="2" s="1"/>
  <c r="E57" i="2" s="1"/>
  <c r="B85" i="2"/>
  <c r="B124" i="2"/>
  <c r="G118" i="2"/>
  <c r="H118" i="2" s="1"/>
  <c r="G97" i="2"/>
  <c r="H97" i="2" s="1"/>
  <c r="G159" i="2"/>
  <c r="H159" i="2" s="1"/>
  <c r="G92" i="2"/>
  <c r="H92" i="2" s="1"/>
  <c r="G102" i="2"/>
  <c r="H102" i="2" s="1"/>
  <c r="E10" i="2"/>
  <c r="I27" i="3" l="1"/>
  <c r="L27" i="3" s="1"/>
  <c r="I35" i="3"/>
  <c r="L35" i="3" s="1"/>
  <c r="I43" i="3"/>
  <c r="L43" i="3" s="1"/>
  <c r="I51" i="3"/>
  <c r="L51" i="3" s="1"/>
  <c r="I59" i="3"/>
  <c r="L59" i="3" s="1"/>
  <c r="I23" i="3"/>
  <c r="L23" i="3" s="1"/>
  <c r="I31" i="3"/>
  <c r="L31" i="3" s="1"/>
  <c r="I39" i="3"/>
  <c r="L39" i="3" s="1"/>
  <c r="I47" i="3"/>
  <c r="L47" i="3" s="1"/>
  <c r="I55" i="3"/>
  <c r="L55" i="3" s="1"/>
  <c r="I24" i="3"/>
  <c r="L24" i="3" s="1"/>
  <c r="I32" i="3"/>
  <c r="L32" i="3" s="1"/>
  <c r="I40" i="3"/>
  <c r="L40" i="3" s="1"/>
  <c r="I48" i="3"/>
  <c r="L48" i="3" s="1"/>
  <c r="I56" i="3"/>
  <c r="L56" i="3" s="1"/>
  <c r="I64" i="3"/>
  <c r="L64" i="3" s="1"/>
  <c r="I72" i="3"/>
  <c r="L72" i="3" s="1"/>
  <c r="I80" i="3"/>
  <c r="L80" i="3" s="1"/>
  <c r="I88" i="3"/>
  <c r="L88" i="3" s="1"/>
  <c r="I96" i="3"/>
  <c r="L96" i="3" s="1"/>
  <c r="I104" i="3"/>
  <c r="L104" i="3" s="1"/>
  <c r="I112" i="3"/>
  <c r="L112" i="3" s="1"/>
  <c r="I120" i="3"/>
  <c r="L120" i="3" s="1"/>
  <c r="I128" i="3"/>
  <c r="L128" i="3" s="1"/>
  <c r="I136" i="3"/>
  <c r="L136" i="3" s="1"/>
  <c r="I144" i="3"/>
  <c r="L144" i="3" s="1"/>
  <c r="I152" i="3"/>
  <c r="L152" i="3" s="1"/>
  <c r="I160" i="3"/>
  <c r="L160" i="3" s="1"/>
  <c r="I168" i="3"/>
  <c r="L168" i="3" s="1"/>
  <c r="I176" i="3"/>
  <c r="L176" i="3" s="1"/>
  <c r="I184" i="3"/>
  <c r="L184" i="3" s="1"/>
  <c r="I192" i="3"/>
  <c r="L192" i="3" s="1"/>
  <c r="I200" i="3"/>
  <c r="L200" i="3" s="1"/>
  <c r="I208" i="3"/>
  <c r="L208" i="3" s="1"/>
  <c r="I216" i="3"/>
  <c r="L216" i="3" s="1"/>
  <c r="I224" i="3"/>
  <c r="L224" i="3" s="1"/>
  <c r="I232" i="3"/>
  <c r="L232" i="3" s="1"/>
  <c r="I240" i="3"/>
  <c r="L240" i="3" s="1"/>
  <c r="I248" i="3"/>
  <c r="L248" i="3" s="1"/>
  <c r="I256" i="3"/>
  <c r="L256" i="3" s="1"/>
  <c r="I264" i="3"/>
  <c r="L264" i="3" s="1"/>
  <c r="I272" i="3"/>
  <c r="L272" i="3" s="1"/>
  <c r="I280" i="3"/>
  <c r="L280" i="3" s="1"/>
  <c r="I288" i="3"/>
  <c r="L288" i="3" s="1"/>
  <c r="I296" i="3"/>
  <c r="L296" i="3" s="1"/>
  <c r="I304" i="3"/>
  <c r="L304" i="3" s="1"/>
  <c r="I312" i="3"/>
  <c r="L312" i="3" s="1"/>
  <c r="I320" i="3"/>
  <c r="L320" i="3" s="1"/>
  <c r="I328" i="3"/>
  <c r="L328" i="3" s="1"/>
  <c r="I336" i="3"/>
  <c r="L336" i="3" s="1"/>
  <c r="I344" i="3"/>
  <c r="L344" i="3" s="1"/>
  <c r="I352" i="3"/>
  <c r="L352" i="3" s="1"/>
  <c r="I360" i="3"/>
  <c r="L360" i="3" s="1"/>
  <c r="I368" i="3"/>
  <c r="L368" i="3" s="1"/>
  <c r="I376" i="3"/>
  <c r="L376" i="3" s="1"/>
  <c r="I384" i="3"/>
  <c r="L384" i="3" s="1"/>
  <c r="I392" i="3"/>
  <c r="L392" i="3" s="1"/>
  <c r="I400" i="3"/>
  <c r="L400" i="3" s="1"/>
  <c r="I408" i="3"/>
  <c r="L408" i="3" s="1"/>
  <c r="I416" i="3"/>
  <c r="L416" i="3" s="1"/>
  <c r="I424" i="3"/>
  <c r="L424" i="3" s="1"/>
  <c r="I432" i="3"/>
  <c r="L432" i="3" s="1"/>
  <c r="I440" i="3"/>
  <c r="L440" i="3" s="1"/>
  <c r="I448" i="3"/>
  <c r="L448" i="3" s="1"/>
  <c r="I456" i="3"/>
  <c r="L456" i="3" s="1"/>
  <c r="I464" i="3"/>
  <c r="L464" i="3" s="1"/>
  <c r="I472" i="3"/>
  <c r="L472" i="3" s="1"/>
  <c r="I480" i="3"/>
  <c r="L480" i="3" s="1"/>
  <c r="I488" i="3"/>
  <c r="L488" i="3" s="1"/>
  <c r="I496" i="3"/>
  <c r="L496" i="3" s="1"/>
  <c r="I504" i="3"/>
  <c r="L504" i="3" s="1"/>
  <c r="I512" i="3"/>
  <c r="L512" i="3" s="1"/>
  <c r="I520" i="3"/>
  <c r="L520" i="3" s="1"/>
  <c r="I528" i="3"/>
  <c r="L528" i="3" s="1"/>
  <c r="I536" i="3"/>
  <c r="L536" i="3" s="1"/>
  <c r="I544" i="3"/>
  <c r="L544" i="3" s="1"/>
  <c r="I552" i="3"/>
  <c r="L552" i="3" s="1"/>
  <c r="I560" i="3"/>
  <c r="L560" i="3" s="1"/>
  <c r="I568" i="3"/>
  <c r="L568" i="3" s="1"/>
  <c r="I576" i="3"/>
  <c r="L576" i="3" s="1"/>
  <c r="I584" i="3"/>
  <c r="L584" i="3" s="1"/>
  <c r="I592" i="3"/>
  <c r="L592" i="3" s="1"/>
  <c r="I600" i="3"/>
  <c r="L600" i="3" s="1"/>
  <c r="I608" i="3"/>
  <c r="L608" i="3" s="1"/>
  <c r="I616" i="3"/>
  <c r="L616" i="3" s="1"/>
  <c r="I624" i="3"/>
  <c r="L624" i="3" s="1"/>
  <c r="I632" i="3"/>
  <c r="L632" i="3" s="1"/>
  <c r="I640" i="3"/>
  <c r="L640" i="3" s="1"/>
  <c r="I648" i="3"/>
  <c r="L648" i="3" s="1"/>
  <c r="I656" i="3"/>
  <c r="L656" i="3" s="1"/>
  <c r="I664" i="3"/>
  <c r="L664" i="3" s="1"/>
  <c r="I672" i="3"/>
  <c r="L672" i="3" s="1"/>
  <c r="I680" i="3"/>
  <c r="L680" i="3" s="1"/>
  <c r="I688" i="3"/>
  <c r="L688" i="3" s="1"/>
  <c r="I696" i="3"/>
  <c r="L696" i="3" s="1"/>
  <c r="I704" i="3"/>
  <c r="L704" i="3" s="1"/>
  <c r="I712" i="3"/>
  <c r="L712" i="3" s="1"/>
  <c r="I720" i="3"/>
  <c r="L720" i="3" s="1"/>
  <c r="I728" i="3"/>
  <c r="L728" i="3" s="1"/>
  <c r="I736" i="3"/>
  <c r="L736" i="3" s="1"/>
  <c r="I744" i="3"/>
  <c r="L744" i="3" s="1"/>
  <c r="I752" i="3"/>
  <c r="L752" i="3" s="1"/>
  <c r="I760" i="3"/>
  <c r="L760" i="3" s="1"/>
  <c r="I768" i="3"/>
  <c r="L768" i="3" s="1"/>
  <c r="I776" i="3"/>
  <c r="L776" i="3" s="1"/>
  <c r="I784" i="3"/>
  <c r="L784" i="3" s="1"/>
  <c r="H30" i="3"/>
  <c r="K30" i="3" s="1"/>
  <c r="H38" i="3"/>
  <c r="K38" i="3" s="1"/>
  <c r="H46" i="3"/>
  <c r="K46" i="3" s="1"/>
  <c r="H54" i="3"/>
  <c r="K54" i="3" s="1"/>
  <c r="H62" i="3"/>
  <c r="K62" i="3" s="1"/>
  <c r="H70" i="3"/>
  <c r="K70" i="3" s="1"/>
  <c r="H78" i="3"/>
  <c r="K78" i="3" s="1"/>
  <c r="H86" i="3"/>
  <c r="K86" i="3" s="1"/>
  <c r="H94" i="3"/>
  <c r="K94" i="3" s="1"/>
  <c r="H102" i="3"/>
  <c r="K102" i="3" s="1"/>
  <c r="H110" i="3"/>
  <c r="K110" i="3" s="1"/>
  <c r="H118" i="3"/>
  <c r="K118" i="3" s="1"/>
  <c r="H126" i="3"/>
  <c r="K126" i="3" s="1"/>
  <c r="H134" i="3"/>
  <c r="K134" i="3" s="1"/>
  <c r="H142" i="3"/>
  <c r="K142" i="3" s="1"/>
  <c r="H150" i="3"/>
  <c r="K150" i="3" s="1"/>
  <c r="H158" i="3"/>
  <c r="K158" i="3" s="1"/>
  <c r="H166" i="3"/>
  <c r="K166" i="3" s="1"/>
  <c r="H174" i="3"/>
  <c r="K174" i="3" s="1"/>
  <c r="H182" i="3"/>
  <c r="K182" i="3" s="1"/>
  <c r="H190" i="3"/>
  <c r="K190" i="3" s="1"/>
  <c r="H198" i="3"/>
  <c r="K198" i="3" s="1"/>
  <c r="H206" i="3"/>
  <c r="K206" i="3" s="1"/>
  <c r="H214" i="3"/>
  <c r="K214" i="3" s="1"/>
  <c r="H222" i="3"/>
  <c r="K222" i="3" s="1"/>
  <c r="I25" i="3"/>
  <c r="L25" i="3" s="1"/>
  <c r="I33" i="3"/>
  <c r="L33" i="3" s="1"/>
  <c r="I41" i="3"/>
  <c r="L41" i="3" s="1"/>
  <c r="I49" i="3"/>
  <c r="L49" i="3" s="1"/>
  <c r="I57" i="3"/>
  <c r="L57" i="3" s="1"/>
  <c r="I65" i="3"/>
  <c r="L65" i="3" s="1"/>
  <c r="I73" i="3"/>
  <c r="L73" i="3" s="1"/>
  <c r="I81" i="3"/>
  <c r="L81" i="3" s="1"/>
  <c r="I89" i="3"/>
  <c r="L89" i="3" s="1"/>
  <c r="I97" i="3"/>
  <c r="L97" i="3" s="1"/>
  <c r="I105" i="3"/>
  <c r="L105" i="3" s="1"/>
  <c r="I113" i="3"/>
  <c r="L113" i="3" s="1"/>
  <c r="I121" i="3"/>
  <c r="L121" i="3" s="1"/>
  <c r="I129" i="3"/>
  <c r="L129" i="3" s="1"/>
  <c r="I137" i="3"/>
  <c r="L137" i="3" s="1"/>
  <c r="I145" i="3"/>
  <c r="L145" i="3" s="1"/>
  <c r="I153" i="3"/>
  <c r="L153" i="3" s="1"/>
  <c r="I161" i="3"/>
  <c r="L161" i="3" s="1"/>
  <c r="I169" i="3"/>
  <c r="L169" i="3" s="1"/>
  <c r="I177" i="3"/>
  <c r="L177" i="3" s="1"/>
  <c r="I185" i="3"/>
  <c r="L185" i="3" s="1"/>
  <c r="I193" i="3"/>
  <c r="L193" i="3" s="1"/>
  <c r="I201" i="3"/>
  <c r="L201" i="3" s="1"/>
  <c r="I209" i="3"/>
  <c r="L209" i="3" s="1"/>
  <c r="I217" i="3"/>
  <c r="L217" i="3" s="1"/>
  <c r="I225" i="3"/>
  <c r="L225" i="3" s="1"/>
  <c r="I233" i="3"/>
  <c r="L233" i="3" s="1"/>
  <c r="I241" i="3"/>
  <c r="L241" i="3" s="1"/>
  <c r="I249" i="3"/>
  <c r="L249" i="3" s="1"/>
  <c r="I257" i="3"/>
  <c r="L257" i="3" s="1"/>
  <c r="I265" i="3"/>
  <c r="L265" i="3" s="1"/>
  <c r="I273" i="3"/>
  <c r="L273" i="3" s="1"/>
  <c r="I281" i="3"/>
  <c r="L281" i="3" s="1"/>
  <c r="I289" i="3"/>
  <c r="L289" i="3" s="1"/>
  <c r="I297" i="3"/>
  <c r="L297" i="3" s="1"/>
  <c r="I305" i="3"/>
  <c r="L305" i="3" s="1"/>
  <c r="I313" i="3"/>
  <c r="L313" i="3" s="1"/>
  <c r="I321" i="3"/>
  <c r="L321" i="3" s="1"/>
  <c r="I329" i="3"/>
  <c r="L329" i="3" s="1"/>
  <c r="I337" i="3"/>
  <c r="L337" i="3" s="1"/>
  <c r="I345" i="3"/>
  <c r="L345" i="3" s="1"/>
  <c r="I353" i="3"/>
  <c r="L353" i="3" s="1"/>
  <c r="I361" i="3"/>
  <c r="L361" i="3" s="1"/>
  <c r="I369" i="3"/>
  <c r="L369" i="3" s="1"/>
  <c r="I377" i="3"/>
  <c r="L377" i="3" s="1"/>
  <c r="I385" i="3"/>
  <c r="L385" i="3" s="1"/>
  <c r="I393" i="3"/>
  <c r="L393" i="3" s="1"/>
  <c r="I401" i="3"/>
  <c r="L401" i="3" s="1"/>
  <c r="I409" i="3"/>
  <c r="L409" i="3" s="1"/>
  <c r="I417" i="3"/>
  <c r="L417" i="3" s="1"/>
  <c r="I425" i="3"/>
  <c r="L425" i="3" s="1"/>
  <c r="I433" i="3"/>
  <c r="L433" i="3" s="1"/>
  <c r="I441" i="3"/>
  <c r="L441" i="3" s="1"/>
  <c r="I449" i="3"/>
  <c r="L449" i="3" s="1"/>
  <c r="I457" i="3"/>
  <c r="L457" i="3" s="1"/>
  <c r="I465" i="3"/>
  <c r="L465" i="3" s="1"/>
  <c r="I473" i="3"/>
  <c r="L473" i="3" s="1"/>
  <c r="I481" i="3"/>
  <c r="L481" i="3" s="1"/>
  <c r="I489" i="3"/>
  <c r="L489" i="3" s="1"/>
  <c r="I497" i="3"/>
  <c r="L497" i="3" s="1"/>
  <c r="I505" i="3"/>
  <c r="L505" i="3" s="1"/>
  <c r="I513" i="3"/>
  <c r="L513" i="3" s="1"/>
  <c r="I521" i="3"/>
  <c r="L521" i="3" s="1"/>
  <c r="I529" i="3"/>
  <c r="L529" i="3" s="1"/>
  <c r="I537" i="3"/>
  <c r="L537" i="3" s="1"/>
  <c r="I545" i="3"/>
  <c r="L545" i="3" s="1"/>
  <c r="I553" i="3"/>
  <c r="L553" i="3" s="1"/>
  <c r="I561" i="3"/>
  <c r="L561" i="3" s="1"/>
  <c r="I569" i="3"/>
  <c r="L569" i="3" s="1"/>
  <c r="I577" i="3"/>
  <c r="L577" i="3" s="1"/>
  <c r="I585" i="3"/>
  <c r="L585" i="3" s="1"/>
  <c r="I593" i="3"/>
  <c r="L593" i="3" s="1"/>
  <c r="I601" i="3"/>
  <c r="L601" i="3" s="1"/>
  <c r="I609" i="3"/>
  <c r="L609" i="3" s="1"/>
  <c r="I617" i="3"/>
  <c r="L617" i="3" s="1"/>
  <c r="I625" i="3"/>
  <c r="L625" i="3" s="1"/>
  <c r="I633" i="3"/>
  <c r="L633" i="3" s="1"/>
  <c r="I641" i="3"/>
  <c r="L641" i="3" s="1"/>
  <c r="I649" i="3"/>
  <c r="L649" i="3" s="1"/>
  <c r="I657" i="3"/>
  <c r="L657" i="3" s="1"/>
  <c r="I665" i="3"/>
  <c r="L665" i="3" s="1"/>
  <c r="I673" i="3"/>
  <c r="L673" i="3" s="1"/>
  <c r="I681" i="3"/>
  <c r="L681" i="3" s="1"/>
  <c r="I689" i="3"/>
  <c r="L689" i="3" s="1"/>
  <c r="I697" i="3"/>
  <c r="L697" i="3" s="1"/>
  <c r="I705" i="3"/>
  <c r="L705" i="3" s="1"/>
  <c r="I713" i="3"/>
  <c r="L713" i="3" s="1"/>
  <c r="I721" i="3"/>
  <c r="L721" i="3" s="1"/>
  <c r="I729" i="3"/>
  <c r="L729" i="3" s="1"/>
  <c r="I737" i="3"/>
  <c r="L737" i="3" s="1"/>
  <c r="I745" i="3"/>
  <c r="L745" i="3" s="1"/>
  <c r="I753" i="3"/>
  <c r="L753" i="3" s="1"/>
  <c r="I761" i="3"/>
  <c r="L761" i="3" s="1"/>
  <c r="I769" i="3"/>
  <c r="L769" i="3" s="1"/>
  <c r="I777" i="3"/>
  <c r="L777" i="3" s="1"/>
  <c r="I785" i="3"/>
  <c r="L785" i="3" s="1"/>
  <c r="H31" i="3"/>
  <c r="K31" i="3" s="1"/>
  <c r="H39" i="3"/>
  <c r="K39" i="3" s="1"/>
  <c r="H47" i="3"/>
  <c r="K47" i="3" s="1"/>
  <c r="H55" i="3"/>
  <c r="K55" i="3" s="1"/>
  <c r="H63" i="3"/>
  <c r="K63" i="3" s="1"/>
  <c r="H71" i="3"/>
  <c r="K71" i="3" s="1"/>
  <c r="H79" i="3"/>
  <c r="K79" i="3" s="1"/>
  <c r="H87" i="3"/>
  <c r="K87" i="3" s="1"/>
  <c r="H95" i="3"/>
  <c r="K95" i="3" s="1"/>
  <c r="H103" i="3"/>
  <c r="K103" i="3" s="1"/>
  <c r="H111" i="3"/>
  <c r="K111" i="3" s="1"/>
  <c r="H119" i="3"/>
  <c r="K119" i="3" s="1"/>
  <c r="H127" i="3"/>
  <c r="K127" i="3" s="1"/>
  <c r="H135" i="3"/>
  <c r="K135" i="3" s="1"/>
  <c r="H143" i="3"/>
  <c r="K143" i="3" s="1"/>
  <c r="H151" i="3"/>
  <c r="K151" i="3" s="1"/>
  <c r="H159" i="3"/>
  <c r="K159" i="3" s="1"/>
  <c r="H167" i="3"/>
  <c r="K167" i="3" s="1"/>
  <c r="H175" i="3"/>
  <c r="K175" i="3" s="1"/>
  <c r="H183" i="3"/>
  <c r="K183" i="3" s="1"/>
  <c r="H191" i="3"/>
  <c r="K191" i="3" s="1"/>
  <c r="H199" i="3"/>
  <c r="K199" i="3" s="1"/>
  <c r="H207" i="3"/>
  <c r="K207" i="3" s="1"/>
  <c r="H215" i="3"/>
  <c r="K215" i="3" s="1"/>
  <c r="I26" i="3"/>
  <c r="L26" i="3" s="1"/>
  <c r="I42" i="3"/>
  <c r="L42" i="3" s="1"/>
  <c r="I58" i="3"/>
  <c r="L58" i="3" s="1"/>
  <c r="I69" i="3"/>
  <c r="L69" i="3" s="1"/>
  <c r="I79" i="3"/>
  <c r="L79" i="3" s="1"/>
  <c r="I91" i="3"/>
  <c r="L91" i="3" s="1"/>
  <c r="I101" i="3"/>
  <c r="L101" i="3" s="1"/>
  <c r="I111" i="3"/>
  <c r="L111" i="3" s="1"/>
  <c r="I123" i="3"/>
  <c r="L123" i="3" s="1"/>
  <c r="I133" i="3"/>
  <c r="L133" i="3" s="1"/>
  <c r="I143" i="3"/>
  <c r="L143" i="3" s="1"/>
  <c r="I155" i="3"/>
  <c r="L155" i="3" s="1"/>
  <c r="I165" i="3"/>
  <c r="L165" i="3" s="1"/>
  <c r="I175" i="3"/>
  <c r="L175" i="3" s="1"/>
  <c r="I187" i="3"/>
  <c r="L187" i="3" s="1"/>
  <c r="I197" i="3"/>
  <c r="L197" i="3" s="1"/>
  <c r="I207" i="3"/>
  <c r="L207" i="3" s="1"/>
  <c r="I219" i="3"/>
  <c r="L219" i="3" s="1"/>
  <c r="I229" i="3"/>
  <c r="L229" i="3" s="1"/>
  <c r="I239" i="3"/>
  <c r="L239" i="3" s="1"/>
  <c r="I251" i="3"/>
  <c r="L251" i="3" s="1"/>
  <c r="I261" i="3"/>
  <c r="L261" i="3" s="1"/>
  <c r="I271" i="3"/>
  <c r="L271" i="3" s="1"/>
  <c r="I283" i="3"/>
  <c r="L283" i="3" s="1"/>
  <c r="I293" i="3"/>
  <c r="L293" i="3" s="1"/>
  <c r="I303" i="3"/>
  <c r="L303" i="3" s="1"/>
  <c r="I315" i="3"/>
  <c r="L315" i="3" s="1"/>
  <c r="I325" i="3"/>
  <c r="L325" i="3" s="1"/>
  <c r="I335" i="3"/>
  <c r="L335" i="3" s="1"/>
  <c r="I347" i="3"/>
  <c r="L347" i="3" s="1"/>
  <c r="I357" i="3"/>
  <c r="L357" i="3" s="1"/>
  <c r="I367" i="3"/>
  <c r="L367" i="3" s="1"/>
  <c r="I379" i="3"/>
  <c r="L379" i="3" s="1"/>
  <c r="I389" i="3"/>
  <c r="L389" i="3" s="1"/>
  <c r="I399" i="3"/>
  <c r="L399" i="3" s="1"/>
  <c r="I411" i="3"/>
  <c r="L411" i="3" s="1"/>
  <c r="I421" i="3"/>
  <c r="L421" i="3" s="1"/>
  <c r="I431" i="3"/>
  <c r="L431" i="3" s="1"/>
  <c r="I443" i="3"/>
  <c r="L443" i="3" s="1"/>
  <c r="I453" i="3"/>
  <c r="L453" i="3" s="1"/>
  <c r="I463" i="3"/>
  <c r="L463" i="3" s="1"/>
  <c r="I475" i="3"/>
  <c r="L475" i="3" s="1"/>
  <c r="I485" i="3"/>
  <c r="L485" i="3" s="1"/>
  <c r="I495" i="3"/>
  <c r="L495" i="3" s="1"/>
  <c r="I507" i="3"/>
  <c r="L507" i="3" s="1"/>
  <c r="I517" i="3"/>
  <c r="L517" i="3" s="1"/>
  <c r="I527" i="3"/>
  <c r="L527" i="3" s="1"/>
  <c r="I539" i="3"/>
  <c r="L539" i="3" s="1"/>
  <c r="I549" i="3"/>
  <c r="L549" i="3" s="1"/>
  <c r="I559" i="3"/>
  <c r="L559" i="3" s="1"/>
  <c r="I571" i="3"/>
  <c r="L571" i="3" s="1"/>
  <c r="I581" i="3"/>
  <c r="L581" i="3" s="1"/>
  <c r="I591" i="3"/>
  <c r="L591" i="3" s="1"/>
  <c r="I603" i="3"/>
  <c r="L603" i="3" s="1"/>
  <c r="I613" i="3"/>
  <c r="L613" i="3" s="1"/>
  <c r="I623" i="3"/>
  <c r="L623" i="3" s="1"/>
  <c r="I635" i="3"/>
  <c r="L635" i="3" s="1"/>
  <c r="I645" i="3"/>
  <c r="L645" i="3" s="1"/>
  <c r="I655" i="3"/>
  <c r="L655" i="3" s="1"/>
  <c r="I667" i="3"/>
  <c r="L667" i="3" s="1"/>
  <c r="I677" i="3"/>
  <c r="L677" i="3" s="1"/>
  <c r="I687" i="3"/>
  <c r="L687" i="3" s="1"/>
  <c r="I699" i="3"/>
  <c r="L699" i="3" s="1"/>
  <c r="I709" i="3"/>
  <c r="L709" i="3" s="1"/>
  <c r="I719" i="3"/>
  <c r="L719" i="3" s="1"/>
  <c r="I731" i="3"/>
  <c r="L731" i="3" s="1"/>
  <c r="I741" i="3"/>
  <c r="L741" i="3" s="1"/>
  <c r="I751" i="3"/>
  <c r="L751" i="3" s="1"/>
  <c r="I763" i="3"/>
  <c r="L763" i="3" s="1"/>
  <c r="I773" i="3"/>
  <c r="L773" i="3" s="1"/>
  <c r="I783" i="3"/>
  <c r="L783" i="3" s="1"/>
  <c r="H33" i="3"/>
  <c r="K33" i="3" s="1"/>
  <c r="H43" i="3"/>
  <c r="K43" i="3" s="1"/>
  <c r="H53" i="3"/>
  <c r="K53" i="3" s="1"/>
  <c r="H65" i="3"/>
  <c r="K65" i="3" s="1"/>
  <c r="H75" i="3"/>
  <c r="K75" i="3" s="1"/>
  <c r="H85" i="3"/>
  <c r="K85" i="3" s="1"/>
  <c r="H97" i="3"/>
  <c r="K97" i="3" s="1"/>
  <c r="H107" i="3"/>
  <c r="K107" i="3" s="1"/>
  <c r="H117" i="3"/>
  <c r="K117" i="3" s="1"/>
  <c r="H129" i="3"/>
  <c r="K129" i="3" s="1"/>
  <c r="H139" i="3"/>
  <c r="K139" i="3" s="1"/>
  <c r="H149" i="3"/>
  <c r="K149" i="3" s="1"/>
  <c r="H161" i="3"/>
  <c r="K161" i="3" s="1"/>
  <c r="H171" i="3"/>
  <c r="K171" i="3" s="1"/>
  <c r="H181" i="3"/>
  <c r="K181" i="3" s="1"/>
  <c r="H193" i="3"/>
  <c r="K193" i="3" s="1"/>
  <c r="H203" i="3"/>
  <c r="K203" i="3" s="1"/>
  <c r="H213" i="3"/>
  <c r="K213" i="3" s="1"/>
  <c r="H224" i="3"/>
  <c r="K224" i="3" s="1"/>
  <c r="H232" i="3"/>
  <c r="K232" i="3" s="1"/>
  <c r="H240" i="3"/>
  <c r="K240" i="3" s="1"/>
  <c r="H248" i="3"/>
  <c r="K248" i="3" s="1"/>
  <c r="H256" i="3"/>
  <c r="K256" i="3" s="1"/>
  <c r="H264" i="3"/>
  <c r="K264" i="3" s="1"/>
  <c r="H272" i="3"/>
  <c r="K272" i="3" s="1"/>
  <c r="H280" i="3"/>
  <c r="K280" i="3" s="1"/>
  <c r="H288" i="3"/>
  <c r="K288" i="3" s="1"/>
  <c r="H296" i="3"/>
  <c r="K296" i="3" s="1"/>
  <c r="H304" i="3"/>
  <c r="K304" i="3" s="1"/>
  <c r="H312" i="3"/>
  <c r="K312" i="3" s="1"/>
  <c r="H320" i="3"/>
  <c r="K320" i="3" s="1"/>
  <c r="H328" i="3"/>
  <c r="K328" i="3" s="1"/>
  <c r="H336" i="3"/>
  <c r="K336" i="3" s="1"/>
  <c r="H344" i="3"/>
  <c r="K344" i="3" s="1"/>
  <c r="H352" i="3"/>
  <c r="K352" i="3" s="1"/>
  <c r="H360" i="3"/>
  <c r="K360" i="3" s="1"/>
  <c r="H368" i="3"/>
  <c r="K368" i="3" s="1"/>
  <c r="H376" i="3"/>
  <c r="K376" i="3" s="1"/>
  <c r="H384" i="3"/>
  <c r="K384" i="3" s="1"/>
  <c r="H392" i="3"/>
  <c r="K392" i="3" s="1"/>
  <c r="H400" i="3"/>
  <c r="K400" i="3" s="1"/>
  <c r="H408" i="3"/>
  <c r="K408" i="3" s="1"/>
  <c r="H416" i="3"/>
  <c r="K416" i="3" s="1"/>
  <c r="H424" i="3"/>
  <c r="K424" i="3" s="1"/>
  <c r="H432" i="3"/>
  <c r="K432" i="3" s="1"/>
  <c r="H440" i="3"/>
  <c r="K440" i="3" s="1"/>
  <c r="H448" i="3"/>
  <c r="K448" i="3" s="1"/>
  <c r="H456" i="3"/>
  <c r="K456" i="3" s="1"/>
  <c r="H464" i="3"/>
  <c r="K464" i="3" s="1"/>
  <c r="H472" i="3"/>
  <c r="K472" i="3" s="1"/>
  <c r="H480" i="3"/>
  <c r="K480" i="3" s="1"/>
  <c r="H488" i="3"/>
  <c r="K488" i="3" s="1"/>
  <c r="H496" i="3"/>
  <c r="K496" i="3" s="1"/>
  <c r="H504" i="3"/>
  <c r="K504" i="3" s="1"/>
  <c r="H512" i="3"/>
  <c r="K512" i="3" s="1"/>
  <c r="H520" i="3"/>
  <c r="K520" i="3" s="1"/>
  <c r="H528" i="3"/>
  <c r="K528" i="3" s="1"/>
  <c r="H536" i="3"/>
  <c r="K536" i="3" s="1"/>
  <c r="H544" i="3"/>
  <c r="K544" i="3" s="1"/>
  <c r="H552" i="3"/>
  <c r="K552" i="3" s="1"/>
  <c r="H560" i="3"/>
  <c r="K560" i="3" s="1"/>
  <c r="H568" i="3"/>
  <c r="K568" i="3" s="1"/>
  <c r="H576" i="3"/>
  <c r="K576" i="3" s="1"/>
  <c r="H584" i="3"/>
  <c r="K584" i="3" s="1"/>
  <c r="H592" i="3"/>
  <c r="K592" i="3" s="1"/>
  <c r="H600" i="3"/>
  <c r="K600" i="3" s="1"/>
  <c r="H608" i="3"/>
  <c r="K608" i="3" s="1"/>
  <c r="H616" i="3"/>
  <c r="K616" i="3" s="1"/>
  <c r="H624" i="3"/>
  <c r="K624" i="3" s="1"/>
  <c r="H632" i="3"/>
  <c r="K632" i="3" s="1"/>
  <c r="H640" i="3"/>
  <c r="K640" i="3" s="1"/>
  <c r="H648" i="3"/>
  <c r="K648" i="3" s="1"/>
  <c r="H656" i="3"/>
  <c r="K656" i="3" s="1"/>
  <c r="H664" i="3"/>
  <c r="K664" i="3" s="1"/>
  <c r="H672" i="3"/>
  <c r="K672" i="3" s="1"/>
  <c r="H680" i="3"/>
  <c r="K680" i="3" s="1"/>
  <c r="H688" i="3"/>
  <c r="K688" i="3" s="1"/>
  <c r="H696" i="3"/>
  <c r="K696" i="3" s="1"/>
  <c r="H704" i="3"/>
  <c r="K704" i="3" s="1"/>
  <c r="H712" i="3"/>
  <c r="K712" i="3" s="1"/>
  <c r="H720" i="3"/>
  <c r="K720" i="3" s="1"/>
  <c r="H728" i="3"/>
  <c r="K728" i="3" s="1"/>
  <c r="H736" i="3"/>
  <c r="K736" i="3" s="1"/>
  <c r="H744" i="3"/>
  <c r="K744" i="3" s="1"/>
  <c r="I30" i="3"/>
  <c r="L30" i="3" s="1"/>
  <c r="I46" i="3"/>
  <c r="L46" i="3" s="1"/>
  <c r="I62" i="3"/>
  <c r="L62" i="3" s="1"/>
  <c r="I74" i="3"/>
  <c r="L74" i="3" s="1"/>
  <c r="I84" i="3"/>
  <c r="L84" i="3" s="1"/>
  <c r="I94" i="3"/>
  <c r="L94" i="3" s="1"/>
  <c r="I106" i="3"/>
  <c r="L106" i="3" s="1"/>
  <c r="I116" i="3"/>
  <c r="L116" i="3" s="1"/>
  <c r="I126" i="3"/>
  <c r="L126" i="3" s="1"/>
  <c r="I138" i="3"/>
  <c r="L138" i="3" s="1"/>
  <c r="I148" i="3"/>
  <c r="L148" i="3" s="1"/>
  <c r="I158" i="3"/>
  <c r="L158" i="3" s="1"/>
  <c r="I170" i="3"/>
  <c r="L170" i="3" s="1"/>
  <c r="I180" i="3"/>
  <c r="L180" i="3" s="1"/>
  <c r="I190" i="3"/>
  <c r="L190" i="3" s="1"/>
  <c r="I202" i="3"/>
  <c r="L202" i="3" s="1"/>
  <c r="I212" i="3"/>
  <c r="L212" i="3" s="1"/>
  <c r="I222" i="3"/>
  <c r="L222" i="3" s="1"/>
  <c r="I234" i="3"/>
  <c r="L234" i="3" s="1"/>
  <c r="I244" i="3"/>
  <c r="L244" i="3" s="1"/>
  <c r="I254" i="3"/>
  <c r="L254" i="3" s="1"/>
  <c r="I266" i="3"/>
  <c r="L266" i="3" s="1"/>
  <c r="I276" i="3"/>
  <c r="L276" i="3" s="1"/>
  <c r="I286" i="3"/>
  <c r="L286" i="3" s="1"/>
  <c r="I298" i="3"/>
  <c r="L298" i="3" s="1"/>
  <c r="I308" i="3"/>
  <c r="L308" i="3" s="1"/>
  <c r="I318" i="3"/>
  <c r="L318" i="3" s="1"/>
  <c r="I330" i="3"/>
  <c r="L330" i="3" s="1"/>
  <c r="I340" i="3"/>
  <c r="L340" i="3" s="1"/>
  <c r="I350" i="3"/>
  <c r="L350" i="3" s="1"/>
  <c r="I362" i="3"/>
  <c r="L362" i="3" s="1"/>
  <c r="I372" i="3"/>
  <c r="L372" i="3" s="1"/>
  <c r="I382" i="3"/>
  <c r="L382" i="3" s="1"/>
  <c r="I394" i="3"/>
  <c r="L394" i="3" s="1"/>
  <c r="I404" i="3"/>
  <c r="L404" i="3" s="1"/>
  <c r="I414" i="3"/>
  <c r="L414" i="3" s="1"/>
  <c r="I426" i="3"/>
  <c r="L426" i="3" s="1"/>
  <c r="I436" i="3"/>
  <c r="L436" i="3" s="1"/>
  <c r="I446" i="3"/>
  <c r="L446" i="3" s="1"/>
  <c r="I458" i="3"/>
  <c r="L458" i="3" s="1"/>
  <c r="I468" i="3"/>
  <c r="L468" i="3" s="1"/>
  <c r="I478" i="3"/>
  <c r="L478" i="3" s="1"/>
  <c r="I490" i="3"/>
  <c r="L490" i="3" s="1"/>
  <c r="I500" i="3"/>
  <c r="L500" i="3" s="1"/>
  <c r="I510" i="3"/>
  <c r="L510" i="3" s="1"/>
  <c r="I522" i="3"/>
  <c r="L522" i="3" s="1"/>
  <c r="I532" i="3"/>
  <c r="L532" i="3" s="1"/>
  <c r="I542" i="3"/>
  <c r="L542" i="3" s="1"/>
  <c r="I554" i="3"/>
  <c r="L554" i="3" s="1"/>
  <c r="I564" i="3"/>
  <c r="L564" i="3" s="1"/>
  <c r="I574" i="3"/>
  <c r="L574" i="3" s="1"/>
  <c r="I586" i="3"/>
  <c r="L586" i="3" s="1"/>
  <c r="I596" i="3"/>
  <c r="L596" i="3" s="1"/>
  <c r="I606" i="3"/>
  <c r="L606" i="3" s="1"/>
  <c r="I618" i="3"/>
  <c r="L618" i="3" s="1"/>
  <c r="I628" i="3"/>
  <c r="L628" i="3" s="1"/>
  <c r="I638" i="3"/>
  <c r="L638" i="3" s="1"/>
  <c r="I650" i="3"/>
  <c r="L650" i="3" s="1"/>
  <c r="I660" i="3"/>
  <c r="L660" i="3" s="1"/>
  <c r="I670" i="3"/>
  <c r="L670" i="3" s="1"/>
  <c r="I682" i="3"/>
  <c r="L682" i="3" s="1"/>
  <c r="I692" i="3"/>
  <c r="L692" i="3" s="1"/>
  <c r="I702" i="3"/>
  <c r="L702" i="3" s="1"/>
  <c r="I714" i="3"/>
  <c r="L714" i="3" s="1"/>
  <c r="I724" i="3"/>
  <c r="L724" i="3" s="1"/>
  <c r="I734" i="3"/>
  <c r="L734" i="3" s="1"/>
  <c r="I746" i="3"/>
  <c r="L746" i="3" s="1"/>
  <c r="I756" i="3"/>
  <c r="L756" i="3" s="1"/>
  <c r="I766" i="3"/>
  <c r="L766" i="3" s="1"/>
  <c r="I778" i="3"/>
  <c r="L778" i="3" s="1"/>
  <c r="I788" i="3"/>
  <c r="L788" i="3" s="1"/>
  <c r="H36" i="3"/>
  <c r="K36" i="3" s="1"/>
  <c r="H48" i="3"/>
  <c r="K48" i="3" s="1"/>
  <c r="H58" i="3"/>
  <c r="K58" i="3" s="1"/>
  <c r="H68" i="3"/>
  <c r="K68" i="3" s="1"/>
  <c r="H80" i="3"/>
  <c r="K80" i="3" s="1"/>
  <c r="H90" i="3"/>
  <c r="K90" i="3" s="1"/>
  <c r="H100" i="3"/>
  <c r="K100" i="3" s="1"/>
  <c r="H112" i="3"/>
  <c r="K112" i="3" s="1"/>
  <c r="H122" i="3"/>
  <c r="K122" i="3" s="1"/>
  <c r="H132" i="3"/>
  <c r="K132" i="3" s="1"/>
  <c r="H144" i="3"/>
  <c r="K144" i="3" s="1"/>
  <c r="H154" i="3"/>
  <c r="K154" i="3" s="1"/>
  <c r="H164" i="3"/>
  <c r="K164" i="3" s="1"/>
  <c r="H176" i="3"/>
  <c r="K176" i="3" s="1"/>
  <c r="H186" i="3"/>
  <c r="K186" i="3" s="1"/>
  <c r="H196" i="3"/>
  <c r="K196" i="3" s="1"/>
  <c r="H208" i="3"/>
  <c r="K208" i="3" s="1"/>
  <c r="H218" i="3"/>
  <c r="K218" i="3" s="1"/>
  <c r="H227" i="3"/>
  <c r="K227" i="3" s="1"/>
  <c r="H235" i="3"/>
  <c r="K235" i="3" s="1"/>
  <c r="I34" i="3"/>
  <c r="L34" i="3" s="1"/>
  <c r="I50" i="3"/>
  <c r="L50" i="3" s="1"/>
  <c r="I63" i="3"/>
  <c r="L63" i="3" s="1"/>
  <c r="I75" i="3"/>
  <c r="L75" i="3" s="1"/>
  <c r="I85" i="3"/>
  <c r="L85" i="3" s="1"/>
  <c r="I95" i="3"/>
  <c r="L95" i="3" s="1"/>
  <c r="I107" i="3"/>
  <c r="L107" i="3" s="1"/>
  <c r="I117" i="3"/>
  <c r="L117" i="3" s="1"/>
  <c r="I127" i="3"/>
  <c r="L127" i="3" s="1"/>
  <c r="I139" i="3"/>
  <c r="L139" i="3" s="1"/>
  <c r="I149" i="3"/>
  <c r="L149" i="3" s="1"/>
  <c r="I159" i="3"/>
  <c r="L159" i="3" s="1"/>
  <c r="I171" i="3"/>
  <c r="L171" i="3" s="1"/>
  <c r="I181" i="3"/>
  <c r="L181" i="3" s="1"/>
  <c r="I191" i="3"/>
  <c r="L191" i="3" s="1"/>
  <c r="I203" i="3"/>
  <c r="L203" i="3" s="1"/>
  <c r="I213" i="3"/>
  <c r="L213" i="3" s="1"/>
  <c r="I223" i="3"/>
  <c r="L223" i="3" s="1"/>
  <c r="I235" i="3"/>
  <c r="L235" i="3" s="1"/>
  <c r="I245" i="3"/>
  <c r="L245" i="3" s="1"/>
  <c r="I255" i="3"/>
  <c r="L255" i="3" s="1"/>
  <c r="I267" i="3"/>
  <c r="L267" i="3" s="1"/>
  <c r="I277" i="3"/>
  <c r="L277" i="3" s="1"/>
  <c r="I287" i="3"/>
  <c r="L287" i="3" s="1"/>
  <c r="I299" i="3"/>
  <c r="L299" i="3" s="1"/>
  <c r="I309" i="3"/>
  <c r="L309" i="3" s="1"/>
  <c r="I319" i="3"/>
  <c r="L319" i="3" s="1"/>
  <c r="I331" i="3"/>
  <c r="L331" i="3" s="1"/>
  <c r="I341" i="3"/>
  <c r="L341" i="3" s="1"/>
  <c r="I351" i="3"/>
  <c r="L351" i="3" s="1"/>
  <c r="I363" i="3"/>
  <c r="L363" i="3" s="1"/>
  <c r="I373" i="3"/>
  <c r="L373" i="3" s="1"/>
  <c r="I383" i="3"/>
  <c r="L383" i="3" s="1"/>
  <c r="I395" i="3"/>
  <c r="L395" i="3" s="1"/>
  <c r="I405" i="3"/>
  <c r="L405" i="3" s="1"/>
  <c r="I415" i="3"/>
  <c r="L415" i="3" s="1"/>
  <c r="I427" i="3"/>
  <c r="L427" i="3" s="1"/>
  <c r="I437" i="3"/>
  <c r="L437" i="3" s="1"/>
  <c r="I447" i="3"/>
  <c r="L447" i="3" s="1"/>
  <c r="I459" i="3"/>
  <c r="L459" i="3" s="1"/>
  <c r="I469" i="3"/>
  <c r="L469" i="3" s="1"/>
  <c r="I479" i="3"/>
  <c r="L479" i="3" s="1"/>
  <c r="I491" i="3"/>
  <c r="L491" i="3" s="1"/>
  <c r="I501" i="3"/>
  <c r="L501" i="3" s="1"/>
  <c r="I511" i="3"/>
  <c r="L511" i="3" s="1"/>
  <c r="I523" i="3"/>
  <c r="L523" i="3" s="1"/>
  <c r="I533" i="3"/>
  <c r="L533" i="3" s="1"/>
  <c r="I543" i="3"/>
  <c r="L543" i="3" s="1"/>
  <c r="I555" i="3"/>
  <c r="L555" i="3" s="1"/>
  <c r="I565" i="3"/>
  <c r="L565" i="3" s="1"/>
  <c r="I575" i="3"/>
  <c r="L575" i="3" s="1"/>
  <c r="I587" i="3"/>
  <c r="L587" i="3" s="1"/>
  <c r="I597" i="3"/>
  <c r="L597" i="3" s="1"/>
  <c r="I607" i="3"/>
  <c r="L607" i="3" s="1"/>
  <c r="I619" i="3"/>
  <c r="L619" i="3" s="1"/>
  <c r="I629" i="3"/>
  <c r="L629" i="3" s="1"/>
  <c r="I639" i="3"/>
  <c r="L639" i="3" s="1"/>
  <c r="I651" i="3"/>
  <c r="L651" i="3" s="1"/>
  <c r="I661" i="3"/>
  <c r="L661" i="3" s="1"/>
  <c r="I671" i="3"/>
  <c r="L671" i="3" s="1"/>
  <c r="I683" i="3"/>
  <c r="L683" i="3" s="1"/>
  <c r="I693" i="3"/>
  <c r="L693" i="3" s="1"/>
  <c r="I703" i="3"/>
  <c r="L703" i="3" s="1"/>
  <c r="I715" i="3"/>
  <c r="L715" i="3" s="1"/>
  <c r="I725" i="3"/>
  <c r="L725" i="3" s="1"/>
  <c r="I735" i="3"/>
  <c r="L735" i="3" s="1"/>
  <c r="I747" i="3"/>
  <c r="L747" i="3" s="1"/>
  <c r="I757" i="3"/>
  <c r="L757" i="3" s="1"/>
  <c r="I767" i="3"/>
  <c r="L767" i="3" s="1"/>
  <c r="I779" i="3"/>
  <c r="L779" i="3" s="1"/>
  <c r="I789" i="3"/>
  <c r="L789" i="3" s="1"/>
  <c r="H37" i="3"/>
  <c r="K37" i="3" s="1"/>
  <c r="H49" i="3"/>
  <c r="K49" i="3" s="1"/>
  <c r="H59" i="3"/>
  <c r="K59" i="3" s="1"/>
  <c r="H69" i="3"/>
  <c r="K69" i="3" s="1"/>
  <c r="H81" i="3"/>
  <c r="K81" i="3" s="1"/>
  <c r="H91" i="3"/>
  <c r="K91" i="3" s="1"/>
  <c r="H101" i="3"/>
  <c r="K101" i="3" s="1"/>
  <c r="H113" i="3"/>
  <c r="K113" i="3" s="1"/>
  <c r="H123" i="3"/>
  <c r="K123" i="3" s="1"/>
  <c r="H133" i="3"/>
  <c r="K133" i="3" s="1"/>
  <c r="H145" i="3"/>
  <c r="K145" i="3" s="1"/>
  <c r="H155" i="3"/>
  <c r="K155" i="3" s="1"/>
  <c r="H165" i="3"/>
  <c r="K165" i="3" s="1"/>
  <c r="H177" i="3"/>
  <c r="K177" i="3" s="1"/>
  <c r="H187" i="3"/>
  <c r="K187" i="3" s="1"/>
  <c r="H197" i="3"/>
  <c r="K197" i="3" s="1"/>
  <c r="H209" i="3"/>
  <c r="K209" i="3" s="1"/>
  <c r="H219" i="3"/>
  <c r="K219" i="3" s="1"/>
  <c r="H228" i="3"/>
  <c r="K228" i="3" s="1"/>
  <c r="H236" i="3"/>
  <c r="K236" i="3" s="1"/>
  <c r="H244" i="3"/>
  <c r="K244" i="3" s="1"/>
  <c r="H252" i="3"/>
  <c r="K252" i="3" s="1"/>
  <c r="H260" i="3"/>
  <c r="K260" i="3" s="1"/>
  <c r="H268" i="3"/>
  <c r="K268" i="3" s="1"/>
  <c r="H276" i="3"/>
  <c r="K276" i="3" s="1"/>
  <c r="H284" i="3"/>
  <c r="K284" i="3" s="1"/>
  <c r="H292" i="3"/>
  <c r="K292" i="3" s="1"/>
  <c r="H300" i="3"/>
  <c r="K300" i="3" s="1"/>
  <c r="H308" i="3"/>
  <c r="K308" i="3" s="1"/>
  <c r="H316" i="3"/>
  <c r="K316" i="3" s="1"/>
  <c r="H324" i="3"/>
  <c r="K324" i="3" s="1"/>
  <c r="H332" i="3"/>
  <c r="K332" i="3" s="1"/>
  <c r="H340" i="3"/>
  <c r="K340" i="3" s="1"/>
  <c r="H348" i="3"/>
  <c r="K348" i="3" s="1"/>
  <c r="H356" i="3"/>
  <c r="K356" i="3" s="1"/>
  <c r="H364" i="3"/>
  <c r="K364" i="3" s="1"/>
  <c r="H372" i="3"/>
  <c r="K372" i="3" s="1"/>
  <c r="H380" i="3"/>
  <c r="K380" i="3" s="1"/>
  <c r="H388" i="3"/>
  <c r="K388" i="3" s="1"/>
  <c r="H396" i="3"/>
  <c r="K396" i="3" s="1"/>
  <c r="H404" i="3"/>
  <c r="K404" i="3" s="1"/>
  <c r="H412" i="3"/>
  <c r="K412" i="3" s="1"/>
  <c r="H420" i="3"/>
  <c r="K420" i="3" s="1"/>
  <c r="H428" i="3"/>
  <c r="K428" i="3" s="1"/>
  <c r="H436" i="3"/>
  <c r="K436" i="3" s="1"/>
  <c r="H444" i="3"/>
  <c r="K444" i="3" s="1"/>
  <c r="H452" i="3"/>
  <c r="K452" i="3" s="1"/>
  <c r="H460" i="3"/>
  <c r="K460" i="3" s="1"/>
  <c r="H468" i="3"/>
  <c r="K468" i="3" s="1"/>
  <c r="H476" i="3"/>
  <c r="K476" i="3" s="1"/>
  <c r="H484" i="3"/>
  <c r="K484" i="3" s="1"/>
  <c r="H492" i="3"/>
  <c r="K492" i="3" s="1"/>
  <c r="H500" i="3"/>
  <c r="K500" i="3" s="1"/>
  <c r="H508" i="3"/>
  <c r="K508" i="3" s="1"/>
  <c r="H516" i="3"/>
  <c r="K516" i="3" s="1"/>
  <c r="H524" i="3"/>
  <c r="K524" i="3" s="1"/>
  <c r="H532" i="3"/>
  <c r="K532" i="3" s="1"/>
  <c r="H540" i="3"/>
  <c r="K540" i="3" s="1"/>
  <c r="H548" i="3"/>
  <c r="K548" i="3" s="1"/>
  <c r="H556" i="3"/>
  <c r="K556" i="3" s="1"/>
  <c r="H564" i="3"/>
  <c r="K564" i="3" s="1"/>
  <c r="H572" i="3"/>
  <c r="K572" i="3" s="1"/>
  <c r="H580" i="3"/>
  <c r="K580" i="3" s="1"/>
  <c r="H588" i="3"/>
  <c r="K588" i="3" s="1"/>
  <c r="H596" i="3"/>
  <c r="K596" i="3" s="1"/>
  <c r="H604" i="3"/>
  <c r="K604" i="3" s="1"/>
  <c r="H612" i="3"/>
  <c r="K612" i="3" s="1"/>
  <c r="H620" i="3"/>
  <c r="K620" i="3" s="1"/>
  <c r="H628" i="3"/>
  <c r="K628" i="3" s="1"/>
  <c r="H636" i="3"/>
  <c r="K636" i="3" s="1"/>
  <c r="H644" i="3"/>
  <c r="K644" i="3" s="1"/>
  <c r="H652" i="3"/>
  <c r="K652" i="3" s="1"/>
  <c r="H660" i="3"/>
  <c r="K660" i="3" s="1"/>
  <c r="H668" i="3"/>
  <c r="K668" i="3" s="1"/>
  <c r="H676" i="3"/>
  <c r="K676" i="3" s="1"/>
  <c r="H684" i="3"/>
  <c r="K684" i="3" s="1"/>
  <c r="H692" i="3"/>
  <c r="K692" i="3" s="1"/>
  <c r="H700" i="3"/>
  <c r="K700" i="3" s="1"/>
  <c r="H708" i="3"/>
  <c r="K708" i="3" s="1"/>
  <c r="H716" i="3"/>
  <c r="K716" i="3" s="1"/>
  <c r="H724" i="3"/>
  <c r="K724" i="3" s="1"/>
  <c r="H732" i="3"/>
  <c r="K732" i="3" s="1"/>
  <c r="H740" i="3"/>
  <c r="K740" i="3" s="1"/>
  <c r="H748" i="3"/>
  <c r="K748" i="3" s="1"/>
  <c r="H756" i="3"/>
  <c r="K756" i="3" s="1"/>
  <c r="H764" i="3"/>
  <c r="K764" i="3" s="1"/>
  <c r="H772" i="3"/>
  <c r="K772" i="3" s="1"/>
  <c r="I28" i="3"/>
  <c r="L28" i="3" s="1"/>
  <c r="I53" i="3"/>
  <c r="L53" i="3" s="1"/>
  <c r="I71" i="3"/>
  <c r="L71" i="3" s="1"/>
  <c r="I90" i="3"/>
  <c r="L90" i="3" s="1"/>
  <c r="I108" i="3"/>
  <c r="L108" i="3" s="1"/>
  <c r="I124" i="3"/>
  <c r="L124" i="3" s="1"/>
  <c r="I141" i="3"/>
  <c r="L141" i="3" s="1"/>
  <c r="I157" i="3"/>
  <c r="L157" i="3" s="1"/>
  <c r="I174" i="3"/>
  <c r="L174" i="3" s="1"/>
  <c r="I194" i="3"/>
  <c r="L194" i="3" s="1"/>
  <c r="I210" i="3"/>
  <c r="L210" i="3" s="1"/>
  <c r="I227" i="3"/>
  <c r="L227" i="3" s="1"/>
  <c r="I243" i="3"/>
  <c r="L243" i="3" s="1"/>
  <c r="I260" i="3"/>
  <c r="L260" i="3" s="1"/>
  <c r="I278" i="3"/>
  <c r="L278" i="3" s="1"/>
  <c r="I294" i="3"/>
  <c r="L294" i="3" s="1"/>
  <c r="I311" i="3"/>
  <c r="L311" i="3" s="1"/>
  <c r="I327" i="3"/>
  <c r="L327" i="3" s="1"/>
  <c r="I346" i="3"/>
  <c r="L346" i="3" s="1"/>
  <c r="I364" i="3"/>
  <c r="L364" i="3" s="1"/>
  <c r="I380" i="3"/>
  <c r="L380" i="3" s="1"/>
  <c r="I397" i="3"/>
  <c r="L397" i="3" s="1"/>
  <c r="I413" i="3"/>
  <c r="L413" i="3" s="1"/>
  <c r="I430" i="3"/>
  <c r="L430" i="3" s="1"/>
  <c r="I450" i="3"/>
  <c r="L450" i="3" s="1"/>
  <c r="I37" i="3"/>
  <c r="L37" i="3" s="1"/>
  <c r="I61" i="3"/>
  <c r="L61" i="3" s="1"/>
  <c r="I78" i="3"/>
  <c r="L78" i="3" s="1"/>
  <c r="I98" i="3"/>
  <c r="L98" i="3" s="1"/>
  <c r="I114" i="3"/>
  <c r="L114" i="3" s="1"/>
  <c r="I131" i="3"/>
  <c r="L131" i="3" s="1"/>
  <c r="I147" i="3"/>
  <c r="L147" i="3" s="1"/>
  <c r="I164" i="3"/>
  <c r="L164" i="3" s="1"/>
  <c r="I182" i="3"/>
  <c r="L182" i="3" s="1"/>
  <c r="I198" i="3"/>
  <c r="L198" i="3" s="1"/>
  <c r="I215" i="3"/>
  <c r="L215" i="3" s="1"/>
  <c r="I231" i="3"/>
  <c r="L231" i="3" s="1"/>
  <c r="I250" i="3"/>
  <c r="L250" i="3" s="1"/>
  <c r="I268" i="3"/>
  <c r="L268" i="3" s="1"/>
  <c r="I284" i="3"/>
  <c r="L284" i="3" s="1"/>
  <c r="I301" i="3"/>
  <c r="L301" i="3" s="1"/>
  <c r="I317" i="3"/>
  <c r="L317" i="3" s="1"/>
  <c r="I334" i="3"/>
  <c r="L334" i="3" s="1"/>
  <c r="I354" i="3"/>
  <c r="L354" i="3" s="1"/>
  <c r="I370" i="3"/>
  <c r="L370" i="3" s="1"/>
  <c r="I387" i="3"/>
  <c r="L387" i="3" s="1"/>
  <c r="I403" i="3"/>
  <c r="L403" i="3" s="1"/>
  <c r="I420" i="3"/>
  <c r="L420" i="3" s="1"/>
  <c r="I438" i="3"/>
  <c r="L438" i="3" s="1"/>
  <c r="I454" i="3"/>
  <c r="L454" i="3" s="1"/>
  <c r="I471" i="3"/>
  <c r="L471" i="3" s="1"/>
  <c r="I487" i="3"/>
  <c r="L487" i="3" s="1"/>
  <c r="I506" i="3"/>
  <c r="L506" i="3" s="1"/>
  <c r="I524" i="3"/>
  <c r="L524" i="3" s="1"/>
  <c r="I540" i="3"/>
  <c r="L540" i="3" s="1"/>
  <c r="I557" i="3"/>
  <c r="L557" i="3" s="1"/>
  <c r="I573" i="3"/>
  <c r="L573" i="3" s="1"/>
  <c r="I590" i="3"/>
  <c r="L590" i="3" s="1"/>
  <c r="I610" i="3"/>
  <c r="L610" i="3" s="1"/>
  <c r="I626" i="3"/>
  <c r="L626" i="3" s="1"/>
  <c r="I643" i="3"/>
  <c r="L643" i="3" s="1"/>
  <c r="I659" i="3"/>
  <c r="L659" i="3" s="1"/>
  <c r="I676" i="3"/>
  <c r="L676" i="3" s="1"/>
  <c r="I694" i="3"/>
  <c r="L694" i="3" s="1"/>
  <c r="I710" i="3"/>
  <c r="L710" i="3" s="1"/>
  <c r="I727" i="3"/>
  <c r="L727" i="3" s="1"/>
  <c r="I743" i="3"/>
  <c r="L743" i="3" s="1"/>
  <c r="I762" i="3"/>
  <c r="L762" i="3" s="1"/>
  <c r="I780" i="3"/>
  <c r="L780" i="3" s="1"/>
  <c r="H34" i="3"/>
  <c r="K34" i="3" s="1"/>
  <c r="H51" i="3"/>
  <c r="K51" i="3" s="1"/>
  <c r="H67" i="3"/>
  <c r="K67" i="3" s="1"/>
  <c r="H84" i="3"/>
  <c r="K84" i="3" s="1"/>
  <c r="H104" i="3"/>
  <c r="K104" i="3" s="1"/>
  <c r="H120" i="3"/>
  <c r="K120" i="3" s="1"/>
  <c r="H137" i="3"/>
  <c r="K137" i="3" s="1"/>
  <c r="H153" i="3"/>
  <c r="K153" i="3" s="1"/>
  <c r="H170" i="3"/>
  <c r="K170" i="3" s="1"/>
  <c r="H188" i="3"/>
  <c r="K188" i="3" s="1"/>
  <c r="H204" i="3"/>
  <c r="K204" i="3" s="1"/>
  <c r="H221" i="3"/>
  <c r="K221" i="3" s="1"/>
  <c r="H234" i="3"/>
  <c r="K234" i="3" s="1"/>
  <c r="H246" i="3"/>
  <c r="K246" i="3" s="1"/>
  <c r="H257" i="3"/>
  <c r="K257" i="3" s="1"/>
  <c r="H267" i="3"/>
  <c r="K267" i="3" s="1"/>
  <c r="H278" i="3"/>
  <c r="K278" i="3" s="1"/>
  <c r="H289" i="3"/>
  <c r="K289" i="3" s="1"/>
  <c r="H299" i="3"/>
  <c r="K299" i="3" s="1"/>
  <c r="H310" i="3"/>
  <c r="K310" i="3" s="1"/>
  <c r="H321" i="3"/>
  <c r="K321" i="3" s="1"/>
  <c r="H331" i="3"/>
  <c r="K331" i="3" s="1"/>
  <c r="H342" i="3"/>
  <c r="K342" i="3" s="1"/>
  <c r="H353" i="3"/>
  <c r="K353" i="3" s="1"/>
  <c r="H363" i="3"/>
  <c r="K363" i="3" s="1"/>
  <c r="H374" i="3"/>
  <c r="K374" i="3" s="1"/>
  <c r="H385" i="3"/>
  <c r="K385" i="3" s="1"/>
  <c r="H395" i="3"/>
  <c r="K395" i="3" s="1"/>
  <c r="H406" i="3"/>
  <c r="K406" i="3" s="1"/>
  <c r="H417" i="3"/>
  <c r="K417" i="3" s="1"/>
  <c r="H427" i="3"/>
  <c r="K427" i="3" s="1"/>
  <c r="H438" i="3"/>
  <c r="K438" i="3" s="1"/>
  <c r="H449" i="3"/>
  <c r="K449" i="3" s="1"/>
  <c r="H459" i="3"/>
  <c r="K459" i="3" s="1"/>
  <c r="H470" i="3"/>
  <c r="K470" i="3" s="1"/>
  <c r="H481" i="3"/>
  <c r="K481" i="3" s="1"/>
  <c r="H491" i="3"/>
  <c r="K491" i="3" s="1"/>
  <c r="H502" i="3"/>
  <c r="K502" i="3" s="1"/>
  <c r="H513" i="3"/>
  <c r="K513" i="3" s="1"/>
  <c r="H523" i="3"/>
  <c r="K523" i="3" s="1"/>
  <c r="H534" i="3"/>
  <c r="K534" i="3" s="1"/>
  <c r="H545" i="3"/>
  <c r="K545" i="3" s="1"/>
  <c r="H555" i="3"/>
  <c r="K555" i="3" s="1"/>
  <c r="H566" i="3"/>
  <c r="K566" i="3" s="1"/>
  <c r="H577" i="3"/>
  <c r="K577" i="3" s="1"/>
  <c r="H587" i="3"/>
  <c r="K587" i="3" s="1"/>
  <c r="H598" i="3"/>
  <c r="K598" i="3" s="1"/>
  <c r="H609" i="3"/>
  <c r="K609" i="3" s="1"/>
  <c r="H619" i="3"/>
  <c r="K619" i="3" s="1"/>
  <c r="H630" i="3"/>
  <c r="K630" i="3" s="1"/>
  <c r="H641" i="3"/>
  <c r="K641" i="3" s="1"/>
  <c r="H651" i="3"/>
  <c r="K651" i="3" s="1"/>
  <c r="H662" i="3"/>
  <c r="K662" i="3" s="1"/>
  <c r="H673" i="3"/>
  <c r="K673" i="3" s="1"/>
  <c r="H683" i="3"/>
  <c r="K683" i="3" s="1"/>
  <c r="H694" i="3"/>
  <c r="K694" i="3" s="1"/>
  <c r="H705" i="3"/>
  <c r="K705" i="3" s="1"/>
  <c r="H715" i="3"/>
  <c r="K715" i="3" s="1"/>
  <c r="H726" i="3"/>
  <c r="K726" i="3" s="1"/>
  <c r="H737" i="3"/>
  <c r="K737" i="3" s="1"/>
  <c r="H747" i="3"/>
  <c r="K747" i="3" s="1"/>
  <c r="H757" i="3"/>
  <c r="K757" i="3" s="1"/>
  <c r="H766" i="3"/>
  <c r="K766" i="3" s="1"/>
  <c r="H775" i="3"/>
  <c r="K775" i="3" s="1"/>
  <c r="H783" i="3"/>
  <c r="K783" i="3" s="1"/>
  <c r="H24" i="3"/>
  <c r="K24" i="3" s="1"/>
  <c r="I38" i="3"/>
  <c r="L38" i="3" s="1"/>
  <c r="I66" i="3"/>
  <c r="L66" i="3" s="1"/>
  <c r="I82" i="3"/>
  <c r="L82" i="3" s="1"/>
  <c r="I99" i="3"/>
  <c r="L99" i="3" s="1"/>
  <c r="I115" i="3"/>
  <c r="L115" i="3" s="1"/>
  <c r="I132" i="3"/>
  <c r="L132" i="3" s="1"/>
  <c r="I150" i="3"/>
  <c r="L150" i="3" s="1"/>
  <c r="I166" i="3"/>
  <c r="L166" i="3" s="1"/>
  <c r="I183" i="3"/>
  <c r="L183" i="3" s="1"/>
  <c r="I199" i="3"/>
  <c r="L199" i="3" s="1"/>
  <c r="I218" i="3"/>
  <c r="L218" i="3" s="1"/>
  <c r="I236" i="3"/>
  <c r="L236" i="3" s="1"/>
  <c r="I252" i="3"/>
  <c r="L252" i="3" s="1"/>
  <c r="I269" i="3"/>
  <c r="L269" i="3" s="1"/>
  <c r="I285" i="3"/>
  <c r="L285" i="3" s="1"/>
  <c r="I302" i="3"/>
  <c r="L302" i="3" s="1"/>
  <c r="I322" i="3"/>
  <c r="L322" i="3" s="1"/>
  <c r="I338" i="3"/>
  <c r="L338" i="3" s="1"/>
  <c r="I355" i="3"/>
  <c r="L355" i="3" s="1"/>
  <c r="I371" i="3"/>
  <c r="L371" i="3" s="1"/>
  <c r="I388" i="3"/>
  <c r="L388" i="3" s="1"/>
  <c r="I406" i="3"/>
  <c r="L406" i="3" s="1"/>
  <c r="I422" i="3"/>
  <c r="L422" i="3" s="1"/>
  <c r="I439" i="3"/>
  <c r="L439" i="3" s="1"/>
  <c r="I44" i="3"/>
  <c r="L44" i="3" s="1"/>
  <c r="I67" i="3"/>
  <c r="L67" i="3" s="1"/>
  <c r="I83" i="3"/>
  <c r="L83" i="3" s="1"/>
  <c r="I100" i="3"/>
  <c r="L100" i="3" s="1"/>
  <c r="I118" i="3"/>
  <c r="L118" i="3" s="1"/>
  <c r="I134" i="3"/>
  <c r="L134" i="3" s="1"/>
  <c r="I151" i="3"/>
  <c r="L151" i="3" s="1"/>
  <c r="I167" i="3"/>
  <c r="L167" i="3" s="1"/>
  <c r="I186" i="3"/>
  <c r="L186" i="3" s="1"/>
  <c r="I204" i="3"/>
  <c r="L204" i="3" s="1"/>
  <c r="I220" i="3"/>
  <c r="L220" i="3" s="1"/>
  <c r="I237" i="3"/>
  <c r="L237" i="3" s="1"/>
  <c r="I253" i="3"/>
  <c r="L253" i="3" s="1"/>
  <c r="I270" i="3"/>
  <c r="L270" i="3" s="1"/>
  <c r="I290" i="3"/>
  <c r="L290" i="3" s="1"/>
  <c r="I306" i="3"/>
  <c r="L306" i="3" s="1"/>
  <c r="I323" i="3"/>
  <c r="L323" i="3" s="1"/>
  <c r="I339" i="3"/>
  <c r="L339" i="3" s="1"/>
  <c r="I356" i="3"/>
  <c r="L356" i="3" s="1"/>
  <c r="I374" i="3"/>
  <c r="L374" i="3" s="1"/>
  <c r="I390" i="3"/>
  <c r="L390" i="3" s="1"/>
  <c r="I407" i="3"/>
  <c r="L407" i="3" s="1"/>
  <c r="I423" i="3"/>
  <c r="L423" i="3" s="1"/>
  <c r="I442" i="3"/>
  <c r="L442" i="3" s="1"/>
  <c r="I460" i="3"/>
  <c r="L460" i="3" s="1"/>
  <c r="I476" i="3"/>
  <c r="L476" i="3" s="1"/>
  <c r="I493" i="3"/>
  <c r="L493" i="3" s="1"/>
  <c r="I509" i="3"/>
  <c r="L509" i="3" s="1"/>
  <c r="I526" i="3"/>
  <c r="L526" i="3" s="1"/>
  <c r="I546" i="3"/>
  <c r="L546" i="3" s="1"/>
  <c r="I562" i="3"/>
  <c r="L562" i="3" s="1"/>
  <c r="I579" i="3"/>
  <c r="L579" i="3" s="1"/>
  <c r="I595" i="3"/>
  <c r="L595" i="3" s="1"/>
  <c r="I612" i="3"/>
  <c r="L612" i="3" s="1"/>
  <c r="I630" i="3"/>
  <c r="L630" i="3" s="1"/>
  <c r="I646" i="3"/>
  <c r="L646" i="3" s="1"/>
  <c r="I663" i="3"/>
  <c r="L663" i="3" s="1"/>
  <c r="I679" i="3"/>
  <c r="L679" i="3" s="1"/>
  <c r="I698" i="3"/>
  <c r="L698" i="3" s="1"/>
  <c r="I716" i="3"/>
  <c r="L716" i="3" s="1"/>
  <c r="I732" i="3"/>
  <c r="L732" i="3" s="1"/>
  <c r="I749" i="3"/>
  <c r="L749" i="3" s="1"/>
  <c r="I765" i="3"/>
  <c r="L765" i="3" s="1"/>
  <c r="I782" i="3"/>
  <c r="L782" i="3" s="1"/>
  <c r="H40" i="3"/>
  <c r="K40" i="3" s="1"/>
  <c r="H56" i="3"/>
  <c r="K56" i="3" s="1"/>
  <c r="H73" i="3"/>
  <c r="K73" i="3" s="1"/>
  <c r="H89" i="3"/>
  <c r="K89" i="3" s="1"/>
  <c r="H106" i="3"/>
  <c r="K106" i="3" s="1"/>
  <c r="H124" i="3"/>
  <c r="K124" i="3" s="1"/>
  <c r="H140" i="3"/>
  <c r="K140" i="3" s="1"/>
  <c r="H157" i="3"/>
  <c r="K157" i="3" s="1"/>
  <c r="H173" i="3"/>
  <c r="K173" i="3" s="1"/>
  <c r="H192" i="3"/>
  <c r="K192" i="3" s="1"/>
  <c r="H210" i="3"/>
  <c r="K210" i="3" s="1"/>
  <c r="H225" i="3"/>
  <c r="K225" i="3" s="1"/>
  <c r="H238" i="3"/>
  <c r="K238" i="3" s="1"/>
  <c r="H249" i="3"/>
  <c r="K249" i="3" s="1"/>
  <c r="H259" i="3"/>
  <c r="K259" i="3" s="1"/>
  <c r="H270" i="3"/>
  <c r="K270" i="3" s="1"/>
  <c r="H281" i="3"/>
  <c r="K281" i="3" s="1"/>
  <c r="H291" i="3"/>
  <c r="K291" i="3" s="1"/>
  <c r="H302" i="3"/>
  <c r="K302" i="3" s="1"/>
  <c r="H313" i="3"/>
  <c r="K313" i="3" s="1"/>
  <c r="H323" i="3"/>
  <c r="K323" i="3" s="1"/>
  <c r="H334" i="3"/>
  <c r="K334" i="3" s="1"/>
  <c r="H345" i="3"/>
  <c r="K345" i="3" s="1"/>
  <c r="H355" i="3"/>
  <c r="K355" i="3" s="1"/>
  <c r="H366" i="3"/>
  <c r="K366" i="3" s="1"/>
  <c r="H377" i="3"/>
  <c r="K377" i="3" s="1"/>
  <c r="H387" i="3"/>
  <c r="K387" i="3" s="1"/>
  <c r="H398" i="3"/>
  <c r="K398" i="3" s="1"/>
  <c r="H409" i="3"/>
  <c r="K409" i="3" s="1"/>
  <c r="H419" i="3"/>
  <c r="K419" i="3" s="1"/>
  <c r="H430" i="3"/>
  <c r="K430" i="3" s="1"/>
  <c r="H441" i="3"/>
  <c r="K441" i="3" s="1"/>
  <c r="H451" i="3"/>
  <c r="K451" i="3" s="1"/>
  <c r="H462" i="3"/>
  <c r="K462" i="3" s="1"/>
  <c r="H473" i="3"/>
  <c r="K473" i="3" s="1"/>
  <c r="H483" i="3"/>
  <c r="K483" i="3" s="1"/>
  <c r="H494" i="3"/>
  <c r="K494" i="3" s="1"/>
  <c r="H505" i="3"/>
  <c r="K505" i="3" s="1"/>
  <c r="H515" i="3"/>
  <c r="K515" i="3" s="1"/>
  <c r="H526" i="3"/>
  <c r="K526" i="3" s="1"/>
  <c r="H537" i="3"/>
  <c r="K537" i="3" s="1"/>
  <c r="H547" i="3"/>
  <c r="K547" i="3" s="1"/>
  <c r="H558" i="3"/>
  <c r="K558" i="3" s="1"/>
  <c r="H569" i="3"/>
  <c r="K569" i="3" s="1"/>
  <c r="H579" i="3"/>
  <c r="K579" i="3" s="1"/>
  <c r="H590" i="3"/>
  <c r="K590" i="3" s="1"/>
  <c r="H601" i="3"/>
  <c r="K601" i="3" s="1"/>
  <c r="H611" i="3"/>
  <c r="K611" i="3" s="1"/>
  <c r="H622" i="3"/>
  <c r="K622" i="3" s="1"/>
  <c r="H633" i="3"/>
  <c r="K633" i="3" s="1"/>
  <c r="H643" i="3"/>
  <c r="K643" i="3" s="1"/>
  <c r="H654" i="3"/>
  <c r="K654" i="3" s="1"/>
  <c r="H665" i="3"/>
  <c r="K665" i="3" s="1"/>
  <c r="H675" i="3"/>
  <c r="K675" i="3" s="1"/>
  <c r="H686" i="3"/>
  <c r="K686" i="3" s="1"/>
  <c r="H697" i="3"/>
  <c r="K697" i="3" s="1"/>
  <c r="H707" i="3"/>
  <c r="K707" i="3" s="1"/>
  <c r="H718" i="3"/>
  <c r="K718" i="3" s="1"/>
  <c r="H729" i="3"/>
  <c r="K729" i="3" s="1"/>
  <c r="H739" i="3"/>
  <c r="K739" i="3" s="1"/>
  <c r="H750" i="3"/>
  <c r="K750" i="3" s="1"/>
  <c r="H759" i="3"/>
  <c r="K759" i="3" s="1"/>
  <c r="H768" i="3"/>
  <c r="K768" i="3" s="1"/>
  <c r="H777" i="3"/>
  <c r="K777" i="3" s="1"/>
  <c r="H785" i="3"/>
  <c r="K785" i="3" s="1"/>
  <c r="H26" i="3"/>
  <c r="K26" i="3" s="1"/>
  <c r="I45" i="3"/>
  <c r="L45" i="3" s="1"/>
  <c r="I68" i="3"/>
  <c r="L68" i="3" s="1"/>
  <c r="I86" i="3"/>
  <c r="L86" i="3" s="1"/>
  <c r="I102" i="3"/>
  <c r="L102" i="3" s="1"/>
  <c r="I119" i="3"/>
  <c r="L119" i="3" s="1"/>
  <c r="I135" i="3"/>
  <c r="L135" i="3" s="1"/>
  <c r="I154" i="3"/>
  <c r="L154" i="3" s="1"/>
  <c r="I172" i="3"/>
  <c r="L172" i="3" s="1"/>
  <c r="I188" i="3"/>
  <c r="L188" i="3" s="1"/>
  <c r="I205" i="3"/>
  <c r="L205" i="3" s="1"/>
  <c r="I221" i="3"/>
  <c r="L221" i="3" s="1"/>
  <c r="I238" i="3"/>
  <c r="L238" i="3" s="1"/>
  <c r="I258" i="3"/>
  <c r="L258" i="3" s="1"/>
  <c r="I274" i="3"/>
  <c r="L274" i="3" s="1"/>
  <c r="I291" i="3"/>
  <c r="L291" i="3" s="1"/>
  <c r="I307" i="3"/>
  <c r="L307" i="3" s="1"/>
  <c r="I324" i="3"/>
  <c r="L324" i="3" s="1"/>
  <c r="I342" i="3"/>
  <c r="L342" i="3" s="1"/>
  <c r="I358" i="3"/>
  <c r="L358" i="3" s="1"/>
  <c r="I375" i="3"/>
  <c r="L375" i="3" s="1"/>
  <c r="I391" i="3"/>
  <c r="L391" i="3" s="1"/>
  <c r="I410" i="3"/>
  <c r="L410" i="3" s="1"/>
  <c r="I428" i="3"/>
  <c r="L428" i="3" s="1"/>
  <c r="I444" i="3"/>
  <c r="L444" i="3" s="1"/>
  <c r="I461" i="3"/>
  <c r="L461" i="3" s="1"/>
  <c r="I477" i="3"/>
  <c r="L477" i="3" s="1"/>
  <c r="I494" i="3"/>
  <c r="L494" i="3" s="1"/>
  <c r="I514" i="3"/>
  <c r="L514" i="3" s="1"/>
  <c r="I530" i="3"/>
  <c r="L530" i="3" s="1"/>
  <c r="I547" i="3"/>
  <c r="L547" i="3" s="1"/>
  <c r="I563" i="3"/>
  <c r="L563" i="3" s="1"/>
  <c r="I580" i="3"/>
  <c r="L580" i="3" s="1"/>
  <c r="I598" i="3"/>
  <c r="L598" i="3" s="1"/>
  <c r="I614" i="3"/>
  <c r="L614" i="3" s="1"/>
  <c r="I631" i="3"/>
  <c r="L631" i="3" s="1"/>
  <c r="I647" i="3"/>
  <c r="L647" i="3" s="1"/>
  <c r="I666" i="3"/>
  <c r="L666" i="3" s="1"/>
  <c r="I684" i="3"/>
  <c r="L684" i="3" s="1"/>
  <c r="I700" i="3"/>
  <c r="L700" i="3" s="1"/>
  <c r="I717" i="3"/>
  <c r="L717" i="3" s="1"/>
  <c r="I733" i="3"/>
  <c r="L733" i="3" s="1"/>
  <c r="I750" i="3"/>
  <c r="L750" i="3" s="1"/>
  <c r="I770" i="3"/>
  <c r="L770" i="3" s="1"/>
  <c r="I786" i="3"/>
  <c r="L786" i="3" s="1"/>
  <c r="H41" i="3"/>
  <c r="K41" i="3" s="1"/>
  <c r="H57" i="3"/>
  <c r="K57" i="3" s="1"/>
  <c r="H74" i="3"/>
  <c r="K74" i="3" s="1"/>
  <c r="H92" i="3"/>
  <c r="K92" i="3" s="1"/>
  <c r="H108" i="3"/>
  <c r="K108" i="3" s="1"/>
  <c r="H125" i="3"/>
  <c r="K125" i="3" s="1"/>
  <c r="H141" i="3"/>
  <c r="K141" i="3" s="1"/>
  <c r="H160" i="3"/>
  <c r="K160" i="3" s="1"/>
  <c r="H178" i="3"/>
  <c r="K178" i="3" s="1"/>
  <c r="H194" i="3"/>
  <c r="K194" i="3" s="1"/>
  <c r="H211" i="3"/>
  <c r="K211" i="3" s="1"/>
  <c r="H226" i="3"/>
  <c r="K226" i="3" s="1"/>
  <c r="H239" i="3"/>
  <c r="K239" i="3" s="1"/>
  <c r="H250" i="3"/>
  <c r="K250" i="3" s="1"/>
  <c r="H261" i="3"/>
  <c r="K261" i="3" s="1"/>
  <c r="H271" i="3"/>
  <c r="K271" i="3" s="1"/>
  <c r="H282" i="3"/>
  <c r="K282" i="3" s="1"/>
  <c r="H293" i="3"/>
  <c r="K293" i="3" s="1"/>
  <c r="H303" i="3"/>
  <c r="K303" i="3" s="1"/>
  <c r="H314" i="3"/>
  <c r="K314" i="3" s="1"/>
  <c r="H325" i="3"/>
  <c r="K325" i="3" s="1"/>
  <c r="H335" i="3"/>
  <c r="K335" i="3" s="1"/>
  <c r="H346" i="3"/>
  <c r="K346" i="3" s="1"/>
  <c r="H357" i="3"/>
  <c r="K357" i="3" s="1"/>
  <c r="H367" i="3"/>
  <c r="K367" i="3" s="1"/>
  <c r="H378" i="3"/>
  <c r="K378" i="3" s="1"/>
  <c r="H389" i="3"/>
  <c r="K389" i="3" s="1"/>
  <c r="H399" i="3"/>
  <c r="K399" i="3" s="1"/>
  <c r="H410" i="3"/>
  <c r="K410" i="3" s="1"/>
  <c r="H421" i="3"/>
  <c r="K421" i="3" s="1"/>
  <c r="H431" i="3"/>
  <c r="K431" i="3" s="1"/>
  <c r="H442" i="3"/>
  <c r="K442" i="3" s="1"/>
  <c r="H453" i="3"/>
  <c r="K453" i="3" s="1"/>
  <c r="H463" i="3"/>
  <c r="K463" i="3" s="1"/>
  <c r="H474" i="3"/>
  <c r="K474" i="3" s="1"/>
  <c r="H485" i="3"/>
  <c r="K485" i="3" s="1"/>
  <c r="H495" i="3"/>
  <c r="K495" i="3" s="1"/>
  <c r="H506" i="3"/>
  <c r="K506" i="3" s="1"/>
  <c r="H517" i="3"/>
  <c r="K517" i="3" s="1"/>
  <c r="H527" i="3"/>
  <c r="K527" i="3" s="1"/>
  <c r="H538" i="3"/>
  <c r="K538" i="3" s="1"/>
  <c r="H549" i="3"/>
  <c r="K549" i="3" s="1"/>
  <c r="H559" i="3"/>
  <c r="K559" i="3" s="1"/>
  <c r="H570" i="3"/>
  <c r="K570" i="3" s="1"/>
  <c r="H581" i="3"/>
  <c r="K581" i="3" s="1"/>
  <c r="H591" i="3"/>
  <c r="K591" i="3" s="1"/>
  <c r="H602" i="3"/>
  <c r="K602" i="3" s="1"/>
  <c r="H613" i="3"/>
  <c r="K613" i="3" s="1"/>
  <c r="H623" i="3"/>
  <c r="K623" i="3" s="1"/>
  <c r="H634" i="3"/>
  <c r="K634" i="3" s="1"/>
  <c r="H645" i="3"/>
  <c r="K645" i="3" s="1"/>
  <c r="H655" i="3"/>
  <c r="K655" i="3" s="1"/>
  <c r="H666" i="3"/>
  <c r="K666" i="3" s="1"/>
  <c r="H677" i="3"/>
  <c r="K677" i="3" s="1"/>
  <c r="H687" i="3"/>
  <c r="K687" i="3" s="1"/>
  <c r="H698" i="3"/>
  <c r="K698" i="3" s="1"/>
  <c r="H709" i="3"/>
  <c r="K709" i="3" s="1"/>
  <c r="H719" i="3"/>
  <c r="K719" i="3" s="1"/>
  <c r="H730" i="3"/>
  <c r="K730" i="3" s="1"/>
  <c r="H741" i="3"/>
  <c r="K741" i="3" s="1"/>
  <c r="H751" i="3"/>
  <c r="K751" i="3" s="1"/>
  <c r="H760" i="3"/>
  <c r="K760" i="3" s="1"/>
  <c r="H769" i="3"/>
  <c r="K769" i="3" s="1"/>
  <c r="H778" i="3"/>
  <c r="K778" i="3" s="1"/>
  <c r="H786" i="3"/>
  <c r="K786" i="3" s="1"/>
  <c r="H27" i="3"/>
  <c r="K27" i="3" s="1"/>
  <c r="I60" i="3"/>
  <c r="L60" i="3" s="1"/>
  <c r="I109" i="3"/>
  <c r="L109" i="3" s="1"/>
  <c r="I156" i="3"/>
  <c r="L156" i="3" s="1"/>
  <c r="I196" i="3"/>
  <c r="L196" i="3" s="1"/>
  <c r="I246" i="3"/>
  <c r="L246" i="3" s="1"/>
  <c r="I292" i="3"/>
  <c r="L292" i="3" s="1"/>
  <c r="I333" i="3"/>
  <c r="L333" i="3" s="1"/>
  <c r="I381" i="3"/>
  <c r="L381" i="3" s="1"/>
  <c r="I429" i="3"/>
  <c r="L429" i="3" s="1"/>
  <c r="I466" i="3"/>
  <c r="L466" i="3" s="1"/>
  <c r="I492" i="3"/>
  <c r="L492" i="3" s="1"/>
  <c r="I518" i="3"/>
  <c r="L518" i="3" s="1"/>
  <c r="I548" i="3"/>
  <c r="L548" i="3" s="1"/>
  <c r="I572" i="3"/>
  <c r="L572" i="3" s="1"/>
  <c r="I602" i="3"/>
  <c r="L602" i="3" s="1"/>
  <c r="I627" i="3"/>
  <c r="L627" i="3" s="1"/>
  <c r="I654" i="3"/>
  <c r="L654" i="3" s="1"/>
  <c r="I685" i="3"/>
  <c r="L685" i="3" s="1"/>
  <c r="I708" i="3"/>
  <c r="L708" i="3" s="1"/>
  <c r="I739" i="3"/>
  <c r="L739" i="3" s="1"/>
  <c r="I764" i="3"/>
  <c r="L764" i="3" s="1"/>
  <c r="H29" i="3"/>
  <c r="K29" i="3" s="1"/>
  <c r="H60" i="3"/>
  <c r="K60" i="3" s="1"/>
  <c r="H83" i="3"/>
  <c r="K83" i="3" s="1"/>
  <c r="H114" i="3"/>
  <c r="K114" i="3" s="1"/>
  <c r="H138" i="3"/>
  <c r="K138" i="3" s="1"/>
  <c r="H168" i="3"/>
  <c r="K168" i="3" s="1"/>
  <c r="H195" i="3"/>
  <c r="K195" i="3" s="1"/>
  <c r="H220" i="3"/>
  <c r="K220" i="3" s="1"/>
  <c r="H242" i="3"/>
  <c r="K242" i="3" s="1"/>
  <c r="H258" i="3"/>
  <c r="K258" i="3" s="1"/>
  <c r="H275" i="3"/>
  <c r="K275" i="3" s="1"/>
  <c r="H294" i="3"/>
  <c r="K294" i="3" s="1"/>
  <c r="H309" i="3"/>
  <c r="K309" i="3" s="1"/>
  <c r="H327" i="3"/>
  <c r="K327" i="3" s="1"/>
  <c r="H343" i="3"/>
  <c r="K343" i="3" s="1"/>
  <c r="H361" i="3"/>
  <c r="K361" i="3" s="1"/>
  <c r="H379" i="3"/>
  <c r="K379" i="3" s="1"/>
  <c r="H394" i="3"/>
  <c r="K394" i="3" s="1"/>
  <c r="H413" i="3"/>
  <c r="K413" i="3" s="1"/>
  <c r="H429" i="3"/>
  <c r="K429" i="3" s="1"/>
  <c r="H446" i="3"/>
  <c r="K446" i="3" s="1"/>
  <c r="H465" i="3"/>
  <c r="K465" i="3" s="1"/>
  <c r="H479" i="3"/>
  <c r="K479" i="3" s="1"/>
  <c r="H498" i="3"/>
  <c r="K498" i="3" s="1"/>
  <c r="H514" i="3"/>
  <c r="K514" i="3" s="1"/>
  <c r="H531" i="3"/>
  <c r="K531" i="3" s="1"/>
  <c r="H550" i="3"/>
  <c r="K550" i="3" s="1"/>
  <c r="H565" i="3"/>
  <c r="K565" i="3" s="1"/>
  <c r="H583" i="3"/>
  <c r="K583" i="3" s="1"/>
  <c r="H599" i="3"/>
  <c r="K599" i="3" s="1"/>
  <c r="H617" i="3"/>
  <c r="K617" i="3" s="1"/>
  <c r="H635" i="3"/>
  <c r="K635" i="3" s="1"/>
  <c r="H650" i="3"/>
  <c r="K650" i="3" s="1"/>
  <c r="H669" i="3"/>
  <c r="K669" i="3" s="1"/>
  <c r="H685" i="3"/>
  <c r="K685" i="3" s="1"/>
  <c r="H702" i="3"/>
  <c r="K702" i="3" s="1"/>
  <c r="H721" i="3"/>
  <c r="K721" i="3" s="1"/>
  <c r="H735" i="3"/>
  <c r="K735" i="3" s="1"/>
  <c r="H753" i="3"/>
  <c r="K753" i="3" s="1"/>
  <c r="H767" i="3"/>
  <c r="K767" i="3" s="1"/>
  <c r="H781" i="3"/>
  <c r="K781" i="3" s="1"/>
  <c r="H28" i="3"/>
  <c r="K28" i="3" s="1"/>
  <c r="I70" i="3"/>
  <c r="L70" i="3" s="1"/>
  <c r="I110" i="3"/>
  <c r="L110" i="3" s="1"/>
  <c r="I162" i="3"/>
  <c r="L162" i="3" s="1"/>
  <c r="I206" i="3"/>
  <c r="L206" i="3" s="1"/>
  <c r="I247" i="3"/>
  <c r="L247" i="3" s="1"/>
  <c r="I295" i="3"/>
  <c r="L295" i="3" s="1"/>
  <c r="I343" i="3"/>
  <c r="L343" i="3" s="1"/>
  <c r="I386" i="3"/>
  <c r="L386" i="3" s="1"/>
  <c r="I434" i="3"/>
  <c r="L434" i="3" s="1"/>
  <c r="I467" i="3"/>
  <c r="L467" i="3" s="1"/>
  <c r="I498" i="3"/>
  <c r="L498" i="3" s="1"/>
  <c r="I519" i="3"/>
  <c r="L519" i="3" s="1"/>
  <c r="I550" i="3"/>
  <c r="L550" i="3" s="1"/>
  <c r="I578" i="3"/>
  <c r="L578" i="3" s="1"/>
  <c r="I604" i="3"/>
  <c r="L604" i="3" s="1"/>
  <c r="I634" i="3"/>
  <c r="L634" i="3" s="1"/>
  <c r="I658" i="3"/>
  <c r="L658" i="3" s="1"/>
  <c r="I686" i="3"/>
  <c r="L686" i="3" s="1"/>
  <c r="I711" i="3"/>
  <c r="L711" i="3" s="1"/>
  <c r="I740" i="3"/>
  <c r="L740" i="3" s="1"/>
  <c r="I771" i="3"/>
  <c r="L771" i="3" s="1"/>
  <c r="H32" i="3"/>
  <c r="K32" i="3" s="1"/>
  <c r="H61" i="3"/>
  <c r="K61" i="3" s="1"/>
  <c r="H88" i="3"/>
  <c r="K88" i="3" s="1"/>
  <c r="H115" i="3"/>
  <c r="K115" i="3" s="1"/>
  <c r="H146" i="3"/>
  <c r="K146" i="3" s="1"/>
  <c r="H169" i="3"/>
  <c r="K169" i="3" s="1"/>
  <c r="H200" i="3"/>
  <c r="K200" i="3" s="1"/>
  <c r="H223" i="3"/>
  <c r="K223" i="3" s="1"/>
  <c r="H243" i="3"/>
  <c r="K243" i="3" s="1"/>
  <c r="H262" i="3"/>
  <c r="K262" i="3" s="1"/>
  <c r="H277" i="3"/>
  <c r="K277" i="3" s="1"/>
  <c r="H295" i="3"/>
  <c r="K295" i="3" s="1"/>
  <c r="H311" i="3"/>
  <c r="K311" i="3" s="1"/>
  <c r="H329" i="3"/>
  <c r="K329" i="3" s="1"/>
  <c r="H347" i="3"/>
  <c r="K347" i="3" s="1"/>
  <c r="H362" i="3"/>
  <c r="K362" i="3" s="1"/>
  <c r="H381" i="3"/>
  <c r="K381" i="3" s="1"/>
  <c r="H397" i="3"/>
  <c r="K397" i="3" s="1"/>
  <c r="H414" i="3"/>
  <c r="K414" i="3" s="1"/>
  <c r="H433" i="3"/>
  <c r="K433" i="3" s="1"/>
  <c r="H447" i="3"/>
  <c r="K447" i="3" s="1"/>
  <c r="H466" i="3"/>
  <c r="K466" i="3" s="1"/>
  <c r="H482" i="3"/>
  <c r="K482" i="3" s="1"/>
  <c r="H499" i="3"/>
  <c r="K499" i="3" s="1"/>
  <c r="H518" i="3"/>
  <c r="K518" i="3" s="1"/>
  <c r="H533" i="3"/>
  <c r="K533" i="3" s="1"/>
  <c r="H551" i="3"/>
  <c r="K551" i="3" s="1"/>
  <c r="H567" i="3"/>
  <c r="K567" i="3" s="1"/>
  <c r="H585" i="3"/>
  <c r="K585" i="3" s="1"/>
  <c r="H603" i="3"/>
  <c r="K603" i="3" s="1"/>
  <c r="H618" i="3"/>
  <c r="K618" i="3" s="1"/>
  <c r="H637" i="3"/>
  <c r="K637" i="3" s="1"/>
  <c r="H653" i="3"/>
  <c r="K653" i="3" s="1"/>
  <c r="H670" i="3"/>
  <c r="K670" i="3" s="1"/>
  <c r="H689" i="3"/>
  <c r="K689" i="3" s="1"/>
  <c r="H703" i="3"/>
  <c r="K703" i="3" s="1"/>
  <c r="H722" i="3"/>
  <c r="K722" i="3" s="1"/>
  <c r="H738" i="3"/>
  <c r="K738" i="3" s="1"/>
  <c r="H754" i="3"/>
  <c r="K754" i="3" s="1"/>
  <c r="H770" i="3"/>
  <c r="K770" i="3" s="1"/>
  <c r="H782" i="3"/>
  <c r="K782" i="3" s="1"/>
  <c r="H22" i="3"/>
  <c r="K22" i="3" s="1"/>
  <c r="I76" i="3"/>
  <c r="L76" i="3" s="1"/>
  <c r="I122" i="3"/>
  <c r="L122" i="3" s="1"/>
  <c r="I163" i="3"/>
  <c r="L163" i="3" s="1"/>
  <c r="I211" i="3"/>
  <c r="L211" i="3" s="1"/>
  <c r="I259" i="3"/>
  <c r="L259" i="3" s="1"/>
  <c r="I300" i="3"/>
  <c r="L300" i="3" s="1"/>
  <c r="I348" i="3"/>
  <c r="L348" i="3" s="1"/>
  <c r="I396" i="3"/>
  <c r="L396" i="3" s="1"/>
  <c r="I435" i="3"/>
  <c r="L435" i="3" s="1"/>
  <c r="I470" i="3"/>
  <c r="L470" i="3" s="1"/>
  <c r="I499" i="3"/>
  <c r="L499" i="3" s="1"/>
  <c r="I525" i="3"/>
  <c r="L525" i="3" s="1"/>
  <c r="I551" i="3"/>
  <c r="L551" i="3" s="1"/>
  <c r="I582" i="3"/>
  <c r="L582" i="3" s="1"/>
  <c r="I605" i="3"/>
  <c r="L605" i="3" s="1"/>
  <c r="I636" i="3"/>
  <c r="L636" i="3" s="1"/>
  <c r="I662" i="3"/>
  <c r="L662" i="3" s="1"/>
  <c r="I690" i="3"/>
  <c r="L690" i="3" s="1"/>
  <c r="I718" i="3"/>
  <c r="L718" i="3" s="1"/>
  <c r="I742" i="3"/>
  <c r="L742" i="3" s="1"/>
  <c r="I772" i="3"/>
  <c r="L772" i="3" s="1"/>
  <c r="H35" i="3"/>
  <c r="K35" i="3" s="1"/>
  <c r="H64" i="3"/>
  <c r="K64" i="3" s="1"/>
  <c r="H93" i="3"/>
  <c r="K93" i="3" s="1"/>
  <c r="H116" i="3"/>
  <c r="K116" i="3" s="1"/>
  <c r="H147" i="3"/>
  <c r="K147" i="3" s="1"/>
  <c r="H172" i="3"/>
  <c r="K172" i="3" s="1"/>
  <c r="H201" i="3"/>
  <c r="K201" i="3" s="1"/>
  <c r="H229" i="3"/>
  <c r="K229" i="3" s="1"/>
  <c r="H245" i="3"/>
  <c r="K245" i="3" s="1"/>
  <c r="H263" i="3"/>
  <c r="K263" i="3" s="1"/>
  <c r="H279" i="3"/>
  <c r="K279" i="3" s="1"/>
  <c r="H297" i="3"/>
  <c r="K297" i="3" s="1"/>
  <c r="H315" i="3"/>
  <c r="K315" i="3" s="1"/>
  <c r="H330" i="3"/>
  <c r="K330" i="3" s="1"/>
  <c r="H349" i="3"/>
  <c r="K349" i="3" s="1"/>
  <c r="H365" i="3"/>
  <c r="K365" i="3" s="1"/>
  <c r="H382" i="3"/>
  <c r="K382" i="3" s="1"/>
  <c r="H401" i="3"/>
  <c r="K401" i="3" s="1"/>
  <c r="H415" i="3"/>
  <c r="K415" i="3" s="1"/>
  <c r="H434" i="3"/>
  <c r="K434" i="3" s="1"/>
  <c r="H450" i="3"/>
  <c r="K450" i="3" s="1"/>
  <c r="H467" i="3"/>
  <c r="K467" i="3" s="1"/>
  <c r="H486" i="3"/>
  <c r="K486" i="3" s="1"/>
  <c r="H501" i="3"/>
  <c r="K501" i="3" s="1"/>
  <c r="H519" i="3"/>
  <c r="K519" i="3" s="1"/>
  <c r="H535" i="3"/>
  <c r="K535" i="3" s="1"/>
  <c r="H553" i="3"/>
  <c r="K553" i="3" s="1"/>
  <c r="H571" i="3"/>
  <c r="K571" i="3" s="1"/>
  <c r="H586" i="3"/>
  <c r="K586" i="3" s="1"/>
  <c r="H605" i="3"/>
  <c r="K605" i="3" s="1"/>
  <c r="H621" i="3"/>
  <c r="K621" i="3" s="1"/>
  <c r="H638" i="3"/>
  <c r="K638" i="3" s="1"/>
  <c r="H657" i="3"/>
  <c r="K657" i="3" s="1"/>
  <c r="H671" i="3"/>
  <c r="K671" i="3" s="1"/>
  <c r="H690" i="3"/>
  <c r="K690" i="3" s="1"/>
  <c r="H706" i="3"/>
  <c r="K706" i="3" s="1"/>
  <c r="H723" i="3"/>
  <c r="K723" i="3" s="1"/>
  <c r="H742" i="3"/>
  <c r="K742" i="3" s="1"/>
  <c r="H755" i="3"/>
  <c r="K755" i="3" s="1"/>
  <c r="H771" i="3"/>
  <c r="K771" i="3" s="1"/>
  <c r="H784" i="3"/>
  <c r="K784" i="3" s="1"/>
  <c r="I502" i="3"/>
  <c r="L502" i="3" s="1"/>
  <c r="H350" i="3"/>
  <c r="K350" i="3" s="1"/>
  <c r="H435" i="3"/>
  <c r="K435" i="3" s="1"/>
  <c r="H503" i="3"/>
  <c r="K503" i="3" s="1"/>
  <c r="H554" i="3"/>
  <c r="K554" i="3" s="1"/>
  <c r="H589" i="3"/>
  <c r="K589" i="3" s="1"/>
  <c r="H625" i="3"/>
  <c r="K625" i="3" s="1"/>
  <c r="H658" i="3"/>
  <c r="K658" i="3" s="1"/>
  <c r="H691" i="3"/>
  <c r="K691" i="3" s="1"/>
  <c r="H725" i="3"/>
  <c r="K725" i="3" s="1"/>
  <c r="H758" i="3"/>
  <c r="K758" i="3" s="1"/>
  <c r="H787" i="3"/>
  <c r="K787" i="3" s="1"/>
  <c r="I77" i="3"/>
  <c r="L77" i="3" s="1"/>
  <c r="I125" i="3"/>
  <c r="L125" i="3" s="1"/>
  <c r="I173" i="3"/>
  <c r="L173" i="3" s="1"/>
  <c r="I214" i="3"/>
  <c r="L214" i="3" s="1"/>
  <c r="I262" i="3"/>
  <c r="L262" i="3" s="1"/>
  <c r="I310" i="3"/>
  <c r="L310" i="3" s="1"/>
  <c r="I349" i="3"/>
  <c r="L349" i="3" s="1"/>
  <c r="I398" i="3"/>
  <c r="L398" i="3" s="1"/>
  <c r="I445" i="3"/>
  <c r="L445" i="3" s="1"/>
  <c r="I474" i="3"/>
  <c r="L474" i="3" s="1"/>
  <c r="I531" i="3"/>
  <c r="L531" i="3" s="1"/>
  <c r="I556" i="3"/>
  <c r="L556" i="3" s="1"/>
  <c r="I583" i="3"/>
  <c r="L583" i="3" s="1"/>
  <c r="I611" i="3"/>
  <c r="L611" i="3" s="1"/>
  <c r="I637" i="3"/>
  <c r="L637" i="3" s="1"/>
  <c r="I668" i="3"/>
  <c r="L668" i="3" s="1"/>
  <c r="I691" i="3"/>
  <c r="L691" i="3" s="1"/>
  <c r="I722" i="3"/>
  <c r="L722" i="3" s="1"/>
  <c r="I748" i="3"/>
  <c r="L748" i="3" s="1"/>
  <c r="I774" i="3"/>
  <c r="L774" i="3" s="1"/>
  <c r="H42" i="3"/>
  <c r="K42" i="3" s="1"/>
  <c r="H66" i="3"/>
  <c r="K66" i="3" s="1"/>
  <c r="H96" i="3"/>
  <c r="K96" i="3" s="1"/>
  <c r="H121" i="3"/>
  <c r="K121" i="3" s="1"/>
  <c r="H148" i="3"/>
  <c r="K148" i="3" s="1"/>
  <c r="H179" i="3"/>
  <c r="K179" i="3" s="1"/>
  <c r="H202" i="3"/>
  <c r="K202" i="3" s="1"/>
  <c r="H230" i="3"/>
  <c r="K230" i="3" s="1"/>
  <c r="H247" i="3"/>
  <c r="K247" i="3" s="1"/>
  <c r="H265" i="3"/>
  <c r="K265" i="3" s="1"/>
  <c r="H283" i="3"/>
  <c r="K283" i="3" s="1"/>
  <c r="H298" i="3"/>
  <c r="K298" i="3" s="1"/>
  <c r="H317" i="3"/>
  <c r="K317" i="3" s="1"/>
  <c r="H333" i="3"/>
  <c r="K333" i="3" s="1"/>
  <c r="H369" i="3"/>
  <c r="K369" i="3" s="1"/>
  <c r="H383" i="3"/>
  <c r="K383" i="3" s="1"/>
  <c r="H402" i="3"/>
  <c r="K402" i="3" s="1"/>
  <c r="H418" i="3"/>
  <c r="K418" i="3" s="1"/>
  <c r="H454" i="3"/>
  <c r="K454" i="3" s="1"/>
  <c r="H469" i="3"/>
  <c r="K469" i="3" s="1"/>
  <c r="H487" i="3"/>
  <c r="K487" i="3" s="1"/>
  <c r="H521" i="3"/>
  <c r="K521" i="3" s="1"/>
  <c r="H539" i="3"/>
  <c r="K539" i="3" s="1"/>
  <c r="H573" i="3"/>
  <c r="K573" i="3" s="1"/>
  <c r="H606" i="3"/>
  <c r="K606" i="3" s="1"/>
  <c r="H639" i="3"/>
  <c r="K639" i="3" s="1"/>
  <c r="H674" i="3"/>
  <c r="K674" i="3" s="1"/>
  <c r="H710" i="3"/>
  <c r="K710" i="3" s="1"/>
  <c r="H743" i="3"/>
  <c r="K743" i="3" s="1"/>
  <c r="H773" i="3"/>
  <c r="K773" i="3" s="1"/>
  <c r="I29" i="3"/>
  <c r="L29" i="3" s="1"/>
  <c r="I87" i="3"/>
  <c r="L87" i="3" s="1"/>
  <c r="I130" i="3"/>
  <c r="L130" i="3" s="1"/>
  <c r="I178" i="3"/>
  <c r="L178" i="3" s="1"/>
  <c r="I226" i="3"/>
  <c r="L226" i="3" s="1"/>
  <c r="I263" i="3"/>
  <c r="L263" i="3" s="1"/>
  <c r="I314" i="3"/>
  <c r="L314" i="3" s="1"/>
  <c r="I359" i="3"/>
  <c r="L359" i="3" s="1"/>
  <c r="I402" i="3"/>
  <c r="L402" i="3" s="1"/>
  <c r="I451" i="3"/>
  <c r="L451" i="3" s="1"/>
  <c r="I482" i="3"/>
  <c r="L482" i="3" s="1"/>
  <c r="I503" i="3"/>
  <c r="L503" i="3" s="1"/>
  <c r="I534" i="3"/>
  <c r="L534" i="3" s="1"/>
  <c r="I558" i="3"/>
  <c r="L558" i="3" s="1"/>
  <c r="I588" i="3"/>
  <c r="L588" i="3" s="1"/>
  <c r="I615" i="3"/>
  <c r="L615" i="3" s="1"/>
  <c r="I642" i="3"/>
  <c r="L642" i="3" s="1"/>
  <c r="I669" i="3"/>
  <c r="L669" i="3" s="1"/>
  <c r="I695" i="3"/>
  <c r="L695" i="3" s="1"/>
  <c r="I723" i="3"/>
  <c r="L723" i="3" s="1"/>
  <c r="I754" i="3"/>
  <c r="L754" i="3" s="1"/>
  <c r="I775" i="3"/>
  <c r="L775" i="3" s="1"/>
  <c r="H44" i="3"/>
  <c r="K44" i="3" s="1"/>
  <c r="H72" i="3"/>
  <c r="K72" i="3" s="1"/>
  <c r="H98" i="3"/>
  <c r="K98" i="3" s="1"/>
  <c r="H128" i="3"/>
  <c r="K128" i="3" s="1"/>
  <c r="H152" i="3"/>
  <c r="K152" i="3" s="1"/>
  <c r="H180" i="3"/>
  <c r="K180" i="3" s="1"/>
  <c r="H205" i="3"/>
  <c r="K205" i="3" s="1"/>
  <c r="H231" i="3"/>
  <c r="K231" i="3" s="1"/>
  <c r="H251" i="3"/>
  <c r="K251" i="3" s="1"/>
  <c r="H266" i="3"/>
  <c r="K266" i="3" s="1"/>
  <c r="H285" i="3"/>
  <c r="K285" i="3" s="1"/>
  <c r="H301" i="3"/>
  <c r="K301" i="3" s="1"/>
  <c r="H318" i="3"/>
  <c r="K318" i="3" s="1"/>
  <c r="H337" i="3"/>
  <c r="K337" i="3" s="1"/>
  <c r="H351" i="3"/>
  <c r="K351" i="3" s="1"/>
  <c r="H370" i="3"/>
  <c r="K370" i="3" s="1"/>
  <c r="H386" i="3"/>
  <c r="K386" i="3" s="1"/>
  <c r="H403" i="3"/>
  <c r="K403" i="3" s="1"/>
  <c r="H422" i="3"/>
  <c r="K422" i="3" s="1"/>
  <c r="H437" i="3"/>
  <c r="K437" i="3" s="1"/>
  <c r="H455" i="3"/>
  <c r="K455" i="3" s="1"/>
  <c r="H471" i="3"/>
  <c r="K471" i="3" s="1"/>
  <c r="H489" i="3"/>
  <c r="K489" i="3" s="1"/>
  <c r="H507" i="3"/>
  <c r="K507" i="3" s="1"/>
  <c r="H522" i="3"/>
  <c r="K522" i="3" s="1"/>
  <c r="H541" i="3"/>
  <c r="K541" i="3" s="1"/>
  <c r="H557" i="3"/>
  <c r="K557" i="3" s="1"/>
  <c r="H574" i="3"/>
  <c r="K574" i="3" s="1"/>
  <c r="H593" i="3"/>
  <c r="K593" i="3" s="1"/>
  <c r="H607" i="3"/>
  <c r="K607" i="3" s="1"/>
  <c r="H626" i="3"/>
  <c r="K626" i="3" s="1"/>
  <c r="H642" i="3"/>
  <c r="K642" i="3" s="1"/>
  <c r="H659" i="3"/>
  <c r="K659" i="3" s="1"/>
  <c r="H678" i="3"/>
  <c r="K678" i="3" s="1"/>
  <c r="H693" i="3"/>
  <c r="K693" i="3" s="1"/>
  <c r="H711" i="3"/>
  <c r="K711" i="3" s="1"/>
  <c r="H727" i="3"/>
  <c r="K727" i="3" s="1"/>
  <c r="H745" i="3"/>
  <c r="K745" i="3" s="1"/>
  <c r="H761" i="3"/>
  <c r="K761" i="3" s="1"/>
  <c r="H774" i="3"/>
  <c r="K774" i="3" s="1"/>
  <c r="H788" i="3"/>
  <c r="K788" i="3" s="1"/>
  <c r="I36" i="3"/>
  <c r="L36" i="3" s="1"/>
  <c r="I92" i="3"/>
  <c r="L92" i="3" s="1"/>
  <c r="I140" i="3"/>
  <c r="L140" i="3" s="1"/>
  <c r="I179" i="3"/>
  <c r="L179" i="3" s="1"/>
  <c r="I228" i="3"/>
  <c r="L228" i="3" s="1"/>
  <c r="I275" i="3"/>
  <c r="L275" i="3" s="1"/>
  <c r="I316" i="3"/>
  <c r="L316" i="3" s="1"/>
  <c r="I365" i="3"/>
  <c r="L365" i="3" s="1"/>
  <c r="I412" i="3"/>
  <c r="L412" i="3" s="1"/>
  <c r="I452" i="3"/>
  <c r="L452" i="3" s="1"/>
  <c r="I483" i="3"/>
  <c r="L483" i="3" s="1"/>
  <c r="I508" i="3"/>
  <c r="L508" i="3" s="1"/>
  <c r="I535" i="3"/>
  <c r="L535" i="3" s="1"/>
  <c r="I566" i="3"/>
  <c r="L566" i="3" s="1"/>
  <c r="I589" i="3"/>
  <c r="L589" i="3" s="1"/>
  <c r="I620" i="3"/>
  <c r="L620" i="3" s="1"/>
  <c r="I644" i="3"/>
  <c r="L644" i="3" s="1"/>
  <c r="I674" i="3"/>
  <c r="L674" i="3" s="1"/>
  <c r="I701" i="3"/>
  <c r="L701" i="3" s="1"/>
  <c r="I726" i="3"/>
  <c r="L726" i="3" s="1"/>
  <c r="I755" i="3"/>
  <c r="L755" i="3" s="1"/>
  <c r="I781" i="3"/>
  <c r="L781" i="3" s="1"/>
  <c r="H45" i="3"/>
  <c r="K45" i="3" s="1"/>
  <c r="H76" i="3"/>
  <c r="K76" i="3" s="1"/>
  <c r="H99" i="3"/>
  <c r="K99" i="3" s="1"/>
  <c r="H130" i="3"/>
  <c r="K130" i="3" s="1"/>
  <c r="H156" i="3"/>
  <c r="K156" i="3" s="1"/>
  <c r="H184" i="3"/>
  <c r="K184" i="3" s="1"/>
  <c r="H212" i="3"/>
  <c r="K212" i="3" s="1"/>
  <c r="H233" i="3"/>
  <c r="K233" i="3" s="1"/>
  <c r="H253" i="3"/>
  <c r="K253" i="3" s="1"/>
  <c r="H269" i="3"/>
  <c r="K269" i="3" s="1"/>
  <c r="H286" i="3"/>
  <c r="K286" i="3" s="1"/>
  <c r="H305" i="3"/>
  <c r="K305" i="3" s="1"/>
  <c r="H319" i="3"/>
  <c r="K319" i="3" s="1"/>
  <c r="H338" i="3"/>
  <c r="K338" i="3" s="1"/>
  <c r="H354" i="3"/>
  <c r="K354" i="3" s="1"/>
  <c r="H371" i="3"/>
  <c r="K371" i="3" s="1"/>
  <c r="H390" i="3"/>
  <c r="K390" i="3" s="1"/>
  <c r="H405" i="3"/>
  <c r="K405" i="3" s="1"/>
  <c r="H423" i="3"/>
  <c r="K423" i="3" s="1"/>
  <c r="H439" i="3"/>
  <c r="K439" i="3" s="1"/>
  <c r="H457" i="3"/>
  <c r="K457" i="3" s="1"/>
  <c r="H475" i="3"/>
  <c r="K475" i="3" s="1"/>
  <c r="H490" i="3"/>
  <c r="K490" i="3" s="1"/>
  <c r="H509" i="3"/>
  <c r="K509" i="3" s="1"/>
  <c r="H525" i="3"/>
  <c r="K525" i="3" s="1"/>
  <c r="H542" i="3"/>
  <c r="K542" i="3" s="1"/>
  <c r="H561" i="3"/>
  <c r="K561" i="3" s="1"/>
  <c r="H575" i="3"/>
  <c r="K575" i="3" s="1"/>
  <c r="H594" i="3"/>
  <c r="K594" i="3" s="1"/>
  <c r="H610" i="3"/>
  <c r="K610" i="3" s="1"/>
  <c r="H627" i="3"/>
  <c r="K627" i="3" s="1"/>
  <c r="H646" i="3"/>
  <c r="K646" i="3" s="1"/>
  <c r="H661" i="3"/>
  <c r="K661" i="3" s="1"/>
  <c r="H679" i="3"/>
  <c r="K679" i="3" s="1"/>
  <c r="H695" i="3"/>
  <c r="K695" i="3" s="1"/>
  <c r="H713" i="3"/>
  <c r="K713" i="3" s="1"/>
  <c r="H731" i="3"/>
  <c r="K731" i="3" s="1"/>
  <c r="H746" i="3"/>
  <c r="K746" i="3" s="1"/>
  <c r="H762" i="3"/>
  <c r="K762" i="3" s="1"/>
  <c r="H776" i="3"/>
  <c r="K776" i="3" s="1"/>
  <c r="H789" i="3"/>
  <c r="K789" i="3" s="1"/>
  <c r="I570" i="3"/>
  <c r="L570" i="3" s="1"/>
  <c r="H445" i="3"/>
  <c r="K445" i="3" s="1"/>
  <c r="H563" i="3"/>
  <c r="K563" i="3" s="1"/>
  <c r="H615" i="3"/>
  <c r="K615" i="3" s="1"/>
  <c r="H667" i="3"/>
  <c r="K667" i="3" s="1"/>
  <c r="H701" i="3"/>
  <c r="K701" i="3" s="1"/>
  <c r="H752" i="3"/>
  <c r="K752" i="3" s="1"/>
  <c r="H780" i="3"/>
  <c r="K780" i="3" s="1"/>
  <c r="I52" i="3"/>
  <c r="L52" i="3" s="1"/>
  <c r="I93" i="3"/>
  <c r="L93" i="3" s="1"/>
  <c r="I142" i="3"/>
  <c r="L142" i="3" s="1"/>
  <c r="I189" i="3"/>
  <c r="L189" i="3" s="1"/>
  <c r="I230" i="3"/>
  <c r="L230" i="3" s="1"/>
  <c r="I279" i="3"/>
  <c r="L279" i="3" s="1"/>
  <c r="I326" i="3"/>
  <c r="L326" i="3" s="1"/>
  <c r="I366" i="3"/>
  <c r="L366" i="3" s="1"/>
  <c r="I418" i="3"/>
  <c r="L418" i="3" s="1"/>
  <c r="I455" i="3"/>
  <c r="L455" i="3" s="1"/>
  <c r="I484" i="3"/>
  <c r="L484" i="3" s="1"/>
  <c r="I515" i="3"/>
  <c r="L515" i="3" s="1"/>
  <c r="I538" i="3"/>
  <c r="L538" i="3" s="1"/>
  <c r="I567" i="3"/>
  <c r="L567" i="3" s="1"/>
  <c r="I594" i="3"/>
  <c r="L594" i="3" s="1"/>
  <c r="I621" i="3"/>
  <c r="L621" i="3" s="1"/>
  <c r="I652" i="3"/>
  <c r="L652" i="3" s="1"/>
  <c r="I675" i="3"/>
  <c r="L675" i="3" s="1"/>
  <c r="I706" i="3"/>
  <c r="L706" i="3" s="1"/>
  <c r="I730" i="3"/>
  <c r="L730" i="3" s="1"/>
  <c r="I758" i="3"/>
  <c r="L758" i="3" s="1"/>
  <c r="I787" i="3"/>
  <c r="L787" i="3" s="1"/>
  <c r="H50" i="3"/>
  <c r="K50" i="3" s="1"/>
  <c r="H77" i="3"/>
  <c r="K77" i="3" s="1"/>
  <c r="H105" i="3"/>
  <c r="K105" i="3" s="1"/>
  <c r="H131" i="3"/>
  <c r="K131" i="3" s="1"/>
  <c r="H162" i="3"/>
  <c r="K162" i="3" s="1"/>
  <c r="H185" i="3"/>
  <c r="K185" i="3" s="1"/>
  <c r="H216" i="3"/>
  <c r="K216" i="3" s="1"/>
  <c r="H237" i="3"/>
  <c r="K237" i="3" s="1"/>
  <c r="H254" i="3"/>
  <c r="K254" i="3" s="1"/>
  <c r="H273" i="3"/>
  <c r="K273" i="3" s="1"/>
  <c r="H287" i="3"/>
  <c r="K287" i="3" s="1"/>
  <c r="H306" i="3"/>
  <c r="K306" i="3" s="1"/>
  <c r="H322" i="3"/>
  <c r="K322" i="3" s="1"/>
  <c r="H339" i="3"/>
  <c r="K339" i="3" s="1"/>
  <c r="H358" i="3"/>
  <c r="K358" i="3" s="1"/>
  <c r="H373" i="3"/>
  <c r="K373" i="3" s="1"/>
  <c r="H391" i="3"/>
  <c r="K391" i="3" s="1"/>
  <c r="H407" i="3"/>
  <c r="K407" i="3" s="1"/>
  <c r="H425" i="3"/>
  <c r="K425" i="3" s="1"/>
  <c r="H443" i="3"/>
  <c r="K443" i="3" s="1"/>
  <c r="H458" i="3"/>
  <c r="K458" i="3" s="1"/>
  <c r="H477" i="3"/>
  <c r="K477" i="3" s="1"/>
  <c r="H493" i="3"/>
  <c r="K493" i="3" s="1"/>
  <c r="H510" i="3"/>
  <c r="K510" i="3" s="1"/>
  <c r="H529" i="3"/>
  <c r="K529" i="3" s="1"/>
  <c r="H543" i="3"/>
  <c r="K543" i="3" s="1"/>
  <c r="H562" i="3"/>
  <c r="K562" i="3" s="1"/>
  <c r="H578" i="3"/>
  <c r="K578" i="3" s="1"/>
  <c r="H595" i="3"/>
  <c r="K595" i="3" s="1"/>
  <c r="H614" i="3"/>
  <c r="K614" i="3" s="1"/>
  <c r="H629" i="3"/>
  <c r="K629" i="3" s="1"/>
  <c r="H647" i="3"/>
  <c r="K647" i="3" s="1"/>
  <c r="H663" i="3"/>
  <c r="K663" i="3" s="1"/>
  <c r="H681" i="3"/>
  <c r="K681" i="3" s="1"/>
  <c r="H699" i="3"/>
  <c r="K699" i="3" s="1"/>
  <c r="H714" i="3"/>
  <c r="K714" i="3" s="1"/>
  <c r="H733" i="3"/>
  <c r="K733" i="3" s="1"/>
  <c r="H749" i="3"/>
  <c r="K749" i="3" s="1"/>
  <c r="H763" i="3"/>
  <c r="K763" i="3" s="1"/>
  <c r="H779" i="3"/>
  <c r="K779" i="3" s="1"/>
  <c r="H23" i="3"/>
  <c r="K23" i="3" s="1"/>
  <c r="I54" i="3"/>
  <c r="L54" i="3" s="1"/>
  <c r="I103" i="3"/>
  <c r="L103" i="3" s="1"/>
  <c r="I146" i="3"/>
  <c r="L146" i="3" s="1"/>
  <c r="I195" i="3"/>
  <c r="L195" i="3" s="1"/>
  <c r="I242" i="3"/>
  <c r="L242" i="3" s="1"/>
  <c r="I282" i="3"/>
  <c r="L282" i="3" s="1"/>
  <c r="I332" i="3"/>
  <c r="L332" i="3" s="1"/>
  <c r="I378" i="3"/>
  <c r="L378" i="3" s="1"/>
  <c r="I419" i="3"/>
  <c r="L419" i="3" s="1"/>
  <c r="I462" i="3"/>
  <c r="L462" i="3" s="1"/>
  <c r="I486" i="3"/>
  <c r="L486" i="3" s="1"/>
  <c r="I516" i="3"/>
  <c r="L516" i="3" s="1"/>
  <c r="I541" i="3"/>
  <c r="L541" i="3" s="1"/>
  <c r="I599" i="3"/>
  <c r="L599" i="3" s="1"/>
  <c r="I622" i="3"/>
  <c r="L622" i="3" s="1"/>
  <c r="I653" i="3"/>
  <c r="L653" i="3" s="1"/>
  <c r="I678" i="3"/>
  <c r="L678" i="3" s="1"/>
  <c r="I707" i="3"/>
  <c r="L707" i="3" s="1"/>
  <c r="I738" i="3"/>
  <c r="L738" i="3" s="1"/>
  <c r="I759" i="3"/>
  <c r="L759" i="3" s="1"/>
  <c r="I22" i="3"/>
  <c r="L22" i="3" s="1"/>
  <c r="H52" i="3"/>
  <c r="K52" i="3" s="1"/>
  <c r="H82" i="3"/>
  <c r="K82" i="3" s="1"/>
  <c r="H109" i="3"/>
  <c r="K109" i="3" s="1"/>
  <c r="H136" i="3"/>
  <c r="K136" i="3" s="1"/>
  <c r="H163" i="3"/>
  <c r="K163" i="3" s="1"/>
  <c r="H189" i="3"/>
  <c r="K189" i="3" s="1"/>
  <c r="H217" i="3"/>
  <c r="K217" i="3" s="1"/>
  <c r="H241" i="3"/>
  <c r="K241" i="3" s="1"/>
  <c r="H255" i="3"/>
  <c r="K255" i="3" s="1"/>
  <c r="H274" i="3"/>
  <c r="K274" i="3" s="1"/>
  <c r="H290" i="3"/>
  <c r="K290" i="3" s="1"/>
  <c r="H307" i="3"/>
  <c r="K307" i="3" s="1"/>
  <c r="H326" i="3"/>
  <c r="K326" i="3" s="1"/>
  <c r="H341" i="3"/>
  <c r="K341" i="3" s="1"/>
  <c r="H359" i="3"/>
  <c r="K359" i="3" s="1"/>
  <c r="H375" i="3"/>
  <c r="K375" i="3" s="1"/>
  <c r="H393" i="3"/>
  <c r="K393" i="3" s="1"/>
  <c r="H411" i="3"/>
  <c r="K411" i="3" s="1"/>
  <c r="H426" i="3"/>
  <c r="K426" i="3" s="1"/>
  <c r="H461" i="3"/>
  <c r="K461" i="3" s="1"/>
  <c r="H478" i="3"/>
  <c r="K478" i="3" s="1"/>
  <c r="H497" i="3"/>
  <c r="K497" i="3" s="1"/>
  <c r="H511" i="3"/>
  <c r="K511" i="3" s="1"/>
  <c r="H530" i="3"/>
  <c r="K530" i="3" s="1"/>
  <c r="H546" i="3"/>
  <c r="K546" i="3" s="1"/>
  <c r="H582" i="3"/>
  <c r="K582" i="3" s="1"/>
  <c r="H597" i="3"/>
  <c r="K597" i="3" s="1"/>
  <c r="H631" i="3"/>
  <c r="K631" i="3" s="1"/>
  <c r="H649" i="3"/>
  <c r="K649" i="3" s="1"/>
  <c r="H682" i="3"/>
  <c r="K682" i="3" s="1"/>
  <c r="H717" i="3"/>
  <c r="K717" i="3" s="1"/>
  <c r="H734" i="3"/>
  <c r="K734" i="3" s="1"/>
  <c r="H765" i="3"/>
  <c r="K765" i="3" s="1"/>
  <c r="H25" i="3"/>
  <c r="K25" i="3" s="1"/>
  <c r="V9" i="3"/>
  <c r="V4" i="3"/>
  <c r="V5" i="3"/>
  <c r="G44" i="2"/>
  <c r="H44" i="2" s="1"/>
  <c r="G158" i="2"/>
  <c r="G119" i="2"/>
  <c r="H119" i="2" s="1"/>
  <c r="I119" i="2" s="1"/>
  <c r="G53" i="2"/>
  <c r="H53" i="2" s="1"/>
  <c r="I53" i="2" s="1"/>
  <c r="G108" i="2"/>
  <c r="H108" i="2" s="1"/>
  <c r="I108" i="2" s="1"/>
  <c r="G32" i="2"/>
  <c r="H32" i="2" s="1"/>
  <c r="K32" i="2" s="1"/>
  <c r="L32" i="2" s="1"/>
  <c r="P32" i="2" s="1"/>
  <c r="Q32" i="2" s="1"/>
  <c r="U32" i="2" s="1"/>
  <c r="V32" i="2" s="1"/>
  <c r="G147" i="2"/>
  <c r="H147" i="2" s="1"/>
  <c r="K147" i="2" s="1"/>
  <c r="L147" i="2" s="1"/>
  <c r="N147" i="2" s="1"/>
  <c r="G65" i="2"/>
  <c r="H65" i="2" s="1"/>
  <c r="I65" i="2" s="1"/>
  <c r="G96" i="2"/>
  <c r="H96" i="2" s="1"/>
  <c r="I96" i="2" s="1"/>
  <c r="G49" i="2"/>
  <c r="H49" i="2" s="1"/>
  <c r="K49" i="2" s="1"/>
  <c r="L49" i="2" s="1"/>
  <c r="O49" i="2" s="1"/>
  <c r="G110" i="2"/>
  <c r="H110" i="2" s="1"/>
  <c r="G98" i="2"/>
  <c r="H98" i="2" s="1"/>
  <c r="I98" i="2" s="1"/>
  <c r="G87" i="2"/>
  <c r="G43" i="2"/>
  <c r="H43" i="2" s="1"/>
  <c r="K43" i="2" s="1"/>
  <c r="L43" i="2" s="1"/>
  <c r="M43" i="2" s="1"/>
  <c r="G71" i="2"/>
  <c r="G135" i="2"/>
  <c r="H135" i="2" s="1"/>
  <c r="K135" i="2" s="1"/>
  <c r="L135" i="2" s="1"/>
  <c r="O135" i="2" s="1"/>
  <c r="G59" i="2"/>
  <c r="H59" i="2" s="1"/>
  <c r="K59" i="2" s="1"/>
  <c r="L59" i="2" s="1"/>
  <c r="M59" i="2" s="1"/>
  <c r="G36" i="2"/>
  <c r="H36" i="2" s="1"/>
  <c r="I36" i="2" s="1"/>
  <c r="G76" i="2"/>
  <c r="H76" i="2" s="1"/>
  <c r="I76" i="2" s="1"/>
  <c r="G103" i="2"/>
  <c r="H103" i="2" s="1"/>
  <c r="K103" i="2" s="1"/>
  <c r="L103" i="2" s="1"/>
  <c r="M103" i="2" s="1"/>
  <c r="G124" i="2"/>
  <c r="H124" i="2" s="1"/>
  <c r="I124" i="2" s="1"/>
  <c r="G104" i="2"/>
  <c r="H104" i="2" s="1"/>
  <c r="G52" i="2"/>
  <c r="H52" i="2" s="1"/>
  <c r="K52" i="2" s="1"/>
  <c r="L52" i="2" s="1"/>
  <c r="P52" i="2" s="1"/>
  <c r="Q52" i="2" s="1"/>
  <c r="U52" i="2" s="1"/>
  <c r="V52" i="2" s="1"/>
  <c r="G57" i="2"/>
  <c r="H57" i="2" s="1"/>
  <c r="K57" i="2" s="1"/>
  <c r="L57" i="2" s="1"/>
  <c r="N57" i="2" s="1"/>
  <c r="G143" i="2"/>
  <c r="H143" i="2" s="1"/>
  <c r="K143" i="2" s="1"/>
  <c r="L143" i="2" s="1"/>
  <c r="N143" i="2" s="1"/>
  <c r="G120" i="2"/>
  <c r="H120" i="2" s="1"/>
  <c r="G47" i="2"/>
  <c r="H47" i="2" s="1"/>
  <c r="K47" i="2" s="1"/>
  <c r="L47" i="2" s="1"/>
  <c r="P47" i="2" s="1"/>
  <c r="Q47" i="2" s="1"/>
  <c r="U47" i="2" s="1"/>
  <c r="V47" i="2" s="1"/>
  <c r="G129" i="2"/>
  <c r="H129" i="2" s="1"/>
  <c r="I129" i="2" s="1"/>
  <c r="G72" i="2"/>
  <c r="H72" i="2" s="1"/>
  <c r="K72" i="2" s="1"/>
  <c r="L72" i="2" s="1"/>
  <c r="P72" i="2" s="1"/>
  <c r="Q72" i="2" s="1"/>
  <c r="U72" i="2" s="1"/>
  <c r="V72" i="2" s="1"/>
  <c r="G132" i="2"/>
  <c r="H132" i="2" s="1"/>
  <c r="I132" i="2" s="1"/>
  <c r="G60" i="2"/>
  <c r="H60" i="2" s="1"/>
  <c r="I60" i="2" s="1"/>
  <c r="G95" i="2"/>
  <c r="H95" i="2" s="1"/>
  <c r="I95" i="2" s="1"/>
  <c r="G157" i="2"/>
  <c r="H157" i="2" s="1"/>
  <c r="I157" i="2" s="1"/>
  <c r="G79" i="2"/>
  <c r="G154" i="2"/>
  <c r="H154" i="2" s="1"/>
  <c r="K154" i="2" s="1"/>
  <c r="L154" i="2" s="1"/>
  <c r="M154" i="2" s="1"/>
  <c r="G100" i="2"/>
  <c r="H100" i="2" s="1"/>
  <c r="I100" i="2" s="1"/>
  <c r="G46" i="2"/>
  <c r="H46" i="2" s="1"/>
  <c r="G39" i="2"/>
  <c r="H39" i="2" s="1"/>
  <c r="K39" i="2" s="1"/>
  <c r="L39" i="2" s="1"/>
  <c r="P39" i="2" s="1"/>
  <c r="Q39" i="2" s="1"/>
  <c r="U39" i="2" s="1"/>
  <c r="V39" i="2" s="1"/>
  <c r="G125" i="2"/>
  <c r="H125" i="2" s="1"/>
  <c r="G137" i="2"/>
  <c r="H137" i="2" s="1"/>
  <c r="G116" i="2"/>
  <c r="H116" i="2" s="1"/>
  <c r="K116" i="2" s="1"/>
  <c r="L116" i="2" s="1"/>
  <c r="M116" i="2" s="1"/>
  <c r="G144" i="2"/>
  <c r="H144" i="2" s="1"/>
  <c r="I144" i="2" s="1"/>
  <c r="G63" i="2"/>
  <c r="H63" i="2" s="1"/>
  <c r="G123" i="2"/>
  <c r="H123" i="2" s="1"/>
  <c r="I123" i="2" s="1"/>
  <c r="G51" i="2"/>
  <c r="H51" i="2" s="1"/>
  <c r="K51" i="2" s="1"/>
  <c r="L51" i="2" s="1"/>
  <c r="M51" i="2" s="1"/>
  <c r="G68" i="2"/>
  <c r="H68" i="2" s="1"/>
  <c r="K68" i="2" s="1"/>
  <c r="L68" i="2" s="1"/>
  <c r="N68" i="2" s="1"/>
  <c r="G139" i="2"/>
  <c r="G67" i="2"/>
  <c r="H67" i="2" s="1"/>
  <c r="K67" i="2" s="1"/>
  <c r="L67" i="2" s="1"/>
  <c r="P67" i="2" s="1"/>
  <c r="Q67" i="2" s="1"/>
  <c r="U67" i="2" s="1"/>
  <c r="V67" i="2" s="1"/>
  <c r="G148" i="2"/>
  <c r="H148" i="2" s="1"/>
  <c r="K148" i="2" s="1"/>
  <c r="L148" i="2" s="1"/>
  <c r="P148" i="2" s="1"/>
  <c r="Q148" i="2" s="1"/>
  <c r="U148" i="2" s="1"/>
  <c r="V148" i="2" s="1"/>
  <c r="G94" i="2"/>
  <c r="H94" i="2" s="1"/>
  <c r="K94" i="2" s="1"/>
  <c r="L94" i="2" s="1"/>
  <c r="P94" i="2" s="1"/>
  <c r="Q94" i="2" s="1"/>
  <c r="U94" i="2" s="1"/>
  <c r="V94" i="2" s="1"/>
  <c r="G40" i="2"/>
  <c r="H40" i="2" s="1"/>
  <c r="G138" i="2"/>
  <c r="H138" i="2" s="1"/>
  <c r="I138" i="2" s="1"/>
  <c r="G99" i="2"/>
  <c r="H99" i="2" s="1"/>
  <c r="I99" i="2" s="1"/>
  <c r="G133" i="2"/>
  <c r="H133" i="2" s="1"/>
  <c r="I133" i="2" s="1"/>
  <c r="G111" i="2"/>
  <c r="H111" i="2" s="1"/>
  <c r="G146" i="2"/>
  <c r="H146" i="2" s="1"/>
  <c r="I146" i="2" s="1"/>
  <c r="G74" i="2"/>
  <c r="H74" i="2" s="1"/>
  <c r="K74" i="2" s="1"/>
  <c r="L74" i="2" s="1"/>
  <c r="P74" i="2" s="1"/>
  <c r="Q74" i="2" s="1"/>
  <c r="U74" i="2" s="1"/>
  <c r="V74" i="2" s="1"/>
  <c r="G107" i="2"/>
  <c r="H107" i="2" s="1"/>
  <c r="I107" i="2" s="1"/>
  <c r="G35" i="2"/>
  <c r="H35" i="2" s="1"/>
  <c r="I35" i="2" s="1"/>
  <c r="G30" i="2"/>
  <c r="H30" i="2" s="1"/>
  <c r="I30" i="2" s="1"/>
  <c r="G101" i="2"/>
  <c r="H101" i="2" s="1"/>
  <c r="K101" i="2" s="1"/>
  <c r="L101" i="2" s="1"/>
  <c r="P101" i="2" s="1"/>
  <c r="Q101" i="2" s="1"/>
  <c r="U101" i="2" s="1"/>
  <c r="V101" i="2" s="1"/>
  <c r="G152" i="2"/>
  <c r="H152" i="2" s="1"/>
  <c r="I152" i="2" s="1"/>
  <c r="G80" i="2"/>
  <c r="H80" i="2" s="1"/>
  <c r="K80" i="2" s="1"/>
  <c r="L80" i="2" s="1"/>
  <c r="P80" i="2" s="1"/>
  <c r="Q80" i="2" s="1"/>
  <c r="U80" i="2" s="1"/>
  <c r="V80" i="2" s="1"/>
  <c r="G84" i="2"/>
  <c r="G38" i="2"/>
  <c r="H38" i="2" s="1"/>
  <c r="K38" i="2" s="1"/>
  <c r="L38" i="2" s="1"/>
  <c r="N38" i="2" s="1"/>
  <c r="G126" i="2"/>
  <c r="H126" i="2" s="1"/>
  <c r="K126" i="2" s="1"/>
  <c r="L126" i="2" s="1"/>
  <c r="P126" i="2" s="1"/>
  <c r="Q126" i="2" s="1"/>
  <c r="U126" i="2" s="1"/>
  <c r="V126" i="2" s="1"/>
  <c r="G90" i="2"/>
  <c r="H90" i="2" s="1"/>
  <c r="I90" i="2" s="1"/>
  <c r="G54" i="2"/>
  <c r="H54" i="2" s="1"/>
  <c r="G150" i="2"/>
  <c r="H150" i="2" s="1"/>
  <c r="G114" i="2"/>
  <c r="G78" i="2"/>
  <c r="H78" i="2" s="1"/>
  <c r="K78" i="2" s="1"/>
  <c r="L78" i="2" s="1"/>
  <c r="P78" i="2" s="1"/>
  <c r="Q78" i="2" s="1"/>
  <c r="U78" i="2" s="1"/>
  <c r="V78" i="2" s="1"/>
  <c r="G42" i="2"/>
  <c r="H42" i="2" s="1"/>
  <c r="K42" i="2" s="1"/>
  <c r="L42" i="2" s="1"/>
  <c r="P42" i="2" s="1"/>
  <c r="Q42" i="2" s="1"/>
  <c r="U42" i="2" s="1"/>
  <c r="V42" i="2" s="1"/>
  <c r="G131" i="2"/>
  <c r="H131" i="2" s="1"/>
  <c r="I131" i="2" s="1"/>
  <c r="G86" i="2"/>
  <c r="H86" i="2" s="1"/>
  <c r="G50" i="2"/>
  <c r="H50" i="2" s="1"/>
  <c r="G151" i="2"/>
  <c r="H151" i="2" s="1"/>
  <c r="K151" i="2" s="1"/>
  <c r="L151" i="2" s="1"/>
  <c r="P151" i="2" s="1"/>
  <c r="Q151" i="2" s="1"/>
  <c r="U151" i="2" s="1"/>
  <c r="V151" i="2" s="1"/>
  <c r="G121" i="2"/>
  <c r="H121" i="2" s="1"/>
  <c r="I121" i="2" s="1"/>
  <c r="G91" i="2"/>
  <c r="H91" i="2" s="1"/>
  <c r="I91" i="2" s="1"/>
  <c r="G61" i="2"/>
  <c r="H61" i="2" s="1"/>
  <c r="I61" i="2" s="1"/>
  <c r="G37" i="2"/>
  <c r="H37" i="2" s="1"/>
  <c r="G142" i="2"/>
  <c r="H142" i="2" s="1"/>
  <c r="G112" i="2"/>
  <c r="H112" i="2" s="1"/>
  <c r="K112" i="2" s="1"/>
  <c r="L112" i="2" s="1"/>
  <c r="N112" i="2" s="1"/>
  <c r="G88" i="2"/>
  <c r="H88" i="2" s="1"/>
  <c r="K88" i="2" s="1"/>
  <c r="L88" i="2" s="1"/>
  <c r="O88" i="2" s="1"/>
  <c r="G58" i="2"/>
  <c r="H58" i="2" s="1"/>
  <c r="G34" i="2"/>
  <c r="H34" i="2" s="1"/>
  <c r="K34" i="2" s="1"/>
  <c r="L34" i="2" s="1"/>
  <c r="P34" i="2" s="1"/>
  <c r="Q34" i="2" s="1"/>
  <c r="U34" i="2" s="1"/>
  <c r="V34" i="2" s="1"/>
  <c r="G66" i="2"/>
  <c r="H66" i="2" s="1"/>
  <c r="K66" i="2" s="1"/>
  <c r="L66" i="2" s="1"/>
  <c r="O66" i="2" s="1"/>
  <c r="G75" i="2"/>
  <c r="H75" i="2" s="1"/>
  <c r="G140" i="2"/>
  <c r="H140" i="2" s="1"/>
  <c r="G93" i="2"/>
  <c r="H93" i="2" s="1"/>
  <c r="I93" i="2" s="1"/>
  <c r="G128" i="2"/>
  <c r="G56" i="2"/>
  <c r="H56" i="2" s="1"/>
  <c r="G89" i="2"/>
  <c r="H89" i="2" s="1"/>
  <c r="I89" i="2" s="1"/>
  <c r="G156" i="2"/>
  <c r="H156" i="2" s="1"/>
  <c r="I156" i="2" s="1"/>
  <c r="G155" i="2"/>
  <c r="H155" i="2" s="1"/>
  <c r="K155" i="2" s="1"/>
  <c r="L155" i="2" s="1"/>
  <c r="N155" i="2" s="1"/>
  <c r="G83" i="2"/>
  <c r="H83" i="2" s="1"/>
  <c r="I83" i="2" s="1"/>
  <c r="G134" i="2"/>
  <c r="H134" i="2" s="1"/>
  <c r="K134" i="2" s="1"/>
  <c r="L134" i="2" s="1"/>
  <c r="N134" i="2" s="1"/>
  <c r="G62" i="2"/>
  <c r="H62" i="2" s="1"/>
  <c r="I62" i="2" s="1"/>
  <c r="G48" i="2"/>
  <c r="H48" i="2" s="1"/>
  <c r="K48" i="2" s="1"/>
  <c r="L48" i="2" s="1"/>
  <c r="P48" i="2" s="1"/>
  <c r="Q48" i="2" s="1"/>
  <c r="U48" i="2" s="1"/>
  <c r="V48" i="2" s="1"/>
  <c r="G153" i="2"/>
  <c r="G117" i="2"/>
  <c r="G81" i="2"/>
  <c r="H81" i="2" s="1"/>
  <c r="K81" i="2" s="1"/>
  <c r="L81" i="2" s="1"/>
  <c r="M81" i="2" s="1"/>
  <c r="G45" i="2"/>
  <c r="G141" i="2"/>
  <c r="H141" i="2" s="1"/>
  <c r="G105" i="2"/>
  <c r="H105" i="2" s="1"/>
  <c r="G69" i="2"/>
  <c r="H69" i="2" s="1"/>
  <c r="G33" i="2"/>
  <c r="G113" i="2"/>
  <c r="H113" i="2" s="1"/>
  <c r="G77" i="2"/>
  <c r="H77" i="2" s="1"/>
  <c r="K77" i="2" s="1"/>
  <c r="L77" i="2" s="1"/>
  <c r="M77" i="2" s="1"/>
  <c r="G41" i="2"/>
  <c r="H41" i="2" s="1"/>
  <c r="I41" i="2" s="1"/>
  <c r="G145" i="2"/>
  <c r="G109" i="2"/>
  <c r="H109" i="2" s="1"/>
  <c r="K109" i="2" s="1"/>
  <c r="L109" i="2" s="1"/>
  <c r="O109" i="2" s="1"/>
  <c r="G85" i="2"/>
  <c r="H85" i="2" s="1"/>
  <c r="I85" i="2" s="1"/>
  <c r="G55" i="2"/>
  <c r="H55" i="2" s="1"/>
  <c r="I55" i="2" s="1"/>
  <c r="G31" i="2"/>
  <c r="G130" i="2"/>
  <c r="H130" i="2" s="1"/>
  <c r="K130" i="2" s="1"/>
  <c r="L130" i="2" s="1"/>
  <c r="P130" i="2" s="1"/>
  <c r="Q130" i="2" s="1"/>
  <c r="U130" i="2" s="1"/>
  <c r="V130" i="2" s="1"/>
  <c r="G106" i="2"/>
  <c r="H106" i="2" s="1"/>
  <c r="G82" i="2"/>
  <c r="H82" i="2" s="1"/>
  <c r="G122" i="2"/>
  <c r="H122" i="2" s="1"/>
  <c r="K122" i="2" s="1"/>
  <c r="L122" i="2" s="1"/>
  <c r="P122" i="2" s="1"/>
  <c r="Q122" i="2" s="1"/>
  <c r="U122" i="2" s="1"/>
  <c r="V122" i="2" s="1"/>
  <c r="G127" i="2"/>
  <c r="H127" i="2" s="1"/>
  <c r="G149" i="2"/>
  <c r="H149" i="2" s="1"/>
  <c r="K149" i="2" s="1"/>
  <c r="L149" i="2" s="1"/>
  <c r="M149" i="2" s="1"/>
  <c r="G73" i="2"/>
  <c r="H73" i="2" s="1"/>
  <c r="K73" i="2" s="1"/>
  <c r="L73" i="2" s="1"/>
  <c r="P73" i="2" s="1"/>
  <c r="Q73" i="2" s="1"/>
  <c r="U73" i="2" s="1"/>
  <c r="V73" i="2" s="1"/>
  <c r="G29" i="2"/>
  <c r="H29" i="2" s="1"/>
  <c r="K29" i="2" s="1"/>
  <c r="L29" i="2" s="1"/>
  <c r="M29" i="2" s="1"/>
  <c r="G136" i="2"/>
  <c r="G64" i="2"/>
  <c r="H64" i="2" s="1"/>
  <c r="I64" i="2" s="1"/>
  <c r="G115" i="2"/>
  <c r="H115" i="2" s="1"/>
  <c r="K115" i="2" s="1"/>
  <c r="L115" i="2" s="1"/>
  <c r="P115" i="2" s="1"/>
  <c r="Q115" i="2" s="1"/>
  <c r="U115" i="2" s="1"/>
  <c r="V115" i="2" s="1"/>
  <c r="I63" i="2"/>
  <c r="I143" i="2"/>
  <c r="I44" i="2"/>
  <c r="I155" i="2"/>
  <c r="I59" i="2"/>
  <c r="I118" i="2"/>
  <c r="I135" i="2"/>
  <c r="I125" i="2"/>
  <c r="I58" i="2"/>
  <c r="I92" i="2"/>
  <c r="K30" i="2"/>
  <c r="L30" i="2" s="1"/>
  <c r="M30" i="2" s="1"/>
  <c r="K36" i="2"/>
  <c r="L36" i="2" s="1"/>
  <c r="O36" i="2" s="1"/>
  <c r="K40" i="2"/>
  <c r="L40" i="2" s="1"/>
  <c r="N40" i="2" s="1"/>
  <c r="K85" i="2"/>
  <c r="L85" i="2" s="1"/>
  <c r="O85" i="2" s="1"/>
  <c r="K91" i="2"/>
  <c r="L91" i="2" s="1"/>
  <c r="O91" i="2" s="1"/>
  <c r="K97" i="2"/>
  <c r="L97" i="2" s="1"/>
  <c r="O97" i="2" s="1"/>
  <c r="K44" i="2"/>
  <c r="L44" i="2" s="1"/>
  <c r="M44" i="2" s="1"/>
  <c r="K58" i="2"/>
  <c r="L58" i="2" s="1"/>
  <c r="M58" i="2" s="1"/>
  <c r="K64" i="2"/>
  <c r="L64" i="2" s="1"/>
  <c r="O64" i="2" s="1"/>
  <c r="K70" i="2"/>
  <c r="L70" i="2" s="1"/>
  <c r="O70" i="2" s="1"/>
  <c r="K100" i="2"/>
  <c r="L100" i="2" s="1"/>
  <c r="M100" i="2" s="1"/>
  <c r="K118" i="2"/>
  <c r="L118" i="2" s="1"/>
  <c r="M118" i="2" s="1"/>
  <c r="K124" i="2"/>
  <c r="L124" i="2" s="1"/>
  <c r="O124" i="2" s="1"/>
  <c r="K125" i="2"/>
  <c r="L125" i="2" s="1"/>
  <c r="M125" i="2" s="1"/>
  <c r="K98" i="2"/>
  <c r="L98" i="2" s="1"/>
  <c r="O98" i="2" s="1"/>
  <c r="K63" i="2"/>
  <c r="L63" i="2" s="1"/>
  <c r="N63" i="2" s="1"/>
  <c r="K123" i="2"/>
  <c r="L123" i="2" s="1"/>
  <c r="P123" i="2" s="1"/>
  <c r="Q123" i="2" s="1"/>
  <c r="U123" i="2" s="1"/>
  <c r="V123" i="2" s="1"/>
  <c r="K159" i="2"/>
  <c r="L159" i="2" s="1"/>
  <c r="M159" i="2" s="1"/>
  <c r="K92" i="2"/>
  <c r="L92" i="2" s="1"/>
  <c r="N92" i="2" s="1"/>
  <c r="K152" i="2"/>
  <c r="L152" i="2" s="1"/>
  <c r="M152" i="2" s="1"/>
  <c r="K129" i="2"/>
  <c r="L129" i="2" s="1"/>
  <c r="M129" i="2" s="1"/>
  <c r="K144" i="2"/>
  <c r="L144" i="2" s="1"/>
  <c r="O144" i="2" s="1"/>
  <c r="K90" i="2"/>
  <c r="L90" i="2" s="1"/>
  <c r="N90" i="2" s="1"/>
  <c r="K96" i="2"/>
  <c r="L96" i="2" s="1"/>
  <c r="N96" i="2" s="1"/>
  <c r="K102" i="2"/>
  <c r="L102" i="2" s="1"/>
  <c r="N102" i="2" s="1"/>
  <c r="I66" i="2"/>
  <c r="I40" i="2"/>
  <c r="I52" i="2"/>
  <c r="I159" i="2"/>
  <c r="H87" i="2"/>
  <c r="K87" i="2" s="1"/>
  <c r="L87" i="2" s="1"/>
  <c r="P87" i="2" s="1"/>
  <c r="Q87" i="2" s="1"/>
  <c r="U87" i="2" s="1"/>
  <c r="V87" i="2" s="1"/>
  <c r="H158" i="2"/>
  <c r="H128" i="2"/>
  <c r="H145" i="2"/>
  <c r="K145" i="2" s="1"/>
  <c r="L145" i="2" s="1"/>
  <c r="P145" i="2" s="1"/>
  <c r="Q145" i="2" s="1"/>
  <c r="U145" i="2" s="1"/>
  <c r="V145" i="2" s="1"/>
  <c r="H153" i="2"/>
  <c r="H117" i="2"/>
  <c r="K117" i="2" s="1"/>
  <c r="L117" i="2" s="1"/>
  <c r="P117" i="2" s="1"/>
  <c r="Q117" i="2" s="1"/>
  <c r="U117" i="2" s="1"/>
  <c r="V117" i="2" s="1"/>
  <c r="H45" i="2"/>
  <c r="I70" i="2"/>
  <c r="I122" i="2"/>
  <c r="I102" i="2"/>
  <c r="I97" i="2"/>
  <c r="H136" i="2"/>
  <c r="K136" i="2" s="1"/>
  <c r="L136" i="2" s="1"/>
  <c r="P136" i="2" s="1"/>
  <c r="Q136" i="2" s="1"/>
  <c r="U136" i="2" s="1"/>
  <c r="V136" i="2" s="1"/>
  <c r="H84" i="2"/>
  <c r="I48" i="2"/>
  <c r="H79" i="2"/>
  <c r="K79" i="2" s="1"/>
  <c r="L79" i="2" s="1"/>
  <c r="P79" i="2" s="1"/>
  <c r="Q79" i="2" s="1"/>
  <c r="U79" i="2" s="1"/>
  <c r="V79" i="2" s="1"/>
  <c r="H71" i="2"/>
  <c r="H139" i="2"/>
  <c r="K139" i="2" s="1"/>
  <c r="L139" i="2" s="1"/>
  <c r="P139" i="2" s="1"/>
  <c r="Q139" i="2" s="1"/>
  <c r="U139" i="2" s="1"/>
  <c r="V139" i="2" s="1"/>
  <c r="H31" i="2"/>
  <c r="H114" i="2"/>
  <c r="K114" i="2" s="1"/>
  <c r="L114" i="2" s="1"/>
  <c r="P114" i="2" s="1"/>
  <c r="Q114" i="2" s="1"/>
  <c r="U114" i="2" s="1"/>
  <c r="V114" i="2" s="1"/>
  <c r="H33" i="2"/>
  <c r="C556" i="3" l="1"/>
  <c r="C162" i="3"/>
  <c r="C586" i="3"/>
  <c r="C57" i="3"/>
  <c r="C105" i="3"/>
  <c r="C473" i="3"/>
  <c r="C532" i="3"/>
  <c r="C63" i="3"/>
  <c r="C111" i="3"/>
  <c r="C159" i="3"/>
  <c r="C207" i="3"/>
  <c r="C255" i="3"/>
  <c r="C303" i="3"/>
  <c r="C351" i="3"/>
  <c r="C399" i="3"/>
  <c r="C447" i="3"/>
  <c r="C495" i="3"/>
  <c r="C28" i="3"/>
  <c r="C76" i="3"/>
  <c r="C124" i="3"/>
  <c r="C172" i="3"/>
  <c r="C220" i="3"/>
  <c r="C268" i="3"/>
  <c r="C316" i="3"/>
  <c r="C364" i="3"/>
  <c r="C412" i="3"/>
  <c r="C460" i="3"/>
  <c r="C508" i="3"/>
  <c r="C47" i="3"/>
  <c r="C95" i="3"/>
  <c r="C143" i="3"/>
  <c r="C191" i="3"/>
  <c r="C239" i="3"/>
  <c r="C287" i="3"/>
  <c r="C335" i="3"/>
  <c r="C24" i="3"/>
  <c r="C68" i="3"/>
  <c r="C116" i="3"/>
  <c r="C164" i="3"/>
  <c r="C212" i="3"/>
  <c r="C260" i="3"/>
  <c r="C308" i="3"/>
  <c r="C356" i="3"/>
  <c r="C404" i="3"/>
  <c r="C452" i="3"/>
  <c r="C500" i="3"/>
  <c r="C78" i="3"/>
  <c r="C222" i="3"/>
  <c r="C366" i="3"/>
  <c r="C467" i="3"/>
  <c r="C547" i="3"/>
  <c r="C595" i="3"/>
  <c r="C643" i="3"/>
  <c r="C691" i="3"/>
  <c r="C739" i="3"/>
  <c r="C787" i="3"/>
  <c r="C622" i="3"/>
  <c r="C712" i="3"/>
  <c r="C27" i="3"/>
  <c r="C75" i="3"/>
  <c r="C123" i="3"/>
  <c r="C171" i="3"/>
  <c r="C219" i="3"/>
  <c r="C267" i="3"/>
  <c r="C315" i="3"/>
  <c r="C363" i="3"/>
  <c r="C411" i="3"/>
  <c r="C459" i="3"/>
  <c r="C507" i="3"/>
  <c r="C40" i="3"/>
  <c r="C88" i="3"/>
  <c r="C136" i="3"/>
  <c r="C184" i="3"/>
  <c r="C232" i="3"/>
  <c r="C280" i="3"/>
  <c r="C328" i="3"/>
  <c r="C376" i="3"/>
  <c r="C424" i="3"/>
  <c r="C472" i="3"/>
  <c r="C520" i="3"/>
  <c r="C59" i="3"/>
  <c r="C107" i="3"/>
  <c r="C155" i="3"/>
  <c r="C203" i="3"/>
  <c r="C251" i="3"/>
  <c r="C299" i="3"/>
  <c r="C347" i="3"/>
  <c r="C32" i="3"/>
  <c r="C80" i="3"/>
  <c r="C128" i="3"/>
  <c r="C176" i="3"/>
  <c r="C224" i="3"/>
  <c r="C272" i="3"/>
  <c r="C320" i="3"/>
  <c r="C368" i="3"/>
  <c r="C416" i="3"/>
  <c r="C464" i="3"/>
  <c r="C512" i="3"/>
  <c r="C114" i="3"/>
  <c r="C258" i="3"/>
  <c r="C395" i="3"/>
  <c r="C491" i="3"/>
  <c r="C559" i="3"/>
  <c r="C607" i="3"/>
  <c r="C655" i="3"/>
  <c r="C703" i="3"/>
  <c r="C751" i="3"/>
  <c r="C568" i="3"/>
  <c r="C658" i="3"/>
  <c r="C700" i="3"/>
  <c r="C33" i="3"/>
  <c r="C81" i="3"/>
  <c r="C129" i="3"/>
  <c r="C177" i="3"/>
  <c r="C225" i="3"/>
  <c r="C273" i="3"/>
  <c r="C321" i="3"/>
  <c r="C369" i="3"/>
  <c r="C417" i="3"/>
  <c r="C465" i="3"/>
  <c r="C513" i="3"/>
  <c r="C46" i="3"/>
  <c r="C94" i="3"/>
  <c r="C142" i="3"/>
  <c r="C190" i="3"/>
  <c r="C238" i="3"/>
  <c r="C286" i="3"/>
  <c r="C334" i="3"/>
  <c r="C382" i="3"/>
  <c r="C430" i="3"/>
  <c r="C478" i="3"/>
  <c r="C526" i="3"/>
  <c r="C65" i="3"/>
  <c r="C113" i="3"/>
  <c r="C161" i="3"/>
  <c r="C209" i="3"/>
  <c r="C257" i="3"/>
  <c r="C305" i="3"/>
  <c r="C353" i="3"/>
  <c r="C38" i="3"/>
  <c r="C86" i="3"/>
  <c r="C134" i="3"/>
  <c r="C182" i="3"/>
  <c r="C230" i="3"/>
  <c r="C278" i="3"/>
  <c r="C326" i="3"/>
  <c r="C374" i="3"/>
  <c r="C422" i="3"/>
  <c r="C470" i="3"/>
  <c r="C518" i="3"/>
  <c r="C132" i="3"/>
  <c r="C276" i="3"/>
  <c r="C407" i="3"/>
  <c r="C503" i="3"/>
  <c r="C565" i="3"/>
  <c r="C613" i="3"/>
  <c r="C661" i="3"/>
  <c r="C709" i="3"/>
  <c r="C757" i="3"/>
  <c r="C497" i="3"/>
  <c r="C772" i="3"/>
  <c r="C604" i="3"/>
  <c r="C90" i="3"/>
  <c r="C748" i="3"/>
  <c r="C39" i="3"/>
  <c r="C87" i="3"/>
  <c r="C718" i="3"/>
  <c r="C550" i="3"/>
  <c r="C694" i="3"/>
  <c r="C45" i="3"/>
  <c r="C93" i="3"/>
  <c r="C141" i="3"/>
  <c r="C189" i="3"/>
  <c r="C237" i="3"/>
  <c r="C285" i="3"/>
  <c r="C333" i="3"/>
  <c r="C381" i="3"/>
  <c r="C429" i="3"/>
  <c r="C477" i="3"/>
  <c r="C525" i="3"/>
  <c r="C58" i="3"/>
  <c r="C106" i="3"/>
  <c r="C154" i="3"/>
  <c r="C202" i="3"/>
  <c r="C250" i="3"/>
  <c r="C298" i="3"/>
  <c r="C346" i="3"/>
  <c r="C394" i="3"/>
  <c r="C442" i="3"/>
  <c r="C490" i="3"/>
  <c r="C29" i="3"/>
  <c r="C77" i="3"/>
  <c r="C125" i="3"/>
  <c r="C173" i="3"/>
  <c r="C221" i="3"/>
  <c r="C269" i="3"/>
  <c r="C317" i="3"/>
  <c r="C365" i="3"/>
  <c r="C50" i="3"/>
  <c r="C98" i="3"/>
  <c r="C146" i="3"/>
  <c r="C194" i="3"/>
  <c r="C242" i="3"/>
  <c r="C290" i="3"/>
  <c r="C338" i="3"/>
  <c r="C386" i="3"/>
  <c r="C434" i="3"/>
  <c r="C482" i="3"/>
  <c r="C530" i="3"/>
  <c r="C168" i="3"/>
  <c r="C312" i="3"/>
  <c r="C431" i="3"/>
  <c r="C527" i="3"/>
  <c r="C577" i="3"/>
  <c r="C625" i="3"/>
  <c r="C673" i="3"/>
  <c r="C721" i="3"/>
  <c r="C769" i="3"/>
  <c r="C51" i="3"/>
  <c r="C183" i="3"/>
  <c r="C279" i="3"/>
  <c r="C375" i="3"/>
  <c r="C471" i="3"/>
  <c r="C52" i="3"/>
  <c r="C148" i="3"/>
  <c r="C244" i="3"/>
  <c r="C340" i="3"/>
  <c r="C436" i="3"/>
  <c r="C23" i="3"/>
  <c r="C119" i="3"/>
  <c r="C215" i="3"/>
  <c r="C311" i="3"/>
  <c r="C44" i="3"/>
  <c r="C140" i="3"/>
  <c r="C236" i="3"/>
  <c r="C332" i="3"/>
  <c r="C428" i="3"/>
  <c r="C524" i="3"/>
  <c r="C294" i="3"/>
  <c r="C515" i="3"/>
  <c r="C619" i="3"/>
  <c r="C715" i="3"/>
  <c r="C25" i="3"/>
  <c r="C169" i="3"/>
  <c r="C313" i="3"/>
  <c r="C432" i="3"/>
  <c r="C528" i="3"/>
  <c r="C578" i="3"/>
  <c r="C626" i="3"/>
  <c r="C674" i="3"/>
  <c r="C722" i="3"/>
  <c r="C770" i="3"/>
  <c r="C84" i="3"/>
  <c r="C228" i="3"/>
  <c r="C372" i="3"/>
  <c r="C469" i="3"/>
  <c r="C549" i="3"/>
  <c r="C597" i="3"/>
  <c r="C645" i="3"/>
  <c r="C693" i="3"/>
  <c r="C741" i="3"/>
  <c r="C789" i="3"/>
  <c r="C139" i="3"/>
  <c r="C283" i="3"/>
  <c r="C413" i="3"/>
  <c r="C91" i="3"/>
  <c r="C235" i="3"/>
  <c r="C379" i="3"/>
  <c r="C475" i="3"/>
  <c r="C552" i="3"/>
  <c r="C600" i="3"/>
  <c r="C648" i="3"/>
  <c r="C696" i="3"/>
  <c r="C744" i="3"/>
  <c r="C521" i="3"/>
  <c r="C670" i="3"/>
  <c r="C252" i="3"/>
  <c r="C599" i="3"/>
  <c r="C743" i="3"/>
  <c r="C551" i="3"/>
  <c r="C695" i="3"/>
  <c r="C324" i="3"/>
  <c r="C611" i="3"/>
  <c r="C755" i="3"/>
  <c r="C592" i="3"/>
  <c r="C557" i="3"/>
  <c r="C378" i="3"/>
  <c r="C322" i="3"/>
  <c r="C314" i="3"/>
  <c r="C620" i="3"/>
  <c r="C591" i="3"/>
  <c r="C401" i="3"/>
  <c r="C652" i="3"/>
  <c r="C754" i="3"/>
  <c r="C69" i="3"/>
  <c r="C195" i="3"/>
  <c r="C291" i="3"/>
  <c r="C387" i="3"/>
  <c r="C483" i="3"/>
  <c r="C64" i="3"/>
  <c r="C160" i="3"/>
  <c r="C256" i="3"/>
  <c r="C352" i="3"/>
  <c r="C448" i="3"/>
  <c r="C35" i="3"/>
  <c r="C131" i="3"/>
  <c r="C227" i="3"/>
  <c r="C323" i="3"/>
  <c r="C56" i="3"/>
  <c r="C152" i="3"/>
  <c r="C248" i="3"/>
  <c r="C344" i="3"/>
  <c r="C440" i="3"/>
  <c r="C42" i="3"/>
  <c r="C330" i="3"/>
  <c r="C535" i="3"/>
  <c r="C631" i="3"/>
  <c r="C727" i="3"/>
  <c r="C43" i="3"/>
  <c r="C187" i="3"/>
  <c r="C331" i="3"/>
  <c r="C444" i="3"/>
  <c r="C536" i="3"/>
  <c r="C584" i="3"/>
  <c r="C632" i="3"/>
  <c r="C680" i="3"/>
  <c r="C728" i="3"/>
  <c r="C776" i="3"/>
  <c r="C102" i="3"/>
  <c r="C246" i="3"/>
  <c r="C385" i="3"/>
  <c r="C481" i="3"/>
  <c r="C555" i="3"/>
  <c r="C603" i="3"/>
  <c r="C651" i="3"/>
  <c r="C699" i="3"/>
  <c r="C747" i="3"/>
  <c r="C157" i="3"/>
  <c r="C301" i="3"/>
  <c r="C425" i="3"/>
  <c r="C109" i="3"/>
  <c r="C253" i="3"/>
  <c r="C391" i="3"/>
  <c r="C487" i="3"/>
  <c r="C558" i="3"/>
  <c r="C606" i="3"/>
  <c r="C654" i="3"/>
  <c r="C702" i="3"/>
  <c r="C750" i="3"/>
  <c r="C544" i="3"/>
  <c r="C688" i="3"/>
  <c r="C360" i="3"/>
  <c r="C617" i="3"/>
  <c r="C761" i="3"/>
  <c r="C72" i="3"/>
  <c r="C569" i="3"/>
  <c r="C713" i="3"/>
  <c r="C414" i="3"/>
  <c r="C629" i="3"/>
  <c r="C773" i="3"/>
  <c r="C538" i="3"/>
  <c r="C736" i="3"/>
  <c r="C453" i="3"/>
  <c r="C26" i="3"/>
  <c r="C420" i="3"/>
  <c r="C354" i="3"/>
  <c r="C121" i="3"/>
  <c r="C594" i="3"/>
  <c r="C593" i="3"/>
  <c r="C99" i="3"/>
  <c r="C201" i="3"/>
  <c r="C297" i="3"/>
  <c r="C393" i="3"/>
  <c r="C489" i="3"/>
  <c r="C70" i="3"/>
  <c r="C166" i="3"/>
  <c r="C262" i="3"/>
  <c r="C358" i="3"/>
  <c r="C454" i="3"/>
  <c r="C41" i="3"/>
  <c r="C137" i="3"/>
  <c r="C233" i="3"/>
  <c r="C329" i="3"/>
  <c r="C62" i="3"/>
  <c r="C158" i="3"/>
  <c r="C254" i="3"/>
  <c r="C350" i="3"/>
  <c r="C446" i="3"/>
  <c r="C60" i="3"/>
  <c r="C348" i="3"/>
  <c r="C541" i="3"/>
  <c r="C637" i="3"/>
  <c r="C733" i="3"/>
  <c r="C61" i="3"/>
  <c r="C205" i="3"/>
  <c r="C349" i="3"/>
  <c r="C456" i="3"/>
  <c r="C542" i="3"/>
  <c r="C590" i="3"/>
  <c r="C638" i="3"/>
  <c r="C686" i="3"/>
  <c r="C734" i="3"/>
  <c r="C782" i="3"/>
  <c r="C120" i="3"/>
  <c r="C264" i="3"/>
  <c r="C397" i="3"/>
  <c r="C493" i="3"/>
  <c r="C561" i="3"/>
  <c r="C609" i="3"/>
  <c r="C657" i="3"/>
  <c r="C705" i="3"/>
  <c r="C753" i="3"/>
  <c r="C31" i="3"/>
  <c r="C175" i="3"/>
  <c r="C319" i="3"/>
  <c r="C437" i="3"/>
  <c r="C127" i="3"/>
  <c r="C271" i="3"/>
  <c r="C403" i="3"/>
  <c r="C499" i="3"/>
  <c r="C564" i="3"/>
  <c r="C612" i="3"/>
  <c r="C660" i="3"/>
  <c r="C708" i="3"/>
  <c r="C756" i="3"/>
  <c r="C562" i="3"/>
  <c r="C706" i="3"/>
  <c r="C438" i="3"/>
  <c r="C635" i="3"/>
  <c r="C779" i="3"/>
  <c r="C180" i="3"/>
  <c r="C587" i="3"/>
  <c r="C731" i="3"/>
  <c r="C474" i="3"/>
  <c r="C647" i="3"/>
  <c r="C682" i="3"/>
  <c r="C628" i="3"/>
  <c r="C701" i="3"/>
  <c r="C198" i="3"/>
  <c r="C261" i="3"/>
  <c r="C226" i="3"/>
  <c r="C197" i="3"/>
  <c r="C218" i="3"/>
  <c r="C479" i="3"/>
  <c r="C572" i="3"/>
  <c r="C66" i="3"/>
  <c r="C735" i="3"/>
  <c r="C217" i="3"/>
  <c r="C738" i="3"/>
  <c r="C216" i="3"/>
  <c r="C54" i="3"/>
  <c r="C766" i="3"/>
  <c r="C117" i="3"/>
  <c r="C213" i="3"/>
  <c r="C309" i="3"/>
  <c r="C405" i="3"/>
  <c r="C501" i="3"/>
  <c r="C82" i="3"/>
  <c r="C178" i="3"/>
  <c r="C274" i="3"/>
  <c r="C370" i="3"/>
  <c r="C466" i="3"/>
  <c r="C53" i="3"/>
  <c r="C149" i="3"/>
  <c r="C245" i="3"/>
  <c r="C341" i="3"/>
  <c r="C74" i="3"/>
  <c r="C170" i="3"/>
  <c r="C266" i="3"/>
  <c r="C362" i="3"/>
  <c r="C458" i="3"/>
  <c r="C96" i="3"/>
  <c r="C383" i="3"/>
  <c r="C553" i="3"/>
  <c r="C649" i="3"/>
  <c r="C745" i="3"/>
  <c r="C79" i="3"/>
  <c r="C223" i="3"/>
  <c r="C367" i="3"/>
  <c r="C468" i="3"/>
  <c r="C548" i="3"/>
  <c r="C596" i="3"/>
  <c r="C644" i="3"/>
  <c r="C692" i="3"/>
  <c r="C740" i="3"/>
  <c r="C788" i="3"/>
  <c r="C138" i="3"/>
  <c r="C282" i="3"/>
  <c r="C409" i="3"/>
  <c r="C505" i="3"/>
  <c r="C567" i="3"/>
  <c r="C615" i="3"/>
  <c r="C663" i="3"/>
  <c r="C711" i="3"/>
  <c r="C759" i="3"/>
  <c r="C49" i="3"/>
  <c r="C193" i="3"/>
  <c r="C337" i="3"/>
  <c r="C449" i="3"/>
  <c r="C145" i="3"/>
  <c r="C289" i="3"/>
  <c r="C415" i="3"/>
  <c r="C511" i="3"/>
  <c r="C570" i="3"/>
  <c r="C618" i="3"/>
  <c r="C666" i="3"/>
  <c r="C714" i="3"/>
  <c r="C762" i="3"/>
  <c r="C126" i="3"/>
  <c r="C580" i="3"/>
  <c r="C724" i="3"/>
  <c r="C486" i="3"/>
  <c r="C653" i="3"/>
  <c r="C288" i="3"/>
  <c r="C605" i="3"/>
  <c r="C749" i="3"/>
  <c r="C510" i="3"/>
  <c r="C665" i="3"/>
  <c r="C357" i="3"/>
  <c r="C293" i="3"/>
  <c r="C697" i="3"/>
  <c r="C151" i="3"/>
  <c r="C764" i="3"/>
  <c r="C687" i="3"/>
  <c r="C73" i="3"/>
  <c r="C690" i="3"/>
  <c r="C144" i="3"/>
  <c r="C737" i="3"/>
  <c r="C450" i="3"/>
  <c r="C135" i="3"/>
  <c r="C231" i="3"/>
  <c r="C327" i="3"/>
  <c r="C423" i="3"/>
  <c r="C519" i="3"/>
  <c r="C100" i="3"/>
  <c r="C196" i="3"/>
  <c r="C292" i="3"/>
  <c r="C388" i="3"/>
  <c r="C484" i="3"/>
  <c r="C71" i="3"/>
  <c r="C167" i="3"/>
  <c r="C263" i="3"/>
  <c r="C359" i="3"/>
  <c r="C92" i="3"/>
  <c r="C188" i="3"/>
  <c r="C284" i="3"/>
  <c r="C380" i="3"/>
  <c r="C476" i="3"/>
  <c r="C150" i="3"/>
  <c r="C419" i="3"/>
  <c r="C571" i="3"/>
  <c r="C667" i="3"/>
  <c r="C763" i="3"/>
  <c r="C97" i="3"/>
  <c r="C241" i="3"/>
  <c r="C384" i="3"/>
  <c r="C480" i="3"/>
  <c r="C554" i="3"/>
  <c r="C602" i="3"/>
  <c r="C650" i="3"/>
  <c r="C698" i="3"/>
  <c r="C746" i="3"/>
  <c r="C156" i="3"/>
  <c r="C300" i="3"/>
  <c r="C421" i="3"/>
  <c r="C517" i="3"/>
  <c r="C573" i="3"/>
  <c r="C621" i="3"/>
  <c r="C669" i="3"/>
  <c r="C717" i="3"/>
  <c r="C765" i="3"/>
  <c r="C67" i="3"/>
  <c r="C211" i="3"/>
  <c r="C355" i="3"/>
  <c r="C461" i="3"/>
  <c r="C163" i="3"/>
  <c r="C307" i="3"/>
  <c r="C427" i="3"/>
  <c r="C523" i="3"/>
  <c r="C576" i="3"/>
  <c r="C624" i="3"/>
  <c r="C672" i="3"/>
  <c r="C720" i="3"/>
  <c r="C768" i="3"/>
  <c r="C234" i="3"/>
  <c r="C598" i="3"/>
  <c r="C742" i="3"/>
  <c r="C522" i="3"/>
  <c r="C671" i="3"/>
  <c r="C390" i="3"/>
  <c r="C623" i="3"/>
  <c r="C767" i="3"/>
  <c r="C539" i="3"/>
  <c r="C683" i="3"/>
  <c r="C574" i="3"/>
  <c r="C101" i="3"/>
  <c r="C601" i="3"/>
  <c r="C295" i="3"/>
  <c r="C210" i="3"/>
  <c r="C783" i="3"/>
  <c r="C546" i="3"/>
  <c r="C725" i="3"/>
  <c r="C147" i="3"/>
  <c r="C243" i="3"/>
  <c r="C339" i="3"/>
  <c r="C435" i="3"/>
  <c r="C531" i="3"/>
  <c r="C112" i="3"/>
  <c r="C208" i="3"/>
  <c r="C304" i="3"/>
  <c r="C400" i="3"/>
  <c r="C496" i="3"/>
  <c r="C83" i="3"/>
  <c r="C179" i="3"/>
  <c r="C275" i="3"/>
  <c r="C371" i="3"/>
  <c r="C104" i="3"/>
  <c r="C200" i="3"/>
  <c r="C296" i="3"/>
  <c r="C392" i="3"/>
  <c r="C488" i="3"/>
  <c r="C186" i="3"/>
  <c r="C443" i="3"/>
  <c r="C583" i="3"/>
  <c r="C679" i="3"/>
  <c r="C775" i="3"/>
  <c r="C115" i="3"/>
  <c r="C259" i="3"/>
  <c r="C396" i="3"/>
  <c r="C492" i="3"/>
  <c r="C560" i="3"/>
  <c r="C608" i="3"/>
  <c r="C656" i="3"/>
  <c r="C704" i="3"/>
  <c r="C752" i="3"/>
  <c r="C30" i="3"/>
  <c r="C174" i="3"/>
  <c r="C318" i="3"/>
  <c r="C433" i="3"/>
  <c r="C529" i="3"/>
  <c r="C579" i="3"/>
  <c r="C627" i="3"/>
  <c r="C675" i="3"/>
  <c r="C723" i="3"/>
  <c r="C771" i="3"/>
  <c r="C85" i="3"/>
  <c r="C229" i="3"/>
  <c r="C373" i="3"/>
  <c r="C37" i="3"/>
  <c r="C181" i="3"/>
  <c r="C325" i="3"/>
  <c r="C439" i="3"/>
  <c r="C534" i="3"/>
  <c r="C582" i="3"/>
  <c r="C630" i="3"/>
  <c r="C678" i="3"/>
  <c r="C726" i="3"/>
  <c r="C774" i="3"/>
  <c r="C342" i="3"/>
  <c r="C616" i="3"/>
  <c r="C760" i="3"/>
  <c r="C545" i="3"/>
  <c r="C689" i="3"/>
  <c r="C462" i="3"/>
  <c r="C641" i="3"/>
  <c r="C785" i="3"/>
  <c r="C509" i="3"/>
  <c r="C418" i="3"/>
  <c r="C240" i="3"/>
  <c r="C716" i="3"/>
  <c r="C543" i="3"/>
  <c r="C265" i="3"/>
  <c r="C642" i="3"/>
  <c r="C581" i="3"/>
  <c r="C610" i="3"/>
  <c r="C640" i="3"/>
  <c r="C153" i="3"/>
  <c r="C249" i="3"/>
  <c r="C345" i="3"/>
  <c r="C441" i="3"/>
  <c r="C22" i="3"/>
  <c r="C118" i="3"/>
  <c r="C214" i="3"/>
  <c r="C310" i="3"/>
  <c r="C406" i="3"/>
  <c r="C502" i="3"/>
  <c r="C89" i="3"/>
  <c r="C185" i="3"/>
  <c r="C281" i="3"/>
  <c r="C377" i="3"/>
  <c r="C110" i="3"/>
  <c r="C206" i="3"/>
  <c r="C302" i="3"/>
  <c r="C398" i="3"/>
  <c r="C494" i="3"/>
  <c r="C204" i="3"/>
  <c r="C455" i="3"/>
  <c r="C589" i="3"/>
  <c r="C685" i="3"/>
  <c r="C781" i="3"/>
  <c r="C133" i="3"/>
  <c r="C277" i="3"/>
  <c r="C408" i="3"/>
  <c r="C504" i="3"/>
  <c r="C566" i="3"/>
  <c r="C614" i="3"/>
  <c r="C662" i="3"/>
  <c r="C710" i="3"/>
  <c r="C758" i="3"/>
  <c r="C48" i="3"/>
  <c r="C192" i="3"/>
  <c r="C336" i="3"/>
  <c r="C445" i="3"/>
  <c r="C537" i="3"/>
  <c r="C585" i="3"/>
  <c r="C633" i="3"/>
  <c r="C681" i="3"/>
  <c r="C729" i="3"/>
  <c r="C777" i="3"/>
  <c r="C103" i="3"/>
  <c r="C247" i="3"/>
  <c r="C389" i="3"/>
  <c r="C55" i="3"/>
  <c r="C199" i="3"/>
  <c r="C343" i="3"/>
  <c r="C451" i="3"/>
  <c r="C540" i="3"/>
  <c r="C588" i="3"/>
  <c r="C636" i="3"/>
  <c r="C684" i="3"/>
  <c r="C732" i="3"/>
  <c r="C780" i="3"/>
  <c r="C426" i="3"/>
  <c r="C634" i="3"/>
  <c r="C778" i="3"/>
  <c r="C36" i="3"/>
  <c r="C563" i="3"/>
  <c r="C707" i="3"/>
  <c r="C498" i="3"/>
  <c r="C659" i="3"/>
  <c r="C108" i="3"/>
  <c r="C575" i="3"/>
  <c r="C719" i="3"/>
  <c r="C306" i="3"/>
  <c r="C165" i="3"/>
  <c r="C34" i="3"/>
  <c r="C514" i="3"/>
  <c r="C122" i="3"/>
  <c r="C506" i="3"/>
  <c r="C516" i="3"/>
  <c r="C457" i="3"/>
  <c r="C361" i="3"/>
  <c r="C786" i="3"/>
  <c r="C485" i="3"/>
  <c r="C677" i="3"/>
  <c r="C130" i="3"/>
  <c r="C410" i="3"/>
  <c r="C668" i="3"/>
  <c r="C639" i="3"/>
  <c r="C463" i="3"/>
  <c r="C533" i="3"/>
  <c r="C664" i="3"/>
  <c r="C676" i="3"/>
  <c r="C730" i="3"/>
  <c r="C402" i="3"/>
  <c r="C784" i="3"/>
  <c r="C646" i="3"/>
  <c r="C270" i="3"/>
  <c r="E27" i="3"/>
  <c r="E35" i="3"/>
  <c r="E43" i="3"/>
  <c r="E51" i="3"/>
  <c r="E59" i="3"/>
  <c r="E67" i="3"/>
  <c r="E75" i="3"/>
  <c r="E83" i="3"/>
  <c r="E91" i="3"/>
  <c r="E99" i="3"/>
  <c r="E107" i="3"/>
  <c r="E115" i="3"/>
  <c r="E123" i="3"/>
  <c r="E131" i="3"/>
  <c r="E139" i="3"/>
  <c r="E147" i="3"/>
  <c r="E155" i="3"/>
  <c r="E163" i="3"/>
  <c r="E171" i="3"/>
  <c r="E179" i="3"/>
  <c r="E187" i="3"/>
  <c r="E195" i="3"/>
  <c r="E203" i="3"/>
  <c r="E211" i="3"/>
  <c r="E219" i="3"/>
  <c r="E227" i="3"/>
  <c r="E235" i="3"/>
  <c r="E243" i="3"/>
  <c r="E251" i="3"/>
  <c r="E259" i="3"/>
  <c r="E267" i="3"/>
  <c r="E275" i="3"/>
  <c r="E283" i="3"/>
  <c r="E291" i="3"/>
  <c r="E299" i="3"/>
  <c r="E307" i="3"/>
  <c r="E315" i="3"/>
  <c r="E323" i="3"/>
  <c r="E331" i="3"/>
  <c r="E339" i="3"/>
  <c r="E347" i="3"/>
  <c r="E355" i="3"/>
  <c r="E363" i="3"/>
  <c r="E371" i="3"/>
  <c r="E379" i="3"/>
  <c r="E387" i="3"/>
  <c r="E395" i="3"/>
  <c r="E403" i="3"/>
  <c r="E411" i="3"/>
  <c r="E419" i="3"/>
  <c r="E427" i="3"/>
  <c r="E435" i="3"/>
  <c r="E443" i="3"/>
  <c r="E451" i="3"/>
  <c r="E459" i="3"/>
  <c r="E467" i="3"/>
  <c r="E475" i="3"/>
  <c r="E483" i="3"/>
  <c r="E491" i="3"/>
  <c r="E499" i="3"/>
  <c r="E507" i="3"/>
  <c r="E515" i="3"/>
  <c r="E523" i="3"/>
  <c r="E531" i="3"/>
  <c r="E539" i="3"/>
  <c r="E547" i="3"/>
  <c r="E555" i="3"/>
  <c r="E563" i="3"/>
  <c r="E571" i="3"/>
  <c r="E579" i="3"/>
  <c r="E587" i="3"/>
  <c r="E595" i="3"/>
  <c r="E603" i="3"/>
  <c r="E611" i="3"/>
  <c r="E619" i="3"/>
  <c r="E627" i="3"/>
  <c r="E635" i="3"/>
  <c r="E643" i="3"/>
  <c r="E651" i="3"/>
  <c r="E659" i="3"/>
  <c r="E667" i="3"/>
  <c r="E675" i="3"/>
  <c r="E683" i="3"/>
  <c r="E691" i="3"/>
  <c r="E699" i="3"/>
  <c r="E707" i="3"/>
  <c r="E715" i="3"/>
  <c r="E723" i="3"/>
  <c r="E731" i="3"/>
  <c r="E739" i="3"/>
  <c r="E747" i="3"/>
  <c r="E755" i="3"/>
  <c r="E763" i="3"/>
  <c r="E771" i="3"/>
  <c r="E779" i="3"/>
  <c r="E787" i="3"/>
  <c r="E48" i="3"/>
  <c r="E64" i="3"/>
  <c r="E88" i="3"/>
  <c r="E128" i="3"/>
  <c r="E168" i="3"/>
  <c r="E208" i="3"/>
  <c r="E240" i="3"/>
  <c r="E280" i="3"/>
  <c r="E296" i="3"/>
  <c r="E328" i="3"/>
  <c r="E360" i="3"/>
  <c r="E400" i="3"/>
  <c r="E416" i="3"/>
  <c r="E456" i="3"/>
  <c r="E496" i="3"/>
  <c r="E544" i="3"/>
  <c r="E592" i="3"/>
  <c r="E632" i="3"/>
  <c r="E656" i="3"/>
  <c r="E688" i="3"/>
  <c r="E728" i="3"/>
  <c r="E752" i="3"/>
  <c r="E306" i="3"/>
  <c r="E458" i="3"/>
  <c r="E498" i="3"/>
  <c r="E522" i="3"/>
  <c r="E554" i="3"/>
  <c r="E594" i="3"/>
  <c r="E626" i="3"/>
  <c r="E642" i="3"/>
  <c r="E674" i="3"/>
  <c r="E690" i="3"/>
  <c r="E730" i="3"/>
  <c r="E762" i="3"/>
  <c r="E28" i="3"/>
  <c r="E36" i="3"/>
  <c r="E44" i="3"/>
  <c r="E52" i="3"/>
  <c r="E60" i="3"/>
  <c r="E68" i="3"/>
  <c r="E76" i="3"/>
  <c r="E84" i="3"/>
  <c r="E92" i="3"/>
  <c r="E100" i="3"/>
  <c r="E108" i="3"/>
  <c r="E116" i="3"/>
  <c r="E124" i="3"/>
  <c r="E132" i="3"/>
  <c r="E140" i="3"/>
  <c r="E148" i="3"/>
  <c r="E156" i="3"/>
  <c r="E164" i="3"/>
  <c r="E172" i="3"/>
  <c r="E180" i="3"/>
  <c r="E188" i="3"/>
  <c r="E196" i="3"/>
  <c r="E204" i="3"/>
  <c r="E212" i="3"/>
  <c r="E220" i="3"/>
  <c r="E228" i="3"/>
  <c r="E236" i="3"/>
  <c r="E244" i="3"/>
  <c r="E252" i="3"/>
  <c r="E260" i="3"/>
  <c r="E268" i="3"/>
  <c r="E276" i="3"/>
  <c r="E284" i="3"/>
  <c r="E292" i="3"/>
  <c r="E300" i="3"/>
  <c r="E308" i="3"/>
  <c r="E316" i="3"/>
  <c r="E324" i="3"/>
  <c r="E332" i="3"/>
  <c r="E340" i="3"/>
  <c r="E348" i="3"/>
  <c r="E356" i="3"/>
  <c r="E364" i="3"/>
  <c r="E372" i="3"/>
  <c r="E380" i="3"/>
  <c r="E388" i="3"/>
  <c r="E396" i="3"/>
  <c r="E404" i="3"/>
  <c r="E412" i="3"/>
  <c r="E420" i="3"/>
  <c r="E428" i="3"/>
  <c r="E436" i="3"/>
  <c r="E444" i="3"/>
  <c r="E452" i="3"/>
  <c r="E460" i="3"/>
  <c r="E468" i="3"/>
  <c r="E476" i="3"/>
  <c r="E484" i="3"/>
  <c r="E492" i="3"/>
  <c r="E500" i="3"/>
  <c r="E508" i="3"/>
  <c r="E516" i="3"/>
  <c r="E524" i="3"/>
  <c r="E532" i="3"/>
  <c r="E540" i="3"/>
  <c r="E548" i="3"/>
  <c r="E556" i="3"/>
  <c r="E564" i="3"/>
  <c r="E572" i="3"/>
  <c r="E580" i="3"/>
  <c r="E588" i="3"/>
  <c r="E596" i="3"/>
  <c r="E604" i="3"/>
  <c r="E612" i="3"/>
  <c r="E620" i="3"/>
  <c r="E628" i="3"/>
  <c r="E636" i="3"/>
  <c r="E644" i="3"/>
  <c r="E652" i="3"/>
  <c r="E660" i="3"/>
  <c r="E668" i="3"/>
  <c r="E676" i="3"/>
  <c r="E684" i="3"/>
  <c r="E692" i="3"/>
  <c r="E700" i="3"/>
  <c r="E708" i="3"/>
  <c r="E716" i="3"/>
  <c r="E724" i="3"/>
  <c r="E732" i="3"/>
  <c r="E740" i="3"/>
  <c r="E748" i="3"/>
  <c r="E756" i="3"/>
  <c r="E764" i="3"/>
  <c r="E772" i="3"/>
  <c r="E780" i="3"/>
  <c r="E788" i="3"/>
  <c r="E32" i="3"/>
  <c r="E120" i="3"/>
  <c r="E176" i="3"/>
  <c r="E216" i="3"/>
  <c r="E264" i="3"/>
  <c r="E312" i="3"/>
  <c r="E368" i="3"/>
  <c r="E408" i="3"/>
  <c r="E440" i="3"/>
  <c r="E480" i="3"/>
  <c r="E536" i="3"/>
  <c r="E576" i="3"/>
  <c r="E624" i="3"/>
  <c r="E672" i="3"/>
  <c r="E704" i="3"/>
  <c r="E760" i="3"/>
  <c r="E386" i="3"/>
  <c r="E586" i="3"/>
  <c r="E658" i="3"/>
  <c r="E722" i="3"/>
  <c r="E786" i="3"/>
  <c r="E29" i="3"/>
  <c r="E37" i="3"/>
  <c r="E45" i="3"/>
  <c r="E53" i="3"/>
  <c r="E61" i="3"/>
  <c r="E69" i="3"/>
  <c r="E77" i="3"/>
  <c r="E85" i="3"/>
  <c r="E93" i="3"/>
  <c r="E101" i="3"/>
  <c r="E109" i="3"/>
  <c r="E117" i="3"/>
  <c r="E125" i="3"/>
  <c r="E133" i="3"/>
  <c r="E141" i="3"/>
  <c r="E149" i="3"/>
  <c r="E157" i="3"/>
  <c r="E165" i="3"/>
  <c r="E173" i="3"/>
  <c r="E181" i="3"/>
  <c r="E189" i="3"/>
  <c r="E197" i="3"/>
  <c r="E205" i="3"/>
  <c r="E213" i="3"/>
  <c r="E221" i="3"/>
  <c r="E229" i="3"/>
  <c r="E237" i="3"/>
  <c r="E245" i="3"/>
  <c r="E253" i="3"/>
  <c r="E261" i="3"/>
  <c r="E269" i="3"/>
  <c r="E277" i="3"/>
  <c r="E285" i="3"/>
  <c r="E293" i="3"/>
  <c r="E301" i="3"/>
  <c r="E309" i="3"/>
  <c r="E317" i="3"/>
  <c r="E325" i="3"/>
  <c r="E333" i="3"/>
  <c r="E341" i="3"/>
  <c r="E349" i="3"/>
  <c r="E357" i="3"/>
  <c r="E365" i="3"/>
  <c r="E373" i="3"/>
  <c r="E381" i="3"/>
  <c r="E389" i="3"/>
  <c r="E397" i="3"/>
  <c r="E405" i="3"/>
  <c r="E413" i="3"/>
  <c r="E421" i="3"/>
  <c r="E429" i="3"/>
  <c r="E437" i="3"/>
  <c r="E445" i="3"/>
  <c r="E453" i="3"/>
  <c r="E461" i="3"/>
  <c r="E469" i="3"/>
  <c r="E477" i="3"/>
  <c r="E485" i="3"/>
  <c r="E493" i="3"/>
  <c r="E501" i="3"/>
  <c r="E509" i="3"/>
  <c r="E517" i="3"/>
  <c r="E525" i="3"/>
  <c r="E533" i="3"/>
  <c r="E541" i="3"/>
  <c r="E549" i="3"/>
  <c r="E557" i="3"/>
  <c r="E565" i="3"/>
  <c r="E573" i="3"/>
  <c r="E581" i="3"/>
  <c r="E589" i="3"/>
  <c r="E597" i="3"/>
  <c r="E605" i="3"/>
  <c r="E613" i="3"/>
  <c r="E621" i="3"/>
  <c r="E629" i="3"/>
  <c r="E637" i="3"/>
  <c r="E645" i="3"/>
  <c r="E653" i="3"/>
  <c r="E661" i="3"/>
  <c r="E669" i="3"/>
  <c r="E677" i="3"/>
  <c r="E685" i="3"/>
  <c r="E693" i="3"/>
  <c r="E701" i="3"/>
  <c r="E709" i="3"/>
  <c r="E717" i="3"/>
  <c r="E725" i="3"/>
  <c r="E733" i="3"/>
  <c r="E741" i="3"/>
  <c r="E749" i="3"/>
  <c r="E757" i="3"/>
  <c r="E765" i="3"/>
  <c r="E773" i="3"/>
  <c r="E781" i="3"/>
  <c r="E789" i="3"/>
  <c r="E40" i="3"/>
  <c r="E72" i="3"/>
  <c r="E96" i="3"/>
  <c r="E136" i="3"/>
  <c r="E160" i="3"/>
  <c r="E200" i="3"/>
  <c r="E232" i="3"/>
  <c r="E272" i="3"/>
  <c r="E320" i="3"/>
  <c r="E352" i="3"/>
  <c r="E392" i="3"/>
  <c r="E424" i="3"/>
  <c r="E464" i="3"/>
  <c r="E504" i="3"/>
  <c r="E528" i="3"/>
  <c r="E568" i="3"/>
  <c r="E616" i="3"/>
  <c r="E648" i="3"/>
  <c r="E696" i="3"/>
  <c r="E736" i="3"/>
  <c r="E768" i="3"/>
  <c r="E314" i="3"/>
  <c r="E442" i="3"/>
  <c r="E490" i="3"/>
  <c r="E530" i="3"/>
  <c r="E562" i="3"/>
  <c r="E602" i="3"/>
  <c r="E666" i="3"/>
  <c r="E714" i="3"/>
  <c r="E754" i="3"/>
  <c r="E30" i="3"/>
  <c r="E38" i="3"/>
  <c r="E46" i="3"/>
  <c r="E54" i="3"/>
  <c r="E62" i="3"/>
  <c r="E70" i="3"/>
  <c r="E78" i="3"/>
  <c r="E86" i="3"/>
  <c r="E94" i="3"/>
  <c r="E102" i="3"/>
  <c r="E110" i="3"/>
  <c r="E118" i="3"/>
  <c r="E126" i="3"/>
  <c r="E134" i="3"/>
  <c r="E142" i="3"/>
  <c r="E150" i="3"/>
  <c r="E158" i="3"/>
  <c r="E166" i="3"/>
  <c r="E174" i="3"/>
  <c r="E182" i="3"/>
  <c r="E190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E350" i="3"/>
  <c r="E358" i="3"/>
  <c r="E366" i="3"/>
  <c r="E374" i="3"/>
  <c r="E382" i="3"/>
  <c r="E390" i="3"/>
  <c r="E398" i="3"/>
  <c r="E406" i="3"/>
  <c r="E414" i="3"/>
  <c r="E422" i="3"/>
  <c r="E430" i="3"/>
  <c r="E438" i="3"/>
  <c r="E446" i="3"/>
  <c r="E454" i="3"/>
  <c r="E462" i="3"/>
  <c r="E470" i="3"/>
  <c r="E478" i="3"/>
  <c r="E486" i="3"/>
  <c r="E494" i="3"/>
  <c r="E502" i="3"/>
  <c r="E510" i="3"/>
  <c r="E518" i="3"/>
  <c r="E526" i="3"/>
  <c r="E534" i="3"/>
  <c r="E542" i="3"/>
  <c r="E550" i="3"/>
  <c r="E558" i="3"/>
  <c r="E566" i="3"/>
  <c r="E574" i="3"/>
  <c r="E582" i="3"/>
  <c r="E590" i="3"/>
  <c r="E598" i="3"/>
  <c r="E606" i="3"/>
  <c r="E614" i="3"/>
  <c r="E622" i="3"/>
  <c r="E630" i="3"/>
  <c r="E638" i="3"/>
  <c r="E646" i="3"/>
  <c r="E654" i="3"/>
  <c r="E662" i="3"/>
  <c r="E670" i="3"/>
  <c r="E678" i="3"/>
  <c r="E686" i="3"/>
  <c r="E694" i="3"/>
  <c r="E702" i="3"/>
  <c r="E710" i="3"/>
  <c r="E718" i="3"/>
  <c r="E726" i="3"/>
  <c r="E734" i="3"/>
  <c r="E742" i="3"/>
  <c r="E750" i="3"/>
  <c r="E758" i="3"/>
  <c r="E766" i="3"/>
  <c r="E774" i="3"/>
  <c r="E782" i="3"/>
  <c r="E22" i="3"/>
  <c r="E56" i="3"/>
  <c r="E80" i="3"/>
  <c r="E112" i="3"/>
  <c r="E144" i="3"/>
  <c r="E184" i="3"/>
  <c r="E248" i="3"/>
  <c r="E304" i="3"/>
  <c r="E344" i="3"/>
  <c r="E384" i="3"/>
  <c r="E432" i="3"/>
  <c r="E472" i="3"/>
  <c r="E512" i="3"/>
  <c r="E552" i="3"/>
  <c r="E584" i="3"/>
  <c r="E600" i="3"/>
  <c r="E640" i="3"/>
  <c r="E680" i="3"/>
  <c r="E712" i="3"/>
  <c r="E744" i="3"/>
  <c r="E784" i="3"/>
  <c r="E322" i="3"/>
  <c r="E466" i="3"/>
  <c r="E514" i="3"/>
  <c r="E546" i="3"/>
  <c r="E570" i="3"/>
  <c r="E610" i="3"/>
  <c r="E634" i="3"/>
  <c r="E698" i="3"/>
  <c r="E746" i="3"/>
  <c r="E778" i="3"/>
  <c r="E23" i="3"/>
  <c r="E31" i="3"/>
  <c r="E39" i="3"/>
  <c r="E47" i="3"/>
  <c r="E55" i="3"/>
  <c r="E63" i="3"/>
  <c r="E71" i="3"/>
  <c r="E79" i="3"/>
  <c r="E87" i="3"/>
  <c r="E95" i="3"/>
  <c r="E103" i="3"/>
  <c r="E111" i="3"/>
  <c r="E119" i="3"/>
  <c r="E127" i="3"/>
  <c r="E135" i="3"/>
  <c r="E143" i="3"/>
  <c r="E151" i="3"/>
  <c r="E159" i="3"/>
  <c r="E167" i="3"/>
  <c r="E175" i="3"/>
  <c r="E183" i="3"/>
  <c r="E191" i="3"/>
  <c r="E199" i="3"/>
  <c r="E207" i="3"/>
  <c r="E215" i="3"/>
  <c r="E223" i="3"/>
  <c r="E231" i="3"/>
  <c r="E239" i="3"/>
  <c r="E247" i="3"/>
  <c r="E255" i="3"/>
  <c r="E263" i="3"/>
  <c r="E271" i="3"/>
  <c r="E279" i="3"/>
  <c r="E287" i="3"/>
  <c r="E295" i="3"/>
  <c r="E303" i="3"/>
  <c r="E311" i="3"/>
  <c r="E319" i="3"/>
  <c r="E327" i="3"/>
  <c r="E335" i="3"/>
  <c r="E343" i="3"/>
  <c r="E351" i="3"/>
  <c r="E359" i="3"/>
  <c r="E367" i="3"/>
  <c r="E375" i="3"/>
  <c r="E383" i="3"/>
  <c r="E391" i="3"/>
  <c r="E399" i="3"/>
  <c r="E407" i="3"/>
  <c r="E415" i="3"/>
  <c r="E423" i="3"/>
  <c r="E431" i="3"/>
  <c r="E439" i="3"/>
  <c r="E447" i="3"/>
  <c r="E455" i="3"/>
  <c r="E463" i="3"/>
  <c r="E471" i="3"/>
  <c r="E479" i="3"/>
  <c r="E487" i="3"/>
  <c r="E495" i="3"/>
  <c r="E503" i="3"/>
  <c r="E511" i="3"/>
  <c r="E519" i="3"/>
  <c r="E527" i="3"/>
  <c r="E535" i="3"/>
  <c r="E543" i="3"/>
  <c r="E551" i="3"/>
  <c r="E559" i="3"/>
  <c r="E567" i="3"/>
  <c r="E575" i="3"/>
  <c r="E583" i="3"/>
  <c r="E591" i="3"/>
  <c r="E599" i="3"/>
  <c r="E607" i="3"/>
  <c r="E615" i="3"/>
  <c r="E623" i="3"/>
  <c r="E631" i="3"/>
  <c r="E639" i="3"/>
  <c r="E647" i="3"/>
  <c r="E655" i="3"/>
  <c r="E663" i="3"/>
  <c r="E671" i="3"/>
  <c r="E679" i="3"/>
  <c r="E687" i="3"/>
  <c r="E695" i="3"/>
  <c r="E703" i="3"/>
  <c r="E711" i="3"/>
  <c r="E719" i="3"/>
  <c r="E727" i="3"/>
  <c r="E735" i="3"/>
  <c r="E743" i="3"/>
  <c r="E751" i="3"/>
  <c r="E759" i="3"/>
  <c r="E767" i="3"/>
  <c r="E775" i="3"/>
  <c r="E783" i="3"/>
  <c r="B22" i="3"/>
  <c r="E24" i="3"/>
  <c r="E104" i="3"/>
  <c r="E152" i="3"/>
  <c r="E192" i="3"/>
  <c r="E224" i="3"/>
  <c r="E256" i="3"/>
  <c r="E288" i="3"/>
  <c r="E336" i="3"/>
  <c r="E376" i="3"/>
  <c r="E448" i="3"/>
  <c r="E488" i="3"/>
  <c r="E520" i="3"/>
  <c r="E560" i="3"/>
  <c r="E608" i="3"/>
  <c r="E664" i="3"/>
  <c r="E720" i="3"/>
  <c r="E776" i="3"/>
  <c r="E25" i="3"/>
  <c r="E33" i="3"/>
  <c r="E41" i="3"/>
  <c r="E49" i="3"/>
  <c r="E57" i="3"/>
  <c r="E65" i="3"/>
  <c r="E73" i="3"/>
  <c r="E81" i="3"/>
  <c r="E89" i="3"/>
  <c r="E97" i="3"/>
  <c r="E105" i="3"/>
  <c r="E113" i="3"/>
  <c r="E121" i="3"/>
  <c r="E129" i="3"/>
  <c r="E137" i="3"/>
  <c r="E145" i="3"/>
  <c r="E153" i="3"/>
  <c r="E161" i="3"/>
  <c r="E169" i="3"/>
  <c r="E177" i="3"/>
  <c r="E185" i="3"/>
  <c r="E193" i="3"/>
  <c r="E201" i="3"/>
  <c r="E209" i="3"/>
  <c r="E217" i="3"/>
  <c r="E225" i="3"/>
  <c r="E233" i="3"/>
  <c r="E241" i="3"/>
  <c r="E249" i="3"/>
  <c r="E257" i="3"/>
  <c r="E265" i="3"/>
  <c r="E273" i="3"/>
  <c r="E281" i="3"/>
  <c r="E289" i="3"/>
  <c r="E297" i="3"/>
  <c r="E305" i="3"/>
  <c r="E313" i="3"/>
  <c r="E321" i="3"/>
  <c r="E329" i="3"/>
  <c r="E337" i="3"/>
  <c r="E345" i="3"/>
  <c r="E353" i="3"/>
  <c r="E361" i="3"/>
  <c r="E369" i="3"/>
  <c r="E377" i="3"/>
  <c r="E385" i="3"/>
  <c r="E393" i="3"/>
  <c r="E401" i="3"/>
  <c r="E409" i="3"/>
  <c r="E417" i="3"/>
  <c r="E425" i="3"/>
  <c r="E433" i="3"/>
  <c r="E441" i="3"/>
  <c r="E449" i="3"/>
  <c r="E457" i="3"/>
  <c r="E465" i="3"/>
  <c r="E473" i="3"/>
  <c r="E481" i="3"/>
  <c r="E489" i="3"/>
  <c r="E497" i="3"/>
  <c r="E505" i="3"/>
  <c r="E513" i="3"/>
  <c r="E521" i="3"/>
  <c r="E529" i="3"/>
  <c r="E537" i="3"/>
  <c r="E545" i="3"/>
  <c r="E553" i="3"/>
  <c r="E561" i="3"/>
  <c r="E569" i="3"/>
  <c r="E577" i="3"/>
  <c r="E585" i="3"/>
  <c r="E593" i="3"/>
  <c r="E601" i="3"/>
  <c r="E609" i="3"/>
  <c r="E617" i="3"/>
  <c r="E625" i="3"/>
  <c r="E633" i="3"/>
  <c r="E641" i="3"/>
  <c r="E649" i="3"/>
  <c r="E657" i="3"/>
  <c r="E665" i="3"/>
  <c r="E673" i="3"/>
  <c r="E681" i="3"/>
  <c r="E689" i="3"/>
  <c r="E697" i="3"/>
  <c r="E705" i="3"/>
  <c r="E713" i="3"/>
  <c r="E721" i="3"/>
  <c r="E729" i="3"/>
  <c r="E737" i="3"/>
  <c r="E745" i="3"/>
  <c r="E753" i="3"/>
  <c r="E761" i="3"/>
  <c r="E769" i="3"/>
  <c r="E777" i="3"/>
  <c r="E785" i="3"/>
  <c r="E26" i="3"/>
  <c r="E34" i="3"/>
  <c r="E42" i="3"/>
  <c r="E50" i="3"/>
  <c r="E58" i="3"/>
  <c r="E66" i="3"/>
  <c r="E74" i="3"/>
  <c r="E82" i="3"/>
  <c r="E90" i="3"/>
  <c r="E98" i="3"/>
  <c r="E106" i="3"/>
  <c r="E114" i="3"/>
  <c r="E122" i="3"/>
  <c r="E130" i="3"/>
  <c r="E138" i="3"/>
  <c r="E146" i="3"/>
  <c r="E154" i="3"/>
  <c r="E162" i="3"/>
  <c r="E170" i="3"/>
  <c r="E178" i="3"/>
  <c r="E186" i="3"/>
  <c r="E194" i="3"/>
  <c r="E202" i="3"/>
  <c r="E210" i="3"/>
  <c r="E218" i="3"/>
  <c r="E226" i="3"/>
  <c r="E234" i="3"/>
  <c r="E242" i="3"/>
  <c r="E250" i="3"/>
  <c r="E258" i="3"/>
  <c r="E266" i="3"/>
  <c r="E274" i="3"/>
  <c r="E282" i="3"/>
  <c r="E290" i="3"/>
  <c r="E298" i="3"/>
  <c r="E330" i="3"/>
  <c r="E338" i="3"/>
  <c r="E346" i="3"/>
  <c r="E354" i="3"/>
  <c r="E362" i="3"/>
  <c r="E370" i="3"/>
  <c r="E378" i="3"/>
  <c r="E394" i="3"/>
  <c r="E402" i="3"/>
  <c r="E410" i="3"/>
  <c r="E418" i="3"/>
  <c r="E426" i="3"/>
  <c r="E434" i="3"/>
  <c r="E450" i="3"/>
  <c r="E474" i="3"/>
  <c r="E482" i="3"/>
  <c r="E506" i="3"/>
  <c r="E538" i="3"/>
  <c r="E578" i="3"/>
  <c r="E618" i="3"/>
  <c r="E650" i="3"/>
  <c r="E682" i="3"/>
  <c r="E706" i="3"/>
  <c r="E738" i="3"/>
  <c r="E770" i="3"/>
  <c r="B734" i="3"/>
  <c r="B457" i="3"/>
  <c r="B767" i="3"/>
  <c r="B719" i="3"/>
  <c r="B671" i="3"/>
  <c r="B577" i="3"/>
  <c r="B419" i="3"/>
  <c r="B144" i="3"/>
  <c r="B748" i="3"/>
  <c r="B682" i="3"/>
  <c r="B609" i="3"/>
  <c r="B465" i="3"/>
  <c r="B209" i="3"/>
  <c r="B759" i="3"/>
  <c r="B711" i="3"/>
  <c r="B663" i="3"/>
  <c r="B553" i="3"/>
  <c r="B383" i="3"/>
  <c r="B96" i="3"/>
  <c r="B722" i="3"/>
  <c r="B431" i="3"/>
  <c r="B775" i="3"/>
  <c r="B727" i="3"/>
  <c r="B679" i="3"/>
  <c r="B601" i="3"/>
  <c r="B455" i="3"/>
  <c r="B192" i="3"/>
  <c r="B716" i="3"/>
  <c r="B377" i="3"/>
  <c r="B761" i="3"/>
  <c r="B713" i="3"/>
  <c r="B665" i="3"/>
  <c r="B559" i="3"/>
  <c r="B391" i="3"/>
  <c r="B108" i="3"/>
  <c r="B742" i="3"/>
  <c r="B676" i="3"/>
  <c r="B591" i="3"/>
  <c r="B439" i="3"/>
  <c r="B173" i="3"/>
  <c r="B753" i="3"/>
  <c r="B705" i="3"/>
  <c r="B656" i="3"/>
  <c r="B535" i="3"/>
  <c r="B348" i="3"/>
  <c r="B53" i="3"/>
  <c r="B778" i="3"/>
  <c r="B704" i="3"/>
  <c r="B341" i="3"/>
  <c r="B769" i="3"/>
  <c r="B721" i="3"/>
  <c r="B673" i="3"/>
  <c r="B583" i="3"/>
  <c r="B427" i="3"/>
  <c r="B156" i="3"/>
  <c r="B68" i="3"/>
  <c r="B116" i="3"/>
  <c r="B164" i="3"/>
  <c r="B212" i="3"/>
  <c r="B760" i="3"/>
  <c r="B680" i="3"/>
  <c r="B161" i="3"/>
  <c r="B749" i="3"/>
  <c r="B701" i="3"/>
  <c r="B650" i="3"/>
  <c r="B523" i="3"/>
  <c r="B324" i="3"/>
  <c r="B712" i="3"/>
  <c r="B664" i="3"/>
  <c r="B555" i="3"/>
  <c r="B385" i="3"/>
  <c r="B101" i="3"/>
  <c r="B789" i="3"/>
  <c r="B741" i="3"/>
  <c r="B693" i="3"/>
  <c r="B637" i="3"/>
  <c r="B499" i="3"/>
  <c r="B276" i="3"/>
  <c r="B730" i="3"/>
  <c r="B668" i="3"/>
  <c r="B125" i="3"/>
  <c r="B757" i="3"/>
  <c r="B709" i="3"/>
  <c r="B661" i="3"/>
  <c r="B547" i="3"/>
  <c r="B372" i="3"/>
  <c r="B84" i="3"/>
  <c r="B32" i="3"/>
  <c r="B80" i="3"/>
  <c r="B128" i="3"/>
  <c r="B176" i="3"/>
  <c r="B224" i="3"/>
  <c r="B724" i="3"/>
  <c r="B655" i="3"/>
  <c r="B41" i="3"/>
  <c r="B743" i="3"/>
  <c r="B695" i="3"/>
  <c r="B639" i="3"/>
  <c r="B505" i="3"/>
  <c r="B288" i="3"/>
  <c r="B706" i="3"/>
  <c r="B657" i="3"/>
  <c r="B537" i="3"/>
  <c r="B353" i="3"/>
  <c r="B59" i="3"/>
  <c r="B783" i="3"/>
  <c r="B735" i="3"/>
  <c r="B687" i="3"/>
  <c r="B625" i="3"/>
  <c r="B481" i="3"/>
  <c r="B240" i="3"/>
  <c r="B788" i="3"/>
  <c r="B645" i="3"/>
  <c r="B751" i="3"/>
  <c r="B703" i="3"/>
  <c r="B652" i="3"/>
  <c r="B529" i="3"/>
  <c r="B336" i="3"/>
  <c r="B35" i="3"/>
  <c r="B38" i="3"/>
  <c r="B86" i="3"/>
  <c r="B134" i="3"/>
  <c r="B782" i="3"/>
  <c r="B621" i="3"/>
  <c r="B785" i="3"/>
  <c r="B737" i="3"/>
  <c r="B689" i="3"/>
  <c r="B627" i="3"/>
  <c r="B487" i="3"/>
  <c r="B252" i="3"/>
  <c r="B700" i="3"/>
  <c r="B649" i="3"/>
  <c r="B519" i="3"/>
  <c r="B317" i="3"/>
  <c r="B777" i="3"/>
  <c r="B729" i="3"/>
  <c r="B681" i="3"/>
  <c r="B607" i="3"/>
  <c r="B463" i="3"/>
  <c r="B204" i="3"/>
  <c r="B770" i="3"/>
  <c r="B603" i="3"/>
  <c r="B745" i="3"/>
  <c r="B697" i="3"/>
  <c r="B644" i="3"/>
  <c r="B511" i="3"/>
  <c r="B300" i="3"/>
  <c r="B764" i="3"/>
  <c r="B567" i="3"/>
  <c r="B779" i="3"/>
  <c r="B731" i="3"/>
  <c r="B683" i="3"/>
  <c r="B613" i="3"/>
  <c r="B469" i="3"/>
  <c r="B216" i="3"/>
  <c r="B784" i="3"/>
  <c r="B694" i="3"/>
  <c r="B638" i="3"/>
  <c r="B501" i="3"/>
  <c r="B281" i="3"/>
  <c r="B771" i="3"/>
  <c r="B723" i="3"/>
  <c r="B675" i="3"/>
  <c r="B589" i="3"/>
  <c r="B437" i="3"/>
  <c r="B168" i="3"/>
  <c r="B758" i="3"/>
  <c r="B549" i="3"/>
  <c r="B787" i="3"/>
  <c r="B739" i="3"/>
  <c r="B691" i="3"/>
  <c r="B632" i="3"/>
  <c r="B493" i="3"/>
  <c r="B264" i="3"/>
  <c r="B50" i="3"/>
  <c r="B98" i="3"/>
  <c r="B146" i="3"/>
  <c r="B194" i="3"/>
  <c r="B773" i="3"/>
  <c r="B445" i="3"/>
  <c r="B626" i="3"/>
  <c r="B765" i="3"/>
  <c r="B409" i="3"/>
  <c r="B495" i="3"/>
  <c r="B619" i="3"/>
  <c r="B44" i="3"/>
  <c r="B140" i="3"/>
  <c r="B218" i="3"/>
  <c r="B272" i="3"/>
  <c r="B320" i="3"/>
  <c r="B368" i="3"/>
  <c r="B416" i="3"/>
  <c r="B51" i="3"/>
  <c r="B99" i="3"/>
  <c r="B147" i="3"/>
  <c r="B195" i="3"/>
  <c r="B243" i="3"/>
  <c r="B291" i="3"/>
  <c r="B339" i="3"/>
  <c r="B387" i="3"/>
  <c r="B435" i="3"/>
  <c r="B70" i="3"/>
  <c r="B25" i="3"/>
  <c r="B73" i="3"/>
  <c r="B121" i="3"/>
  <c r="B169" i="3"/>
  <c r="B217" i="3"/>
  <c r="B265" i="3"/>
  <c r="B313" i="3"/>
  <c r="B361" i="3"/>
  <c r="B47" i="3"/>
  <c r="B154" i="3"/>
  <c r="B250" i="3"/>
  <c r="B346" i="3"/>
  <c r="B425" i="3"/>
  <c r="B485" i="3"/>
  <c r="B533" i="3"/>
  <c r="B581" i="3"/>
  <c r="B629" i="3"/>
  <c r="B107" i="3"/>
  <c r="B203" i="3"/>
  <c r="B299" i="3"/>
  <c r="B390" i="3"/>
  <c r="B462" i="3"/>
  <c r="B510" i="3"/>
  <c r="B558" i="3"/>
  <c r="B606" i="3"/>
  <c r="B654" i="3"/>
  <c r="B72" i="3"/>
  <c r="B172" i="3"/>
  <c r="B268" i="3"/>
  <c r="B364" i="3"/>
  <c r="B438" i="3"/>
  <c r="B494" i="3"/>
  <c r="B542" i="3"/>
  <c r="B590" i="3"/>
  <c r="B114" i="3"/>
  <c r="B210" i="3"/>
  <c r="B306" i="3"/>
  <c r="B396" i="3"/>
  <c r="B466" i="3"/>
  <c r="B514" i="3"/>
  <c r="B562" i="3"/>
  <c r="B610" i="3"/>
  <c r="B776" i="3"/>
  <c r="B585" i="3"/>
  <c r="B750" i="3"/>
  <c r="B702" i="3"/>
  <c r="B651" i="3"/>
  <c r="B525" i="3"/>
  <c r="B329" i="3"/>
  <c r="B23" i="3"/>
  <c r="B266" i="3"/>
  <c r="B237" i="3"/>
  <c r="B67" i="3"/>
  <c r="B575" i="3"/>
  <c r="B191" i="3"/>
  <c r="B648" i="3"/>
  <c r="B488" i="3"/>
  <c r="B294" i="3"/>
  <c r="B755" i="3"/>
  <c r="B360" i="3"/>
  <c r="B573" i="3"/>
  <c r="B747" i="3"/>
  <c r="B312" i="3"/>
  <c r="B233" i="3"/>
  <c r="B565" i="3"/>
  <c r="B56" i="3"/>
  <c r="B152" i="3"/>
  <c r="B230" i="3"/>
  <c r="B278" i="3"/>
  <c r="B326" i="3"/>
  <c r="B374" i="3"/>
  <c r="B422" i="3"/>
  <c r="B57" i="3"/>
  <c r="B105" i="3"/>
  <c r="B153" i="3"/>
  <c r="B201" i="3"/>
  <c r="B249" i="3"/>
  <c r="B297" i="3"/>
  <c r="B345" i="3"/>
  <c r="B393" i="3"/>
  <c r="B441" i="3"/>
  <c r="B28" i="3"/>
  <c r="B76" i="3"/>
  <c r="B31" i="3"/>
  <c r="B79" i="3"/>
  <c r="B127" i="3"/>
  <c r="B175" i="3"/>
  <c r="B223" i="3"/>
  <c r="B271" i="3"/>
  <c r="B319" i="3"/>
  <c r="B367" i="3"/>
  <c r="B65" i="3"/>
  <c r="B166" i="3"/>
  <c r="B262" i="3"/>
  <c r="B358" i="3"/>
  <c r="B433" i="3"/>
  <c r="B491" i="3"/>
  <c r="B539" i="3"/>
  <c r="B587" i="3"/>
  <c r="B635" i="3"/>
  <c r="B119" i="3"/>
  <c r="B215" i="3"/>
  <c r="B311" i="3"/>
  <c r="B400" i="3"/>
  <c r="B468" i="3"/>
  <c r="B516" i="3"/>
  <c r="B564" i="3"/>
  <c r="B612" i="3"/>
  <c r="B88" i="3"/>
  <c r="B184" i="3"/>
  <c r="B280" i="3"/>
  <c r="B376" i="3"/>
  <c r="B448" i="3"/>
  <c r="B500" i="3"/>
  <c r="B548" i="3"/>
  <c r="B596" i="3"/>
  <c r="B126" i="3"/>
  <c r="B222" i="3"/>
  <c r="B318" i="3"/>
  <c r="B406" i="3"/>
  <c r="B472" i="3"/>
  <c r="B520" i="3"/>
  <c r="B568" i="3"/>
  <c r="B616" i="3"/>
  <c r="B752" i="3"/>
  <c r="B531" i="3"/>
  <c r="B744" i="3"/>
  <c r="B696" i="3"/>
  <c r="B643" i="3"/>
  <c r="B507" i="3"/>
  <c r="B293" i="3"/>
  <c r="B524" i="3"/>
  <c r="B541" i="3"/>
  <c r="B26" i="3"/>
  <c r="B189" i="3"/>
  <c r="B163" i="3"/>
  <c r="B29" i="3"/>
  <c r="B623" i="3"/>
  <c r="B454" i="3"/>
  <c r="B160" i="3"/>
  <c r="B556" i="3"/>
  <c r="B543" i="3"/>
  <c r="B725" i="3"/>
  <c r="B180" i="3"/>
  <c r="B483" i="3"/>
  <c r="B717" i="3"/>
  <c r="B132" i="3"/>
  <c r="B781" i="3"/>
  <c r="B475" i="3"/>
  <c r="B62" i="3"/>
  <c r="B158" i="3"/>
  <c r="B236" i="3"/>
  <c r="B284" i="3"/>
  <c r="B332" i="3"/>
  <c r="B380" i="3"/>
  <c r="B428" i="3"/>
  <c r="B63" i="3"/>
  <c r="B111" i="3"/>
  <c r="B159" i="3"/>
  <c r="B207" i="3"/>
  <c r="B255" i="3"/>
  <c r="B303" i="3"/>
  <c r="B351" i="3"/>
  <c r="B399" i="3"/>
  <c r="B447" i="3"/>
  <c r="B34" i="3"/>
  <c r="B37" i="3"/>
  <c r="B85" i="3"/>
  <c r="B133" i="3"/>
  <c r="B181" i="3"/>
  <c r="B229" i="3"/>
  <c r="B277" i="3"/>
  <c r="B325" i="3"/>
  <c r="B373" i="3"/>
  <c r="B82" i="3"/>
  <c r="B178" i="3"/>
  <c r="B274" i="3"/>
  <c r="B370" i="3"/>
  <c r="B443" i="3"/>
  <c r="B497" i="3"/>
  <c r="B545" i="3"/>
  <c r="B593" i="3"/>
  <c r="B641" i="3"/>
  <c r="B131" i="3"/>
  <c r="B227" i="3"/>
  <c r="B323" i="3"/>
  <c r="B408" i="3"/>
  <c r="B474" i="3"/>
  <c r="B522" i="3"/>
  <c r="B570" i="3"/>
  <c r="B618" i="3"/>
  <c r="B100" i="3"/>
  <c r="B196" i="3"/>
  <c r="B292" i="3"/>
  <c r="B384" i="3"/>
  <c r="B456" i="3"/>
  <c r="B506" i="3"/>
  <c r="B554" i="3"/>
  <c r="B602" i="3"/>
  <c r="B24" i="3"/>
  <c r="B138" i="3"/>
  <c r="B234" i="3"/>
  <c r="B330" i="3"/>
  <c r="B414" i="3"/>
  <c r="B478" i="3"/>
  <c r="B526" i="3"/>
  <c r="B574" i="3"/>
  <c r="B622" i="3"/>
  <c r="B728" i="3"/>
  <c r="B477" i="3"/>
  <c r="B786" i="3"/>
  <c r="B738" i="3"/>
  <c r="B690" i="3"/>
  <c r="B631" i="3"/>
  <c r="B489" i="3"/>
  <c r="B257" i="3"/>
  <c r="B451" i="3"/>
  <c r="B464" i="3"/>
  <c r="B42" i="3"/>
  <c r="B424" i="3"/>
  <c r="B628" i="3"/>
  <c r="B780" i="3"/>
  <c r="B615" i="3"/>
  <c r="B579" i="3"/>
  <c r="B206" i="3"/>
  <c r="B458" i="3"/>
  <c r="B141" i="3"/>
  <c r="B355" i="3"/>
  <c r="B527" i="3"/>
  <c r="B382" i="3"/>
  <c r="B54" i="3"/>
  <c r="B508" i="3"/>
  <c r="B660" i="3"/>
  <c r="B707" i="3"/>
  <c r="B71" i="3"/>
  <c r="B413" i="3"/>
  <c r="B699" i="3"/>
  <c r="B763" i="3"/>
  <c r="B401" i="3"/>
  <c r="B74" i="3"/>
  <c r="B170" i="3"/>
  <c r="B242" i="3"/>
  <c r="B290" i="3"/>
  <c r="B338" i="3"/>
  <c r="B386" i="3"/>
  <c r="B434" i="3"/>
  <c r="B69" i="3"/>
  <c r="B117" i="3"/>
  <c r="B165" i="3"/>
  <c r="B213" i="3"/>
  <c r="B261" i="3"/>
  <c r="B309" i="3"/>
  <c r="B357" i="3"/>
  <c r="B405" i="3"/>
  <c r="B453" i="3"/>
  <c r="B40" i="3"/>
  <c r="B43" i="3"/>
  <c r="B91" i="3"/>
  <c r="B139" i="3"/>
  <c r="B187" i="3"/>
  <c r="B235" i="3"/>
  <c r="B283" i="3"/>
  <c r="B331" i="3"/>
  <c r="B94" i="3"/>
  <c r="B190" i="3"/>
  <c r="B286" i="3"/>
  <c r="B379" i="3"/>
  <c r="B503" i="3"/>
  <c r="B551" i="3"/>
  <c r="B599" i="3"/>
  <c r="B647" i="3"/>
  <c r="B30" i="3"/>
  <c r="B143" i="3"/>
  <c r="B239" i="3"/>
  <c r="B335" i="3"/>
  <c r="B418" i="3"/>
  <c r="B480" i="3"/>
  <c r="B528" i="3"/>
  <c r="B576" i="3"/>
  <c r="B624" i="3"/>
  <c r="B112" i="3"/>
  <c r="B208" i="3"/>
  <c r="B304" i="3"/>
  <c r="B394" i="3"/>
  <c r="B512" i="3"/>
  <c r="B560" i="3"/>
  <c r="B608" i="3"/>
  <c r="B150" i="3"/>
  <c r="B246" i="3"/>
  <c r="B342" i="3"/>
  <c r="B484" i="3"/>
  <c r="B532" i="3"/>
  <c r="B580" i="3"/>
  <c r="B710" i="3"/>
  <c r="B403" i="3"/>
  <c r="B732" i="3"/>
  <c r="B684" i="3"/>
  <c r="B471" i="3"/>
  <c r="B221" i="3"/>
  <c r="B620" i="3"/>
  <c r="B149" i="3"/>
  <c r="B269" i="3"/>
  <c r="B429" i="3"/>
  <c r="B307" i="3"/>
  <c r="B334" i="3"/>
  <c r="B504" i="3"/>
  <c r="B256" i="3"/>
  <c r="B604" i="3"/>
  <c r="B365" i="3"/>
  <c r="B746" i="3"/>
  <c r="B677" i="3"/>
  <c r="B766" i="3"/>
  <c r="B245" i="3"/>
  <c r="B669" i="3"/>
  <c r="B733" i="3"/>
  <c r="B228" i="3"/>
  <c r="B92" i="3"/>
  <c r="B182" i="3"/>
  <c r="B248" i="3"/>
  <c r="B296" i="3"/>
  <c r="B344" i="3"/>
  <c r="B392" i="3"/>
  <c r="B440" i="3"/>
  <c r="B27" i="3"/>
  <c r="B75" i="3"/>
  <c r="B123" i="3"/>
  <c r="B171" i="3"/>
  <c r="B219" i="3"/>
  <c r="B267" i="3"/>
  <c r="B315" i="3"/>
  <c r="B363" i="3"/>
  <c r="B411" i="3"/>
  <c r="B459" i="3"/>
  <c r="B46" i="3"/>
  <c r="B49" i="3"/>
  <c r="B97" i="3"/>
  <c r="B145" i="3"/>
  <c r="B193" i="3"/>
  <c r="B241" i="3"/>
  <c r="B289" i="3"/>
  <c r="B337" i="3"/>
  <c r="B106" i="3"/>
  <c r="B202" i="3"/>
  <c r="B298" i="3"/>
  <c r="B389" i="3"/>
  <c r="B461" i="3"/>
  <c r="B509" i="3"/>
  <c r="B557" i="3"/>
  <c r="B605" i="3"/>
  <c r="B653" i="3"/>
  <c r="B48" i="3"/>
  <c r="B155" i="3"/>
  <c r="B251" i="3"/>
  <c r="B347" i="3"/>
  <c r="B426" i="3"/>
  <c r="B486" i="3"/>
  <c r="B534" i="3"/>
  <c r="B582" i="3"/>
  <c r="B630" i="3"/>
  <c r="B124" i="3"/>
  <c r="B220" i="3"/>
  <c r="B316" i="3"/>
  <c r="B402" i="3"/>
  <c r="B470" i="3"/>
  <c r="B518" i="3"/>
  <c r="B566" i="3"/>
  <c r="B614" i="3"/>
  <c r="B60" i="3"/>
  <c r="B162" i="3"/>
  <c r="B258" i="3"/>
  <c r="B354" i="3"/>
  <c r="B432" i="3"/>
  <c r="B490" i="3"/>
  <c r="B538" i="3"/>
  <c r="B586" i="3"/>
  <c r="B634" i="3"/>
  <c r="B692" i="3"/>
  <c r="B305" i="3"/>
  <c r="B774" i="3"/>
  <c r="B726" i="3"/>
  <c r="B678" i="3"/>
  <c r="B597" i="3"/>
  <c r="B449" i="3"/>
  <c r="B185" i="3"/>
  <c r="B436" i="3"/>
  <c r="B412" i="3"/>
  <c r="B78" i="3"/>
  <c r="B270" i="3"/>
  <c r="B442" i="3"/>
  <c r="B544" i="3"/>
  <c r="B640" i="3"/>
  <c r="B197" i="3"/>
  <c r="B720" i="3"/>
  <c r="B421" i="3"/>
  <c r="B686" i="3"/>
  <c r="B93" i="3"/>
  <c r="B115" i="3"/>
  <c r="B142" i="3"/>
  <c r="B600" i="3"/>
  <c r="B430" i="3"/>
  <c r="B198" i="3"/>
  <c r="B633" i="3"/>
  <c r="B698" i="3"/>
  <c r="B658" i="3"/>
  <c r="B718" i="3"/>
  <c r="B137" i="3"/>
  <c r="B646" i="3"/>
  <c r="B754" i="3"/>
  <c r="B715" i="3"/>
  <c r="B120" i="3"/>
  <c r="B104" i="3"/>
  <c r="B188" i="3"/>
  <c r="B254" i="3"/>
  <c r="B302" i="3"/>
  <c r="B350" i="3"/>
  <c r="B398" i="3"/>
  <c r="B446" i="3"/>
  <c r="B33" i="3"/>
  <c r="B81" i="3"/>
  <c r="B129" i="3"/>
  <c r="B177" i="3"/>
  <c r="B225" i="3"/>
  <c r="B273" i="3"/>
  <c r="B321" i="3"/>
  <c r="B369" i="3"/>
  <c r="B417" i="3"/>
  <c r="B52" i="3"/>
  <c r="B55" i="3"/>
  <c r="B103" i="3"/>
  <c r="B151" i="3"/>
  <c r="B199" i="3"/>
  <c r="B247" i="3"/>
  <c r="B295" i="3"/>
  <c r="B343" i="3"/>
  <c r="B118" i="3"/>
  <c r="B214" i="3"/>
  <c r="B310" i="3"/>
  <c r="B397" i="3"/>
  <c r="B467" i="3"/>
  <c r="B515" i="3"/>
  <c r="B563" i="3"/>
  <c r="B611" i="3"/>
  <c r="B659" i="3"/>
  <c r="B66" i="3"/>
  <c r="B167" i="3"/>
  <c r="B263" i="3"/>
  <c r="B359" i="3"/>
  <c r="B492" i="3"/>
  <c r="B540" i="3"/>
  <c r="B588" i="3"/>
  <c r="B636" i="3"/>
  <c r="B136" i="3"/>
  <c r="B232" i="3"/>
  <c r="B328" i="3"/>
  <c r="B476" i="3"/>
  <c r="B572" i="3"/>
  <c r="B174" i="3"/>
  <c r="B366" i="3"/>
  <c r="B496" i="3"/>
  <c r="B592" i="3"/>
  <c r="B674" i="3"/>
  <c r="B768" i="3"/>
  <c r="B672" i="3"/>
  <c r="B667" i="3"/>
  <c r="B362" i="3"/>
  <c r="B333" i="3"/>
  <c r="B211" i="3"/>
  <c r="B238" i="3"/>
  <c r="B552" i="3"/>
  <c r="B352" i="3"/>
  <c r="B102" i="3"/>
  <c r="B736" i="3"/>
  <c r="B77" i="3"/>
  <c r="B513" i="3"/>
  <c r="B595" i="3"/>
  <c r="B688" i="3"/>
  <c r="B571" i="3"/>
  <c r="B740" i="3"/>
  <c r="B685" i="3"/>
  <c r="B110" i="3"/>
  <c r="B200" i="3"/>
  <c r="B260" i="3"/>
  <c r="B308" i="3"/>
  <c r="B356" i="3"/>
  <c r="B404" i="3"/>
  <c r="B452" i="3"/>
  <c r="B39" i="3"/>
  <c r="B87" i="3"/>
  <c r="B135" i="3"/>
  <c r="B183" i="3"/>
  <c r="B231" i="3"/>
  <c r="B279" i="3"/>
  <c r="B327" i="3"/>
  <c r="B375" i="3"/>
  <c r="B423" i="3"/>
  <c r="B58" i="3"/>
  <c r="B61" i="3"/>
  <c r="B109" i="3"/>
  <c r="B157" i="3"/>
  <c r="B205" i="3"/>
  <c r="B253" i="3"/>
  <c r="B301" i="3"/>
  <c r="B349" i="3"/>
  <c r="B130" i="3"/>
  <c r="B226" i="3"/>
  <c r="B322" i="3"/>
  <c r="B407" i="3"/>
  <c r="B473" i="3"/>
  <c r="B521" i="3"/>
  <c r="B569" i="3"/>
  <c r="B617" i="3"/>
  <c r="B83" i="3"/>
  <c r="B179" i="3"/>
  <c r="B275" i="3"/>
  <c r="B371" i="3"/>
  <c r="B444" i="3"/>
  <c r="B498" i="3"/>
  <c r="B546" i="3"/>
  <c r="B594" i="3"/>
  <c r="B642" i="3"/>
  <c r="B36" i="3"/>
  <c r="B148" i="3"/>
  <c r="B244" i="3"/>
  <c r="B340" i="3"/>
  <c r="B420" i="3"/>
  <c r="B482" i="3"/>
  <c r="B530" i="3"/>
  <c r="B578" i="3"/>
  <c r="B90" i="3"/>
  <c r="B186" i="3"/>
  <c r="B282" i="3"/>
  <c r="B378" i="3"/>
  <c r="B450" i="3"/>
  <c r="B502" i="3"/>
  <c r="B550" i="3"/>
  <c r="B598" i="3"/>
  <c r="B772" i="3"/>
  <c r="B662" i="3"/>
  <c r="B89" i="3"/>
  <c r="B762" i="3"/>
  <c r="B714" i="3"/>
  <c r="B666" i="3"/>
  <c r="B561" i="3"/>
  <c r="B395" i="3"/>
  <c r="B113" i="3"/>
  <c r="B517" i="3"/>
  <c r="B122" i="3"/>
  <c r="B410" i="3"/>
  <c r="B45" i="3"/>
  <c r="B381" i="3"/>
  <c r="B64" i="3"/>
  <c r="B479" i="3"/>
  <c r="B287" i="3"/>
  <c r="B536" i="3"/>
  <c r="B388" i="3"/>
  <c r="B756" i="3"/>
  <c r="B670" i="3"/>
  <c r="B314" i="3"/>
  <c r="B285" i="3"/>
  <c r="B259" i="3"/>
  <c r="B415" i="3"/>
  <c r="B95" i="3"/>
  <c r="B584" i="3"/>
  <c r="B460" i="3"/>
  <c r="B708" i="3"/>
  <c r="K35" i="2"/>
  <c r="L35" i="2" s="1"/>
  <c r="P35" i="2" s="1"/>
  <c r="Q35" i="2" s="1"/>
  <c r="U35" i="2" s="1"/>
  <c r="V35" i="2" s="1"/>
  <c r="I112" i="2"/>
  <c r="I109" i="2"/>
  <c r="I49" i="2"/>
  <c r="I151" i="2"/>
  <c r="I68" i="2"/>
  <c r="K53" i="2"/>
  <c r="L53" i="2" s="1"/>
  <c r="N53" i="2" s="1"/>
  <c r="K119" i="2"/>
  <c r="L119" i="2" s="1"/>
  <c r="O119" i="2" s="1"/>
  <c r="P40" i="2"/>
  <c r="Q40" i="2" s="1"/>
  <c r="U40" i="2" s="1"/>
  <c r="V40" i="2" s="1"/>
  <c r="K107" i="2"/>
  <c r="L107" i="2" s="1"/>
  <c r="N107" i="2" s="1"/>
  <c r="I154" i="2"/>
  <c r="K138" i="2"/>
  <c r="L138" i="2" s="1"/>
  <c r="N138" i="2" s="1"/>
  <c r="K108" i="2"/>
  <c r="L108" i="2" s="1"/>
  <c r="P108" i="2" s="1"/>
  <c r="Q108" i="2" s="1"/>
  <c r="U108" i="2" s="1"/>
  <c r="V108" i="2" s="1"/>
  <c r="K83" i="2"/>
  <c r="L83" i="2" s="1"/>
  <c r="N83" i="2" s="1"/>
  <c r="K95" i="2"/>
  <c r="L95" i="2" s="1"/>
  <c r="M95" i="2" s="1"/>
  <c r="I29" i="2"/>
  <c r="K89" i="2"/>
  <c r="L89" i="2" s="1"/>
  <c r="M89" i="2" s="1"/>
  <c r="I43" i="2"/>
  <c r="K132" i="2"/>
  <c r="L132" i="2" s="1"/>
  <c r="M132" i="2" s="1"/>
  <c r="K76" i="2"/>
  <c r="L76" i="2" s="1"/>
  <c r="M76" i="2" s="1"/>
  <c r="K133" i="2"/>
  <c r="L133" i="2" s="1"/>
  <c r="O133" i="2" s="1"/>
  <c r="K65" i="2"/>
  <c r="L65" i="2" s="1"/>
  <c r="P65" i="2" s="1"/>
  <c r="Q65" i="2" s="1"/>
  <c r="U65" i="2" s="1"/>
  <c r="V65" i="2" s="1"/>
  <c r="I77" i="2"/>
  <c r="I147" i="2"/>
  <c r="I149" i="2"/>
  <c r="I38" i="2"/>
  <c r="I134" i="2"/>
  <c r="K60" i="2"/>
  <c r="L60" i="2" s="1"/>
  <c r="M60" i="2" s="1"/>
  <c r="I103" i="2"/>
  <c r="K146" i="2"/>
  <c r="L146" i="2" s="1"/>
  <c r="N146" i="2" s="1"/>
  <c r="I57" i="2"/>
  <c r="K61" i="2"/>
  <c r="L61" i="2" s="1"/>
  <c r="N61" i="2" s="1"/>
  <c r="K62" i="2"/>
  <c r="L62" i="2" s="1"/>
  <c r="N62" i="2" s="1"/>
  <c r="K41" i="2"/>
  <c r="L41" i="2" s="1"/>
  <c r="M41" i="2" s="1"/>
  <c r="I88" i="2"/>
  <c r="K93" i="2"/>
  <c r="L93" i="2" s="1"/>
  <c r="O93" i="2" s="1"/>
  <c r="P154" i="2"/>
  <c r="Q154" i="2" s="1"/>
  <c r="U154" i="2" s="1"/>
  <c r="V154" i="2" s="1"/>
  <c r="I51" i="2"/>
  <c r="K99" i="2"/>
  <c r="L99" i="2" s="1"/>
  <c r="N99" i="2" s="1"/>
  <c r="K55" i="2"/>
  <c r="L55" i="2" s="1"/>
  <c r="P55" i="2" s="1"/>
  <c r="Q55" i="2" s="1"/>
  <c r="U55" i="2" s="1"/>
  <c r="V55" i="2" s="1"/>
  <c r="K131" i="2"/>
  <c r="L131" i="2" s="1"/>
  <c r="M131" i="2" s="1"/>
  <c r="I148" i="2"/>
  <c r="K156" i="2"/>
  <c r="L156" i="2" s="1"/>
  <c r="O156" i="2" s="1"/>
  <c r="K121" i="2"/>
  <c r="L121" i="2" s="1"/>
  <c r="N121" i="2" s="1"/>
  <c r="I81" i="2"/>
  <c r="I116" i="2"/>
  <c r="P30" i="2"/>
  <c r="Q30" i="2" s="1"/>
  <c r="U30" i="2" s="1"/>
  <c r="V30" i="2" s="1"/>
  <c r="K157" i="2"/>
  <c r="L157" i="2" s="1"/>
  <c r="M157" i="2" s="1"/>
  <c r="M40" i="2"/>
  <c r="O38" i="2"/>
  <c r="N103" i="2"/>
  <c r="N95" i="2"/>
  <c r="N151" i="2"/>
  <c r="P91" i="2"/>
  <c r="Q91" i="2" s="1"/>
  <c r="U91" i="2" s="1"/>
  <c r="V91" i="2" s="1"/>
  <c r="N98" i="2"/>
  <c r="N52" i="2"/>
  <c r="O51" i="2"/>
  <c r="M97" i="2"/>
  <c r="P133" i="2"/>
  <c r="Q133" i="2" s="1"/>
  <c r="U133" i="2" s="1"/>
  <c r="V133" i="2" s="1"/>
  <c r="N129" i="2"/>
  <c r="P97" i="2"/>
  <c r="Q97" i="2" s="1"/>
  <c r="U97" i="2" s="1"/>
  <c r="V97" i="2" s="1"/>
  <c r="O40" i="2"/>
  <c r="P38" i="2"/>
  <c r="Q38" i="2" s="1"/>
  <c r="U38" i="2" s="1"/>
  <c r="V38" i="2" s="1"/>
  <c r="P112" i="2"/>
  <c r="Q112" i="2" s="1"/>
  <c r="U112" i="2" s="1"/>
  <c r="V112" i="2" s="1"/>
  <c r="M38" i="2"/>
  <c r="P66" i="2"/>
  <c r="Q66" i="2" s="1"/>
  <c r="U66" i="2" s="1"/>
  <c r="V66" i="2" s="1"/>
  <c r="M93" i="2"/>
  <c r="N30" i="2"/>
  <c r="P95" i="2"/>
  <c r="Q95" i="2" s="1"/>
  <c r="U95" i="2" s="1"/>
  <c r="V95" i="2" s="1"/>
  <c r="N133" i="2"/>
  <c r="N66" i="2"/>
  <c r="N124" i="2"/>
  <c r="P98" i="2"/>
  <c r="Q98" i="2" s="1"/>
  <c r="U98" i="2" s="1"/>
  <c r="V98" i="2" s="1"/>
  <c r="M96" i="2"/>
  <c r="N97" i="2"/>
  <c r="P155" i="2"/>
  <c r="Q155" i="2" s="1"/>
  <c r="U155" i="2" s="1"/>
  <c r="V155" i="2" s="1"/>
  <c r="O30" i="2"/>
  <c r="M49" i="2"/>
  <c r="O148" i="2"/>
  <c r="M124" i="2"/>
  <c r="P90" i="2"/>
  <c r="Q90" i="2" s="1"/>
  <c r="U90" i="2" s="1"/>
  <c r="V90" i="2" s="1"/>
  <c r="P147" i="2"/>
  <c r="Q147" i="2" s="1"/>
  <c r="U147" i="2" s="1"/>
  <c r="V147" i="2" s="1"/>
  <c r="O96" i="2"/>
  <c r="N148" i="2"/>
  <c r="O68" i="2"/>
  <c r="P64" i="2"/>
  <c r="Q64" i="2" s="1"/>
  <c r="U64" i="2" s="1"/>
  <c r="V64" i="2" s="1"/>
  <c r="P144" i="2"/>
  <c r="Q144" i="2" s="1"/>
  <c r="U144" i="2" s="1"/>
  <c r="V144" i="2" s="1"/>
  <c r="M35" i="2"/>
  <c r="P77" i="2"/>
  <c r="Q77" i="2" s="1"/>
  <c r="U77" i="2" s="1"/>
  <c r="V77" i="2" s="1"/>
  <c r="N149" i="2"/>
  <c r="P100" i="2"/>
  <c r="Q100" i="2" s="1"/>
  <c r="U100" i="2" s="1"/>
  <c r="V100" i="2" s="1"/>
  <c r="M52" i="2"/>
  <c r="M148" i="2"/>
  <c r="O151" i="2"/>
  <c r="O43" i="2"/>
  <c r="P85" i="2"/>
  <c r="Q85" i="2" s="1"/>
  <c r="U85" i="2" s="1"/>
  <c r="V85" i="2" s="1"/>
  <c r="P92" i="2"/>
  <c r="Q92" i="2" s="1"/>
  <c r="U92" i="2" s="1"/>
  <c r="V92" i="2" s="1"/>
  <c r="M147" i="2"/>
  <c r="M98" i="2"/>
  <c r="M151" i="2"/>
  <c r="P118" i="2"/>
  <c r="Q118" i="2" s="1"/>
  <c r="U118" i="2" s="1"/>
  <c r="V118" i="2" s="1"/>
  <c r="O146" i="2"/>
  <c r="P124" i="2"/>
  <c r="Q124" i="2" s="1"/>
  <c r="U124" i="2" s="1"/>
  <c r="V124" i="2" s="1"/>
  <c r="O123" i="2"/>
  <c r="P103" i="2"/>
  <c r="Q103" i="2" s="1"/>
  <c r="U103" i="2" s="1"/>
  <c r="V103" i="2" s="1"/>
  <c r="O103" i="2"/>
  <c r="P68" i="2"/>
  <c r="Q68" i="2" s="1"/>
  <c r="U68" i="2" s="1"/>
  <c r="V68" i="2" s="1"/>
  <c r="O52" i="2"/>
  <c r="M68" i="2"/>
  <c r="M64" i="2"/>
  <c r="M85" i="2"/>
  <c r="N29" i="2"/>
  <c r="M66" i="2"/>
  <c r="P51" i="2"/>
  <c r="Q51" i="2" s="1"/>
  <c r="U51" i="2" s="1"/>
  <c r="V51" i="2" s="1"/>
  <c r="O147" i="2"/>
  <c r="P116" i="2"/>
  <c r="Q116" i="2" s="1"/>
  <c r="U116" i="2" s="1"/>
  <c r="V116" i="2" s="1"/>
  <c r="P107" i="2"/>
  <c r="Q107" i="2" s="1"/>
  <c r="U107" i="2" s="1"/>
  <c r="V107" i="2" s="1"/>
  <c r="P29" i="2"/>
  <c r="Q29" i="2" s="1"/>
  <c r="U29" i="2" s="1"/>
  <c r="V29" i="2" s="1"/>
  <c r="N51" i="2"/>
  <c r="O29" i="2"/>
  <c r="N43" i="2"/>
  <c r="P43" i="2"/>
  <c r="Q43" i="2" s="1"/>
  <c r="U43" i="2" s="1"/>
  <c r="V43" i="2" s="1"/>
  <c r="P49" i="2"/>
  <c r="Q49" i="2" s="1"/>
  <c r="U49" i="2" s="1"/>
  <c r="V49" i="2" s="1"/>
  <c r="P159" i="2"/>
  <c r="Q159" i="2" s="1"/>
  <c r="U159" i="2" s="1"/>
  <c r="V159" i="2" s="1"/>
  <c r="P143" i="2"/>
  <c r="Q143" i="2" s="1"/>
  <c r="U143" i="2" s="1"/>
  <c r="V143" i="2" s="1"/>
  <c r="P53" i="2"/>
  <c r="Q53" i="2" s="1"/>
  <c r="U53" i="2" s="1"/>
  <c r="V53" i="2" s="1"/>
  <c r="P138" i="2"/>
  <c r="Q138" i="2" s="1"/>
  <c r="U138" i="2" s="1"/>
  <c r="V138" i="2" s="1"/>
  <c r="O159" i="2"/>
  <c r="P96" i="2"/>
  <c r="Q96" i="2" s="1"/>
  <c r="U96" i="2" s="1"/>
  <c r="V96" i="2" s="1"/>
  <c r="N154" i="2"/>
  <c r="M123" i="2"/>
  <c r="M134" i="2"/>
  <c r="P129" i="2"/>
  <c r="Q129" i="2" s="1"/>
  <c r="U129" i="2" s="1"/>
  <c r="V129" i="2" s="1"/>
  <c r="N81" i="2"/>
  <c r="O143" i="2"/>
  <c r="O149" i="2"/>
  <c r="P88" i="2"/>
  <c r="Q88" i="2" s="1"/>
  <c r="U88" i="2" s="1"/>
  <c r="V88" i="2" s="1"/>
  <c r="P134" i="2"/>
  <c r="Q134" i="2" s="1"/>
  <c r="U134" i="2" s="1"/>
  <c r="V134" i="2" s="1"/>
  <c r="N123" i="2"/>
  <c r="O134" i="2"/>
  <c r="O57" i="2"/>
  <c r="N144" i="2"/>
  <c r="N100" i="2"/>
  <c r="N132" i="2"/>
  <c r="P44" i="2"/>
  <c r="Q44" i="2" s="1"/>
  <c r="U44" i="2" s="1"/>
  <c r="V44" i="2" s="1"/>
  <c r="P57" i="2"/>
  <c r="Q57" i="2" s="1"/>
  <c r="U57" i="2" s="1"/>
  <c r="V57" i="2" s="1"/>
  <c r="O125" i="2"/>
  <c r="M90" i="2"/>
  <c r="M91" i="2"/>
  <c r="O77" i="2"/>
  <c r="N36" i="2"/>
  <c r="P149" i="2"/>
  <c r="Q149" i="2" s="1"/>
  <c r="U149" i="2" s="1"/>
  <c r="V149" i="2" s="1"/>
  <c r="M138" i="2"/>
  <c r="O118" i="2"/>
  <c r="M99" i="2"/>
  <c r="M155" i="2"/>
  <c r="N44" i="2"/>
  <c r="P81" i="2"/>
  <c r="Q81" i="2" s="1"/>
  <c r="U81" i="2" s="1"/>
  <c r="V81" i="2" s="1"/>
  <c r="P36" i="2"/>
  <c r="Q36" i="2" s="1"/>
  <c r="U36" i="2" s="1"/>
  <c r="V36" i="2" s="1"/>
  <c r="O81" i="2"/>
  <c r="N118" i="2"/>
  <c r="N116" i="2"/>
  <c r="O155" i="2"/>
  <c r="I111" i="2"/>
  <c r="I105" i="2"/>
  <c r="I140" i="2"/>
  <c r="N39" i="2"/>
  <c r="O39" i="2"/>
  <c r="M39" i="2"/>
  <c r="I39" i="2"/>
  <c r="I120" i="2"/>
  <c r="P152" i="2"/>
  <c r="Q152" i="2" s="1"/>
  <c r="U152" i="2" s="1"/>
  <c r="V152" i="2" s="1"/>
  <c r="I153" i="2"/>
  <c r="I128" i="2"/>
  <c r="I142" i="2"/>
  <c r="I46" i="2"/>
  <c r="I113" i="2"/>
  <c r="P102" i="2"/>
  <c r="Q102" i="2" s="1"/>
  <c r="U102" i="2" s="1"/>
  <c r="V102" i="2" s="1"/>
  <c r="I141" i="2"/>
  <c r="I127" i="2"/>
  <c r="I31" i="2"/>
  <c r="N80" i="2"/>
  <c r="I80" i="2"/>
  <c r="O80" i="2"/>
  <c r="M80" i="2"/>
  <c r="I75" i="2"/>
  <c r="N48" i="2"/>
  <c r="I82" i="2"/>
  <c r="N122" i="2"/>
  <c r="P63" i="2"/>
  <c r="Q63" i="2" s="1"/>
  <c r="U63" i="2" s="1"/>
  <c r="V63" i="2" s="1"/>
  <c r="P146" i="2"/>
  <c r="Q146" i="2" s="1"/>
  <c r="U146" i="2" s="1"/>
  <c r="V146" i="2" s="1"/>
  <c r="M146" i="2"/>
  <c r="I54" i="2"/>
  <c r="I50" i="2"/>
  <c r="N130" i="2"/>
  <c r="O130" i="2"/>
  <c r="I130" i="2"/>
  <c r="M130" i="2"/>
  <c r="N159" i="2"/>
  <c r="K75" i="2"/>
  <c r="L75" i="2" s="1"/>
  <c r="P75" i="2" s="1"/>
  <c r="Q75" i="2" s="1"/>
  <c r="U75" i="2" s="1"/>
  <c r="V75" i="2" s="1"/>
  <c r="K113" i="2"/>
  <c r="L113" i="2" s="1"/>
  <c r="P113" i="2" s="1"/>
  <c r="Q113" i="2" s="1"/>
  <c r="U113" i="2" s="1"/>
  <c r="V113" i="2" s="1"/>
  <c r="K54" i="2"/>
  <c r="L54" i="2" s="1"/>
  <c r="P54" i="2" s="1"/>
  <c r="Q54" i="2" s="1"/>
  <c r="U54" i="2" s="1"/>
  <c r="V54" i="2" s="1"/>
  <c r="M57" i="2"/>
  <c r="M92" i="2"/>
  <c r="M144" i="2"/>
  <c r="O116" i="2"/>
  <c r="N88" i="2"/>
  <c r="O44" i="2"/>
  <c r="M63" i="2"/>
  <c r="O115" i="2"/>
  <c r="M115" i="2"/>
  <c r="N115" i="2"/>
  <c r="I115" i="2"/>
  <c r="O152" i="2"/>
  <c r="O59" i="2"/>
  <c r="O78" i="2"/>
  <c r="M78" i="2"/>
  <c r="N78" i="2"/>
  <c r="I78" i="2"/>
  <c r="I110" i="2"/>
  <c r="I106" i="2"/>
  <c r="M48" i="2"/>
  <c r="N49" i="2"/>
  <c r="M102" i="2"/>
  <c r="N70" i="2"/>
  <c r="P59" i="2"/>
  <c r="Q59" i="2" s="1"/>
  <c r="U59" i="2" s="1"/>
  <c r="V59" i="2" s="1"/>
  <c r="I37" i="2"/>
  <c r="I158" i="2"/>
  <c r="N85" i="2"/>
  <c r="O129" i="2"/>
  <c r="N47" i="2"/>
  <c r="M47" i="2"/>
  <c r="O47" i="2"/>
  <c r="I47" i="2"/>
  <c r="K153" i="2"/>
  <c r="L153" i="2" s="1"/>
  <c r="P153" i="2" s="1"/>
  <c r="Q153" i="2" s="1"/>
  <c r="U153" i="2" s="1"/>
  <c r="V153" i="2" s="1"/>
  <c r="K140" i="2"/>
  <c r="L140" i="2" s="1"/>
  <c r="P140" i="2" s="1"/>
  <c r="Q140" i="2" s="1"/>
  <c r="U140" i="2" s="1"/>
  <c r="V140" i="2" s="1"/>
  <c r="K50" i="2"/>
  <c r="L50" i="2" s="1"/>
  <c r="P50" i="2" s="1"/>
  <c r="Q50" i="2" s="1"/>
  <c r="U50" i="2" s="1"/>
  <c r="V50" i="2" s="1"/>
  <c r="K110" i="2"/>
  <c r="L110" i="2" s="1"/>
  <c r="P110" i="2" s="1"/>
  <c r="Q110" i="2" s="1"/>
  <c r="U110" i="2" s="1"/>
  <c r="V110" i="2" s="1"/>
  <c r="M112" i="2"/>
  <c r="O138" i="2"/>
  <c r="O92" i="2"/>
  <c r="N125" i="2"/>
  <c r="O90" i="2"/>
  <c r="N91" i="2"/>
  <c r="M36" i="2"/>
  <c r="O107" i="2"/>
  <c r="M88" i="2"/>
  <c r="N64" i="2"/>
  <c r="N59" i="2"/>
  <c r="O132" i="2"/>
  <c r="M143" i="2"/>
  <c r="O100" i="2"/>
  <c r="I56" i="2"/>
  <c r="I104" i="2"/>
  <c r="K105" i="2"/>
  <c r="L105" i="2" s="1"/>
  <c r="P105" i="2" s="1"/>
  <c r="Q105" i="2" s="1"/>
  <c r="U105" i="2" s="1"/>
  <c r="V105" i="2" s="1"/>
  <c r="I33" i="2"/>
  <c r="N32" i="2"/>
  <c r="M32" i="2"/>
  <c r="I32" i="2"/>
  <c r="O32" i="2"/>
  <c r="I71" i="2"/>
  <c r="P135" i="2"/>
  <c r="Q135" i="2" s="1"/>
  <c r="U135" i="2" s="1"/>
  <c r="V135" i="2" s="1"/>
  <c r="O48" i="2"/>
  <c r="O102" i="2"/>
  <c r="M70" i="2"/>
  <c r="I45" i="2"/>
  <c r="O145" i="2"/>
  <c r="N145" i="2"/>
  <c r="M145" i="2"/>
  <c r="I145" i="2"/>
  <c r="O67" i="2"/>
  <c r="N67" i="2"/>
  <c r="M67" i="2"/>
  <c r="I67" i="2"/>
  <c r="P125" i="2"/>
  <c r="Q125" i="2" s="1"/>
  <c r="U125" i="2" s="1"/>
  <c r="V125" i="2" s="1"/>
  <c r="M101" i="2"/>
  <c r="N101" i="2"/>
  <c r="O101" i="2"/>
  <c r="I101" i="2"/>
  <c r="P70" i="2"/>
  <c r="Q70" i="2" s="1"/>
  <c r="U70" i="2" s="1"/>
  <c r="V70" i="2" s="1"/>
  <c r="K120" i="2"/>
  <c r="L120" i="2" s="1"/>
  <c r="P120" i="2" s="1"/>
  <c r="Q120" i="2" s="1"/>
  <c r="U120" i="2" s="1"/>
  <c r="V120" i="2" s="1"/>
  <c r="K31" i="2"/>
  <c r="L31" i="2" s="1"/>
  <c r="P31" i="2" s="1"/>
  <c r="Q31" i="2" s="1"/>
  <c r="U31" i="2" s="1"/>
  <c r="V31" i="2" s="1"/>
  <c r="K128" i="2"/>
  <c r="L128" i="2" s="1"/>
  <c r="P128" i="2" s="1"/>
  <c r="Q128" i="2" s="1"/>
  <c r="U128" i="2" s="1"/>
  <c r="V128" i="2" s="1"/>
  <c r="K56" i="2"/>
  <c r="L56" i="2" s="1"/>
  <c r="P56" i="2" s="1"/>
  <c r="Q56" i="2" s="1"/>
  <c r="U56" i="2" s="1"/>
  <c r="V56" i="2" s="1"/>
  <c r="K111" i="2"/>
  <c r="L111" i="2" s="1"/>
  <c r="P111" i="2" s="1"/>
  <c r="Q111" i="2" s="1"/>
  <c r="U111" i="2" s="1"/>
  <c r="V111" i="2" s="1"/>
  <c r="K82" i="2"/>
  <c r="L82" i="2" s="1"/>
  <c r="P82" i="2" s="1"/>
  <c r="Q82" i="2" s="1"/>
  <c r="U82" i="2" s="1"/>
  <c r="V82" i="2" s="1"/>
  <c r="K45" i="2"/>
  <c r="L45" i="2" s="1"/>
  <c r="P45" i="2" s="1"/>
  <c r="Q45" i="2" s="1"/>
  <c r="U45" i="2" s="1"/>
  <c r="V45" i="2" s="1"/>
  <c r="O112" i="2"/>
  <c r="O58" i="2"/>
  <c r="N77" i="2"/>
  <c r="M135" i="2"/>
  <c r="M109" i="2"/>
  <c r="O154" i="2"/>
  <c r="O53" i="2"/>
  <c r="N42" i="2"/>
  <c r="I42" i="2"/>
  <c r="M42" i="2"/>
  <c r="O42" i="2"/>
  <c r="N136" i="2"/>
  <c r="M136" i="2"/>
  <c r="O136" i="2"/>
  <c r="I136" i="2"/>
  <c r="O72" i="2"/>
  <c r="I72" i="2"/>
  <c r="M72" i="2"/>
  <c r="N72" i="2"/>
  <c r="O63" i="2"/>
  <c r="N114" i="2"/>
  <c r="I114" i="2"/>
  <c r="O114" i="2"/>
  <c r="M114" i="2"/>
  <c r="I69" i="2"/>
  <c r="I150" i="2"/>
  <c r="I86" i="2"/>
  <c r="O94" i="2"/>
  <c r="N94" i="2"/>
  <c r="M94" i="2"/>
  <c r="I94" i="2"/>
  <c r="I84" i="2"/>
  <c r="O122" i="2"/>
  <c r="P109" i="2"/>
  <c r="Q109" i="2" s="1"/>
  <c r="U109" i="2" s="1"/>
  <c r="V109" i="2" s="1"/>
  <c r="N117" i="2"/>
  <c r="M117" i="2"/>
  <c r="O117" i="2"/>
  <c r="I117" i="2"/>
  <c r="N74" i="2"/>
  <c r="M74" i="2"/>
  <c r="I74" i="2"/>
  <c r="O74" i="2"/>
  <c r="O34" i="2"/>
  <c r="M34" i="2"/>
  <c r="N34" i="2"/>
  <c r="I34" i="2"/>
  <c r="N87" i="2"/>
  <c r="O87" i="2"/>
  <c r="M87" i="2"/>
  <c r="I87" i="2"/>
  <c r="I137" i="2"/>
  <c r="P58" i="2"/>
  <c r="Q58" i="2" s="1"/>
  <c r="U58" i="2" s="1"/>
  <c r="V58" i="2" s="1"/>
  <c r="K150" i="2"/>
  <c r="L150" i="2" s="1"/>
  <c r="P150" i="2" s="1"/>
  <c r="Q150" i="2" s="1"/>
  <c r="U150" i="2" s="1"/>
  <c r="V150" i="2" s="1"/>
  <c r="K84" i="2"/>
  <c r="L84" i="2" s="1"/>
  <c r="P84" i="2" s="1"/>
  <c r="Q84" i="2" s="1"/>
  <c r="U84" i="2" s="1"/>
  <c r="V84" i="2" s="1"/>
  <c r="K141" i="2"/>
  <c r="L141" i="2" s="1"/>
  <c r="P141" i="2" s="1"/>
  <c r="Q141" i="2" s="1"/>
  <c r="U141" i="2" s="1"/>
  <c r="V141" i="2" s="1"/>
  <c r="K69" i="2"/>
  <c r="L69" i="2" s="1"/>
  <c r="P69" i="2" s="1"/>
  <c r="Q69" i="2" s="1"/>
  <c r="U69" i="2" s="1"/>
  <c r="V69" i="2" s="1"/>
  <c r="K158" i="2"/>
  <c r="L158" i="2" s="1"/>
  <c r="P158" i="2" s="1"/>
  <c r="Q158" i="2" s="1"/>
  <c r="U158" i="2" s="1"/>
  <c r="V158" i="2" s="1"/>
  <c r="K86" i="2"/>
  <c r="L86" i="2" s="1"/>
  <c r="P86" i="2" s="1"/>
  <c r="Q86" i="2" s="1"/>
  <c r="U86" i="2" s="1"/>
  <c r="V86" i="2" s="1"/>
  <c r="K137" i="2"/>
  <c r="L137" i="2" s="1"/>
  <c r="P137" i="2" s="1"/>
  <c r="Q137" i="2" s="1"/>
  <c r="U137" i="2" s="1"/>
  <c r="V137" i="2" s="1"/>
  <c r="K37" i="2"/>
  <c r="L37" i="2" s="1"/>
  <c r="P37" i="2" s="1"/>
  <c r="Q37" i="2" s="1"/>
  <c r="U37" i="2" s="1"/>
  <c r="V37" i="2" s="1"/>
  <c r="K127" i="2"/>
  <c r="L127" i="2" s="1"/>
  <c r="P127" i="2" s="1"/>
  <c r="Q127" i="2" s="1"/>
  <c r="U127" i="2" s="1"/>
  <c r="V127" i="2" s="1"/>
  <c r="N152" i="2"/>
  <c r="N58" i="2"/>
  <c r="N135" i="2"/>
  <c r="N109" i="2"/>
  <c r="O139" i="2"/>
  <c r="N139" i="2"/>
  <c r="M139" i="2"/>
  <c r="I139" i="2"/>
  <c r="N126" i="2"/>
  <c r="O126" i="2"/>
  <c r="M126" i="2"/>
  <c r="I126" i="2"/>
  <c r="O73" i="2"/>
  <c r="M73" i="2"/>
  <c r="N73" i="2"/>
  <c r="I73" i="2"/>
  <c r="O79" i="2"/>
  <c r="M79" i="2"/>
  <c r="N79" i="2"/>
  <c r="I79" i="2"/>
  <c r="M122" i="2"/>
  <c r="K46" i="2"/>
  <c r="L46" i="2" s="1"/>
  <c r="P46" i="2" s="1"/>
  <c r="Q46" i="2" s="1"/>
  <c r="U46" i="2" s="1"/>
  <c r="V46" i="2" s="1"/>
  <c r="K104" i="2"/>
  <c r="L104" i="2" s="1"/>
  <c r="P104" i="2" s="1"/>
  <c r="Q104" i="2" s="1"/>
  <c r="U104" i="2" s="1"/>
  <c r="V104" i="2" s="1"/>
  <c r="K142" i="2"/>
  <c r="L142" i="2" s="1"/>
  <c r="P142" i="2" s="1"/>
  <c r="Q142" i="2" s="1"/>
  <c r="U142" i="2" s="1"/>
  <c r="V142" i="2" s="1"/>
  <c r="K106" i="2"/>
  <c r="L106" i="2" s="1"/>
  <c r="P106" i="2" s="1"/>
  <c r="Q106" i="2" s="1"/>
  <c r="U106" i="2" s="1"/>
  <c r="V106" i="2" s="1"/>
  <c r="K71" i="2"/>
  <c r="L71" i="2" s="1"/>
  <c r="P71" i="2" s="1"/>
  <c r="Q71" i="2" s="1"/>
  <c r="U71" i="2" s="1"/>
  <c r="V71" i="2" s="1"/>
  <c r="K33" i="2"/>
  <c r="L33" i="2" s="1"/>
  <c r="P33" i="2" s="1"/>
  <c r="Q33" i="2" s="1"/>
  <c r="U33" i="2" s="1"/>
  <c r="V33" i="2" s="1"/>
  <c r="O108" i="2" l="1"/>
  <c r="N119" i="2"/>
  <c r="P83" i="2"/>
  <c r="Q83" i="2" s="1"/>
  <c r="U83" i="2" s="1"/>
  <c r="V83" i="2" s="1"/>
  <c r="N35" i="2"/>
  <c r="O35" i="2"/>
  <c r="M83" i="2"/>
  <c r="M61" i="2"/>
  <c r="O83" i="2"/>
  <c r="P119" i="2"/>
  <c r="Q119" i="2" s="1"/>
  <c r="U119" i="2" s="1"/>
  <c r="V119" i="2" s="1"/>
  <c r="O76" i="2"/>
  <c r="N108" i="2"/>
  <c r="O60" i="2"/>
  <c r="M107" i="2"/>
  <c r="N89" i="2"/>
  <c r="O89" i="2"/>
  <c r="M119" i="2"/>
  <c r="P89" i="2"/>
  <c r="Q89" i="2" s="1"/>
  <c r="U89" i="2" s="1"/>
  <c r="V89" i="2" s="1"/>
  <c r="M108" i="2"/>
  <c r="M156" i="2"/>
  <c r="M53" i="2"/>
  <c r="N131" i="2"/>
  <c r="P132" i="2"/>
  <c r="Q132" i="2" s="1"/>
  <c r="U132" i="2" s="1"/>
  <c r="V132" i="2" s="1"/>
  <c r="P61" i="2"/>
  <c r="Q61" i="2" s="1"/>
  <c r="U61" i="2" s="1"/>
  <c r="V61" i="2" s="1"/>
  <c r="P76" i="2"/>
  <c r="Q76" i="2" s="1"/>
  <c r="U76" i="2" s="1"/>
  <c r="V76" i="2" s="1"/>
  <c r="O95" i="2"/>
  <c r="P60" i="2"/>
  <c r="Q60" i="2" s="1"/>
  <c r="U60" i="2" s="1"/>
  <c r="V60" i="2" s="1"/>
  <c r="N60" i="2"/>
  <c r="N65" i="2"/>
  <c r="N76" i="2"/>
  <c r="M133" i="2"/>
  <c r="O61" i="2"/>
  <c r="P156" i="2"/>
  <c r="Q156" i="2" s="1"/>
  <c r="U156" i="2" s="1"/>
  <c r="V156" i="2" s="1"/>
  <c r="O65" i="2"/>
  <c r="M65" i="2"/>
  <c r="O41" i="2"/>
  <c r="M62" i="2"/>
  <c r="O99" i="2"/>
  <c r="P62" i="2"/>
  <c r="Q62" i="2" s="1"/>
  <c r="U62" i="2" s="1"/>
  <c r="V62" i="2" s="1"/>
  <c r="P41" i="2"/>
  <c r="Q41" i="2" s="1"/>
  <c r="U41" i="2" s="1"/>
  <c r="V41" i="2" s="1"/>
  <c r="P93" i="2"/>
  <c r="Q93" i="2" s="1"/>
  <c r="U93" i="2" s="1"/>
  <c r="V93" i="2" s="1"/>
  <c r="N41" i="2"/>
  <c r="O62" i="2"/>
  <c r="N93" i="2"/>
  <c r="N156" i="2"/>
  <c r="P99" i="2"/>
  <c r="Q99" i="2" s="1"/>
  <c r="U99" i="2" s="1"/>
  <c r="V99" i="2" s="1"/>
  <c r="M55" i="2"/>
  <c r="P121" i="2"/>
  <c r="Q121" i="2" s="1"/>
  <c r="U121" i="2" s="1"/>
  <c r="V121" i="2" s="1"/>
  <c r="N157" i="2"/>
  <c r="O157" i="2"/>
  <c r="O121" i="2"/>
  <c r="P157" i="2"/>
  <c r="Q157" i="2" s="1"/>
  <c r="U157" i="2" s="1"/>
  <c r="V157" i="2" s="1"/>
  <c r="M121" i="2"/>
  <c r="O55" i="2"/>
  <c r="O131" i="2"/>
  <c r="N55" i="2"/>
  <c r="P131" i="2"/>
  <c r="Q131" i="2" s="1"/>
  <c r="U131" i="2" s="1"/>
  <c r="V131" i="2" s="1"/>
  <c r="N86" i="2"/>
  <c r="O37" i="2"/>
  <c r="M137" i="2"/>
  <c r="M158" i="2"/>
  <c r="N56" i="2"/>
  <c r="N106" i="2"/>
  <c r="O137" i="2"/>
  <c r="O75" i="2"/>
  <c r="M86" i="2"/>
  <c r="N50" i="2"/>
  <c r="N75" i="2"/>
  <c r="M105" i="2"/>
  <c r="M142" i="2"/>
  <c r="N111" i="2"/>
  <c r="N71" i="2"/>
  <c r="M69" i="2"/>
  <c r="M71" i="2"/>
  <c r="M33" i="2"/>
  <c r="O104" i="2"/>
  <c r="N110" i="2"/>
  <c r="M54" i="2"/>
  <c r="O82" i="2"/>
  <c r="N127" i="2"/>
  <c r="O46" i="2"/>
  <c r="O142" i="2"/>
  <c r="M153" i="2"/>
  <c r="N120" i="2"/>
  <c r="M140" i="2"/>
  <c r="O105" i="2"/>
  <c r="M82" i="2"/>
  <c r="M84" i="2"/>
  <c r="O150" i="2"/>
  <c r="O69" i="2"/>
  <c r="O33" i="2"/>
  <c r="N104" i="2"/>
  <c r="O158" i="2"/>
  <c r="M106" i="2"/>
  <c r="N82" i="2"/>
  <c r="M31" i="2"/>
  <c r="O127" i="2"/>
  <c r="N113" i="2"/>
  <c r="M46" i="2"/>
  <c r="O153" i="2"/>
  <c r="O120" i="2"/>
  <c r="N105" i="2"/>
  <c r="N84" i="2"/>
  <c r="M150" i="2"/>
  <c r="N69" i="2"/>
  <c r="N45" i="2"/>
  <c r="N33" i="2"/>
  <c r="O106" i="2"/>
  <c r="O50" i="2"/>
  <c r="O54" i="2"/>
  <c r="N31" i="2"/>
  <c r="N46" i="2"/>
  <c r="M128" i="2"/>
  <c r="N153" i="2"/>
  <c r="O140" i="2"/>
  <c r="O110" i="2"/>
  <c r="N137" i="2"/>
  <c r="O86" i="2"/>
  <c r="M45" i="2"/>
  <c r="M56" i="2"/>
  <c r="M37" i="2"/>
  <c r="N54" i="2"/>
  <c r="O31" i="2"/>
  <c r="M141" i="2"/>
  <c r="M113" i="2"/>
  <c r="O128" i="2"/>
  <c r="N140" i="2"/>
  <c r="O111" i="2"/>
  <c r="M104" i="2"/>
  <c r="O84" i="2"/>
  <c r="N150" i="2"/>
  <c r="O45" i="2"/>
  <c r="O71" i="2"/>
  <c r="O56" i="2"/>
  <c r="N158" i="2"/>
  <c r="N37" i="2"/>
  <c r="M110" i="2"/>
  <c r="M50" i="2"/>
  <c r="M75" i="2"/>
  <c r="O141" i="2"/>
  <c r="O113" i="2"/>
  <c r="N142" i="2"/>
  <c r="N128" i="2"/>
  <c r="M120" i="2"/>
  <c r="M111" i="2"/>
  <c r="M127" i="2"/>
  <c r="N1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Paloma .</author>
  </authors>
  <commentList>
    <comment ref="AF3" authorId="0" shapeId="0" xr:uid="{8DC9AED8-1C68-4174-A14A-206F8F13DE3F}">
      <text>
        <r>
          <rPr>
            <b/>
            <sz val="9"/>
            <color indexed="81"/>
            <rFont val="Tahoma"/>
            <family val="2"/>
          </rPr>
          <t>Paloma .:</t>
        </r>
        <r>
          <rPr>
            <sz val="9"/>
            <color indexed="81"/>
            <rFont val="Tahoma"/>
            <family val="2"/>
          </rPr>
          <t xml:space="preserve">
Height at which (ROC_max)_max = 100ft/min
</t>
        </r>
      </text>
    </comment>
    <comment ref="AC6" authorId="0" shapeId="0" xr:uid="{C5449F65-BCBE-460D-AFA8-06136A881D1A}">
      <text>
        <r>
          <rPr>
            <b/>
            <sz val="9"/>
            <color indexed="81"/>
            <rFont val="Tahoma"/>
            <family val="2"/>
          </rPr>
          <t>Paloma .:</t>
        </r>
        <r>
          <rPr>
            <sz val="9"/>
            <color indexed="81"/>
            <rFont val="Tahoma"/>
            <family val="2"/>
          </rPr>
          <t xml:space="preserve">
Not very sure if the speed to use here is the vertical speed…
</t>
        </r>
      </text>
    </comment>
    <comment ref="H20" authorId="0" shapeId="0" xr:uid="{A4CBD6C0-E5ED-464B-9042-5B8D8043ED02}">
      <text>
        <r>
          <rPr>
            <b/>
            <sz val="9"/>
            <color indexed="81"/>
            <rFont val="Tahoma"/>
            <family val="2"/>
          </rPr>
          <t>Paloma .:</t>
        </r>
        <r>
          <rPr>
            <sz val="9"/>
            <color indexed="81"/>
            <rFont val="Tahoma"/>
            <family val="2"/>
          </rPr>
          <t xml:space="preserve">
With simplified drag model (eq. 19-36)</t>
        </r>
      </text>
    </comment>
    <comment ref="I20" authorId="0" shapeId="0" xr:uid="{B83CE21B-A005-4727-AA91-357FD13B7D71}">
      <text>
        <r>
          <rPr>
            <b/>
            <sz val="9"/>
            <color indexed="81"/>
            <rFont val="Tahoma"/>
            <family val="2"/>
          </rPr>
          <t>Paloma .:</t>
        </r>
        <r>
          <rPr>
            <sz val="9"/>
            <color indexed="81"/>
            <rFont val="Tahoma"/>
            <family val="2"/>
          </rPr>
          <t xml:space="preserve">
With adjusted drag model (eq. 19-37)</t>
        </r>
      </text>
    </comment>
    <comment ref="M20" authorId="0" shapeId="0" xr:uid="{76DE43BD-46F3-412F-901F-62137D5C89B4}">
      <text>
        <r>
          <rPr>
            <b/>
            <sz val="9"/>
            <color indexed="81"/>
            <rFont val="Tahoma"/>
            <family val="2"/>
          </rPr>
          <t>Paloma .:</t>
        </r>
        <r>
          <rPr>
            <sz val="9"/>
            <color indexed="81"/>
            <rFont val="Tahoma"/>
            <family val="2"/>
          </rPr>
          <t xml:space="preserve">
Note that this is a side constraint, independent of wingload
</t>
        </r>
      </text>
    </comment>
    <comment ref="N20" authorId="0" shapeId="0" xr:uid="{5A6E7B95-6195-42F2-A638-42C5596F619A}">
      <text>
        <r>
          <rPr>
            <b/>
            <sz val="9"/>
            <color indexed="81"/>
            <rFont val="Tahoma"/>
            <family val="2"/>
          </rPr>
          <t>Paloma .:</t>
        </r>
        <r>
          <rPr>
            <sz val="9"/>
            <color indexed="81"/>
            <rFont val="Tahoma"/>
            <family val="2"/>
          </rPr>
          <t xml:space="preserve">
Note that this is a side constraint, independent of wingload
</t>
        </r>
      </text>
    </comment>
    <comment ref="G143" authorId="0" shapeId="0" xr:uid="{99124AA9-514E-41EF-AE77-DBB4DC2F276E}">
      <text>
        <r>
          <rPr>
            <b/>
            <sz val="9"/>
            <color indexed="81"/>
            <rFont val="Tahoma"/>
            <family val="2"/>
          </rPr>
          <t>Paloma .:</t>
        </r>
        <r>
          <rPr>
            <sz val="9"/>
            <color indexed="81"/>
            <rFont val="Tahoma"/>
            <family val="2"/>
          </rPr>
          <t xml:space="preserve">
This equations are only valid from 10 &lt; W/S &lt; 70, according to the book (p. 60)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<sst xmlns="http://schemas.openxmlformats.org/spreadsheetml/2006/main" count="982" uniqueCount="250">
  <si>
    <t>Velis Electro</t>
  </si>
  <si>
    <t>b</t>
  </si>
  <si>
    <t>m</t>
  </si>
  <si>
    <t>S</t>
  </si>
  <si>
    <t>m2</t>
  </si>
  <si>
    <t>AR</t>
  </si>
  <si>
    <t>W_E</t>
  </si>
  <si>
    <t>-</t>
  </si>
  <si>
    <t>kg</t>
  </si>
  <si>
    <t>W_to_max</t>
  </si>
  <si>
    <t>Charge</t>
  </si>
  <si>
    <t>kWh</t>
  </si>
  <si>
    <t>Payload</t>
  </si>
  <si>
    <t>Motor effect</t>
  </si>
  <si>
    <t>KW</t>
  </si>
  <si>
    <t>CoG</t>
  </si>
  <si>
    <t>24-32,4</t>
  </si>
  <si>
    <t>%MAC</t>
  </si>
  <si>
    <t>endurance</t>
  </si>
  <si>
    <t>min</t>
  </si>
  <si>
    <t>sf</t>
  </si>
  <si>
    <t>best glide ratio</t>
  </si>
  <si>
    <t>KCAS</t>
  </si>
  <si>
    <t>cruising speed (@ 35 kW)</t>
  </si>
  <si>
    <t>stall speed with flaps, VS0</t>
  </si>
  <si>
    <t>stall speed without flaps</t>
  </si>
  <si>
    <t>Motor W</t>
  </si>
  <si>
    <t>WS</t>
  </si>
  <si>
    <t>Performance</t>
  </si>
  <si>
    <t>Current weight</t>
  </si>
  <si>
    <t>N</t>
  </si>
  <si>
    <t>Wing area</t>
  </si>
  <si>
    <t>S =</t>
  </si>
  <si>
    <t>W =</t>
  </si>
  <si>
    <t>Wing Aspect</t>
  </si>
  <si>
    <t>Wing span</t>
  </si>
  <si>
    <t>b =</t>
  </si>
  <si>
    <t>AR =</t>
  </si>
  <si>
    <t>Atmos</t>
  </si>
  <si>
    <t>σ =</t>
  </si>
  <si>
    <t>H =</t>
  </si>
  <si>
    <t>a =</t>
  </si>
  <si>
    <t xml:space="preserve">T = </t>
  </si>
  <si>
    <t xml:space="preserve"> Altitude</t>
  </si>
  <si>
    <t xml:space="preserve"> Density ratio</t>
  </si>
  <si>
    <t xml:space="preserve"> Density</t>
  </si>
  <si>
    <t xml:space="preserve"> Temp</t>
  </si>
  <si>
    <t xml:space="preserve"> Sound Speed</t>
  </si>
  <si>
    <t>K</t>
  </si>
  <si>
    <t>m/s</t>
  </si>
  <si>
    <t>Current mass</t>
  </si>
  <si>
    <t>m =</t>
  </si>
  <si>
    <r>
      <t>kg/m</t>
    </r>
    <r>
      <rPr>
        <vertAlign val="superscript"/>
        <sz val="14"/>
        <color theme="1"/>
        <rFont val="Calibri"/>
        <family val="2"/>
      </rPr>
      <t>3</t>
    </r>
  </si>
  <si>
    <t>ρ =</t>
  </si>
  <si>
    <r>
      <t>m</t>
    </r>
    <r>
      <rPr>
        <vertAlign val="superscript"/>
        <sz val="14"/>
        <color theme="1"/>
        <rFont val="Calibri"/>
        <family val="2"/>
      </rPr>
      <t>2</t>
    </r>
  </si>
  <si>
    <t>Lift curve slope</t>
  </si>
  <si>
    <r>
      <t>C</t>
    </r>
    <r>
      <rPr>
        <vertAlign val="subscript"/>
        <sz val="14"/>
        <color theme="1"/>
        <rFont val="Calibri"/>
        <family val="2"/>
      </rPr>
      <t>L,0</t>
    </r>
    <r>
      <rPr>
        <sz val="14"/>
        <color theme="1"/>
        <rFont val="Calibri"/>
        <family val="2"/>
      </rPr>
      <t xml:space="preserve"> zero alpha</t>
    </r>
  </si>
  <si>
    <r>
      <t>C</t>
    </r>
    <r>
      <rPr>
        <vertAlign val="subscript"/>
        <sz val="14"/>
        <color theme="1"/>
        <rFont val="Calibri"/>
        <family val="2"/>
      </rPr>
      <t>L,Dmin</t>
    </r>
    <r>
      <rPr>
        <sz val="14"/>
        <color theme="1"/>
        <rFont val="Calibri"/>
        <family val="2"/>
      </rPr>
      <t xml:space="preserve"> min drag</t>
    </r>
  </si>
  <si>
    <r>
      <t>C</t>
    </r>
    <r>
      <rPr>
        <vertAlign val="subscript"/>
        <sz val="14"/>
        <color theme="1"/>
        <rFont val="Calibri"/>
        <family val="2"/>
      </rPr>
      <t>L,Dmin</t>
    </r>
    <r>
      <rPr>
        <sz val="14"/>
        <color theme="1"/>
        <rFont val="Calibri"/>
        <family val="2"/>
      </rPr>
      <t xml:space="preserve"> =</t>
    </r>
  </si>
  <si>
    <r>
      <t>C</t>
    </r>
    <r>
      <rPr>
        <vertAlign val="subscript"/>
        <sz val="14"/>
        <color theme="1"/>
        <rFont val="Calibri"/>
        <family val="2"/>
      </rPr>
      <t>L,α</t>
    </r>
    <r>
      <rPr>
        <sz val="14"/>
        <color theme="1"/>
        <rFont val="Calibri"/>
        <family val="2"/>
      </rPr>
      <t xml:space="preserve"> = </t>
    </r>
  </si>
  <si>
    <r>
      <t>C</t>
    </r>
    <r>
      <rPr>
        <vertAlign val="subscript"/>
        <sz val="14"/>
        <color theme="1"/>
        <rFont val="Calibri"/>
        <family val="2"/>
      </rPr>
      <t>L,0</t>
    </r>
    <r>
      <rPr>
        <sz val="14"/>
        <color theme="1"/>
        <rFont val="Calibri"/>
        <family val="2"/>
      </rPr>
      <t xml:space="preserve"> =</t>
    </r>
  </si>
  <si>
    <t>Minimum drag coeff</t>
  </si>
  <si>
    <r>
      <t>C</t>
    </r>
    <r>
      <rPr>
        <vertAlign val="subscript"/>
        <sz val="14"/>
        <color theme="1"/>
        <rFont val="Calibri"/>
        <family val="2"/>
      </rPr>
      <t>Dmin</t>
    </r>
    <r>
      <rPr>
        <sz val="14"/>
        <color theme="1"/>
        <rFont val="Calibri"/>
        <family val="2"/>
      </rPr>
      <t xml:space="preserve"> =</t>
    </r>
  </si>
  <si>
    <t>e =</t>
  </si>
  <si>
    <t>KEAS</t>
  </si>
  <si>
    <t>KTAS</t>
  </si>
  <si>
    <t>TAS (m/s)</t>
  </si>
  <si>
    <t>TAS (km/h)</t>
  </si>
  <si>
    <t>M</t>
  </si>
  <si>
    <t>M =</t>
  </si>
  <si>
    <t xml:space="preserve"> </t>
  </si>
  <si>
    <t xml:space="preserve"> KCAS</t>
  </si>
  <si>
    <r>
      <t>V</t>
    </r>
    <r>
      <rPr>
        <vertAlign val="subscript"/>
        <sz val="11"/>
        <color theme="1"/>
        <rFont val="Calibri"/>
        <family val="2"/>
      </rPr>
      <t>KCAS</t>
    </r>
    <r>
      <rPr>
        <sz val="11"/>
        <color theme="1"/>
        <rFont val="Calibri"/>
        <family val="2"/>
      </rPr>
      <t>=</t>
    </r>
  </si>
  <si>
    <r>
      <t>p/p</t>
    </r>
    <r>
      <rPr>
        <vertAlign val="subscript"/>
        <sz val="14"/>
        <color theme="1"/>
        <rFont val="Calibri"/>
        <family val="2"/>
      </rPr>
      <t>0</t>
    </r>
    <r>
      <rPr>
        <sz val="14"/>
        <color theme="1"/>
        <rFont val="Calibri"/>
        <family val="2"/>
      </rPr>
      <t xml:space="preserve"> =</t>
    </r>
  </si>
  <si>
    <t>User input</t>
  </si>
  <si>
    <t>Function</t>
  </si>
  <si>
    <t xml:space="preserve"> Mach</t>
  </si>
  <si>
    <t xml:space="preserve"> Press Ratio</t>
  </si>
  <si>
    <r>
      <t>V</t>
    </r>
    <r>
      <rPr>
        <vertAlign val="subscript"/>
        <sz val="12"/>
        <color theme="1"/>
        <rFont val="Calibri"/>
        <family val="2"/>
      </rPr>
      <t>KCAS</t>
    </r>
  </si>
  <si>
    <r>
      <t>V</t>
    </r>
    <r>
      <rPr>
        <vertAlign val="subscript"/>
        <sz val="12"/>
        <color theme="1"/>
        <rFont val="Calibri"/>
        <family val="2"/>
      </rPr>
      <t>KEAS</t>
    </r>
  </si>
  <si>
    <r>
      <t>V</t>
    </r>
    <r>
      <rPr>
        <vertAlign val="subscript"/>
        <sz val="12"/>
        <color theme="1"/>
        <rFont val="Calibri"/>
        <family val="2"/>
      </rPr>
      <t>KTAS</t>
    </r>
  </si>
  <si>
    <r>
      <t>V</t>
    </r>
    <r>
      <rPr>
        <vertAlign val="subscript"/>
        <sz val="12"/>
        <color theme="1"/>
        <rFont val="Calibri"/>
        <family val="2"/>
      </rPr>
      <t>TAS</t>
    </r>
  </si>
  <si>
    <r>
      <t>V</t>
    </r>
    <r>
      <rPr>
        <vertAlign val="subscript"/>
        <sz val="12"/>
        <color theme="1"/>
        <rFont val="Calibri"/>
        <family val="2"/>
      </rPr>
      <t>Kph,TAS</t>
    </r>
  </si>
  <si>
    <t>q</t>
  </si>
  <si>
    <t>Pa</t>
  </si>
  <si>
    <r>
      <t>C</t>
    </r>
    <r>
      <rPr>
        <vertAlign val="subscript"/>
        <sz val="14"/>
        <color theme="1"/>
        <rFont val="Calibri"/>
        <family val="2"/>
      </rPr>
      <t>L</t>
    </r>
    <r>
      <rPr>
        <sz val="14"/>
        <color theme="1"/>
        <rFont val="Calibri"/>
        <family val="2"/>
      </rPr>
      <t xml:space="preserve"> </t>
    </r>
    <r>
      <rPr>
        <b/>
        <sz val="12"/>
        <color theme="1"/>
        <rFont val="Calibri"/>
        <family val="2"/>
      </rPr>
      <t>(req)</t>
    </r>
  </si>
  <si>
    <t>α</t>
  </si>
  <si>
    <t>deg (AOA)</t>
  </si>
  <si>
    <r>
      <t>C</t>
    </r>
    <r>
      <rPr>
        <vertAlign val="subscript"/>
        <sz val="14"/>
        <color theme="1"/>
        <rFont val="Calibri"/>
        <family val="2"/>
      </rPr>
      <t>Dmin</t>
    </r>
  </si>
  <si>
    <t>per rad</t>
  </si>
  <si>
    <r>
      <t>C</t>
    </r>
    <r>
      <rPr>
        <vertAlign val="subscript"/>
        <sz val="14"/>
        <color theme="1"/>
        <rFont val="Calibri"/>
        <family val="2"/>
      </rPr>
      <t>Di</t>
    </r>
  </si>
  <si>
    <t>Oswlad's efficiency</t>
  </si>
  <si>
    <r>
      <t>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</si>
  <si>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</si>
  <si>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vertAlign val="superscript"/>
        <sz val="12"/>
        <color theme="1"/>
        <rFont val="Calibri"/>
        <family val="2"/>
      </rPr>
      <t>1.5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</si>
  <si>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vertAlign val="superscript"/>
        <sz val="12"/>
        <color theme="1"/>
        <rFont val="Calibri"/>
        <family val="2"/>
      </rPr>
      <t>0.5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</si>
  <si>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t>D</t>
  </si>
  <si>
    <r>
      <t>P</t>
    </r>
    <r>
      <rPr>
        <b/>
        <vertAlign val="subscript"/>
        <sz val="12"/>
        <color theme="1"/>
        <rFont val="Calibri"/>
        <family val="2"/>
      </rPr>
      <t>req</t>
    </r>
  </si>
  <si>
    <t>kW</t>
  </si>
  <si>
    <t>ROD</t>
  </si>
  <si>
    <t>AOD</t>
  </si>
  <si>
    <t>Rate of decent</t>
  </si>
  <si>
    <t>Angle of decent</t>
  </si>
  <si>
    <t>deg</t>
  </si>
  <si>
    <t>Rate of climb</t>
  </si>
  <si>
    <t>ROC</t>
  </si>
  <si>
    <t>Engine and battery</t>
  </si>
  <si>
    <t>Max continuous power</t>
  </si>
  <si>
    <t>Prop mass</t>
  </si>
  <si>
    <t>RPM at max con</t>
  </si>
  <si>
    <t>RPM</t>
  </si>
  <si>
    <t>Max T/O power</t>
  </si>
  <si>
    <t>RPM at max T/O</t>
  </si>
  <si>
    <t>Diameter</t>
  </si>
  <si>
    <t>Max drive torque</t>
  </si>
  <si>
    <t>Nm</t>
  </si>
  <si>
    <t>Pipistrel P-812-164-F3A</t>
  </si>
  <si>
    <t>Cruise power</t>
  </si>
  <si>
    <t>Engine</t>
  </si>
  <si>
    <t>Battery</t>
  </si>
  <si>
    <t>Capacity</t>
  </si>
  <si>
    <t>Energy density</t>
  </si>
  <si>
    <t>kWh/kg</t>
  </si>
  <si>
    <t>Nominal voltage</t>
  </si>
  <si>
    <t>VDC</t>
  </si>
  <si>
    <t>Constraints</t>
  </si>
  <si>
    <t>Cruise alt</t>
  </si>
  <si>
    <t>Cruise alt SI</t>
  </si>
  <si>
    <t>ft</t>
  </si>
  <si>
    <t>Min cruise speed</t>
  </si>
  <si>
    <t>Max cruise speed</t>
  </si>
  <si>
    <r>
      <t>H</t>
    </r>
    <r>
      <rPr>
        <vertAlign val="subscript"/>
        <sz val="14"/>
        <color theme="1"/>
        <rFont val="Calibri"/>
        <family val="2"/>
      </rPr>
      <t xml:space="preserve">cruise </t>
    </r>
    <r>
      <rPr>
        <sz val="14"/>
        <color theme="1"/>
        <rFont val="Calibri"/>
        <family val="2"/>
      </rPr>
      <t>=</t>
    </r>
  </si>
  <si>
    <r>
      <t>H</t>
    </r>
    <r>
      <rPr>
        <vertAlign val="subscript"/>
        <sz val="14"/>
        <color theme="1"/>
        <rFont val="Calibri"/>
        <family val="2"/>
      </rPr>
      <t xml:space="preserve">cruise,SI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</si>
  <si>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cruise,max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</si>
  <si>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cruise,min </t>
    </r>
    <r>
      <rPr>
        <sz val="14"/>
        <color theme="1"/>
        <rFont val="Calibri"/>
        <family val="2"/>
      </rPr>
      <t>=</t>
    </r>
  </si>
  <si>
    <t>Payload mass</t>
  </si>
  <si>
    <t>Endurance</t>
  </si>
  <si>
    <t>E =</t>
  </si>
  <si>
    <t>Min cruise speed TAS</t>
  </si>
  <si>
    <t>Max cruise speed TAS</t>
  </si>
  <si>
    <r>
      <t>V</t>
    </r>
    <r>
      <rPr>
        <vertAlign val="subscript"/>
        <sz val="14"/>
        <color theme="1"/>
        <rFont val="Calibri"/>
        <family val="2"/>
      </rPr>
      <t xml:space="preserve">cruise,min,TAS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</si>
  <si>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cruise,max,TAS </t>
    </r>
    <r>
      <rPr>
        <sz val="14"/>
        <color theme="1"/>
        <rFont val="Calibri"/>
        <family val="2"/>
      </rPr>
      <t>=</t>
    </r>
  </si>
  <si>
    <t>m/s (TAS)</t>
  </si>
  <si>
    <t>T/W for a Desired Cruise Airspeed eq.(3-10)</t>
  </si>
  <si>
    <t>W/S</t>
  </si>
  <si>
    <r>
      <t>N/m</t>
    </r>
    <r>
      <rPr>
        <vertAlign val="superscript"/>
        <sz val="12"/>
        <color theme="1"/>
        <rFont val="Calibri"/>
        <family val="2"/>
      </rPr>
      <t>2</t>
    </r>
  </si>
  <si>
    <t>Assignment requirements</t>
  </si>
  <si>
    <t>Other targets/requirements</t>
  </si>
  <si>
    <t>Air density</t>
  </si>
  <si>
    <t>Min dyn. pressure</t>
  </si>
  <si>
    <t>Lift-induced drag factor</t>
  </si>
  <si>
    <r>
      <t>ρ</t>
    </r>
    <r>
      <rPr>
        <vertAlign val="subscript"/>
        <sz val="14"/>
        <color theme="1"/>
        <rFont val="Calibri"/>
        <family val="2"/>
      </rPr>
      <t>cruise</t>
    </r>
    <r>
      <rPr>
        <sz val="14"/>
        <color theme="1"/>
        <rFont val="Calibri"/>
        <family val="2"/>
      </rPr>
      <t xml:space="preserve"> =</t>
    </r>
  </si>
  <si>
    <r>
      <t>q</t>
    </r>
    <r>
      <rPr>
        <vertAlign val="subscript"/>
        <sz val="14"/>
        <color theme="1"/>
        <rFont val="Calibri"/>
        <family val="2"/>
      </rPr>
      <t>cruise,min</t>
    </r>
    <r>
      <rPr>
        <sz val="14"/>
        <color theme="1"/>
        <rFont val="Calibri"/>
        <family val="2"/>
      </rPr>
      <t xml:space="preserve"> =</t>
    </r>
  </si>
  <si>
    <t>Max dyn. pressure</t>
  </si>
  <si>
    <r>
      <t>q</t>
    </r>
    <r>
      <rPr>
        <vertAlign val="subscript"/>
        <sz val="14"/>
        <color theme="1"/>
        <rFont val="Calibri"/>
        <family val="2"/>
      </rPr>
      <t>cruise,max</t>
    </r>
    <r>
      <rPr>
        <sz val="14"/>
        <color theme="1"/>
        <rFont val="Calibri"/>
        <family val="2"/>
      </rPr>
      <t xml:space="preserve"> =</t>
    </r>
  </si>
  <si>
    <r>
      <t>T/W</t>
    </r>
    <r>
      <rPr>
        <vertAlign val="subscript"/>
        <sz val="11"/>
        <color theme="1"/>
        <rFont val="Trebuchet MS"/>
        <family val="2"/>
        <scheme val="minor"/>
      </rPr>
      <t>cruise,min</t>
    </r>
  </si>
  <si>
    <r>
      <t>T/W</t>
    </r>
    <r>
      <rPr>
        <vertAlign val="subscript"/>
        <sz val="11"/>
        <color theme="1"/>
        <rFont val="Trebuchet MS"/>
        <family val="2"/>
        <scheme val="minor"/>
      </rPr>
      <t>cruise,max</t>
    </r>
  </si>
  <si>
    <t>Target Ground run</t>
  </si>
  <si>
    <r>
      <t>C</t>
    </r>
    <r>
      <rPr>
        <vertAlign val="subscript"/>
        <sz val="14"/>
        <color theme="1"/>
        <rFont val="Calibri"/>
        <family val="2"/>
      </rPr>
      <t>L,max,TO</t>
    </r>
  </si>
  <si>
    <r>
      <t>C</t>
    </r>
    <r>
      <rPr>
        <vertAlign val="subscript"/>
        <sz val="14"/>
        <color theme="1"/>
        <rFont val="Calibri"/>
        <family val="2"/>
      </rPr>
      <t xml:space="preserve">L,max,TO </t>
    </r>
    <r>
      <rPr>
        <sz val="14"/>
        <color theme="1"/>
        <rFont val="Calibri"/>
        <family val="2"/>
      </rPr>
      <t>=</t>
    </r>
  </si>
  <si>
    <r>
      <t>C</t>
    </r>
    <r>
      <rPr>
        <vertAlign val="subscript"/>
        <sz val="14"/>
        <color theme="1"/>
        <rFont val="Calibri"/>
        <family val="2"/>
      </rPr>
      <t>L,TO</t>
    </r>
  </si>
  <si>
    <r>
      <t>C</t>
    </r>
    <r>
      <rPr>
        <vertAlign val="subscript"/>
        <sz val="14"/>
        <color theme="1"/>
        <rFont val="Calibri"/>
        <family val="2"/>
      </rPr>
      <t>D,TO</t>
    </r>
  </si>
  <si>
    <r>
      <t>C</t>
    </r>
    <r>
      <rPr>
        <vertAlign val="subscript"/>
        <sz val="14"/>
        <color theme="1"/>
        <rFont val="Calibri"/>
        <family val="2"/>
      </rPr>
      <t>D,max,TO</t>
    </r>
  </si>
  <si>
    <t>k =</t>
  </si>
  <si>
    <r>
      <t>C</t>
    </r>
    <r>
      <rPr>
        <vertAlign val="subscript"/>
        <sz val="14"/>
        <color theme="1"/>
        <rFont val="Calibri"/>
        <family val="2"/>
      </rPr>
      <t xml:space="preserve">D,max,TO </t>
    </r>
    <r>
      <rPr>
        <sz val="14"/>
        <color theme="1"/>
        <rFont val="Calibri"/>
        <family val="2"/>
      </rPr>
      <t>=</t>
    </r>
  </si>
  <si>
    <r>
      <t>C</t>
    </r>
    <r>
      <rPr>
        <vertAlign val="subscript"/>
        <sz val="14"/>
        <color theme="1"/>
        <rFont val="Calibri"/>
        <family val="2"/>
      </rPr>
      <t>L,TO</t>
    </r>
    <r>
      <rPr>
        <sz val="14"/>
        <color theme="1"/>
        <rFont val="Calibri"/>
        <family val="2"/>
      </rPr>
      <t xml:space="preserve"> =</t>
    </r>
  </si>
  <si>
    <r>
      <t>C</t>
    </r>
    <r>
      <rPr>
        <vertAlign val="subscript"/>
        <sz val="14"/>
        <color theme="1"/>
        <rFont val="Calibri"/>
        <family val="2"/>
      </rPr>
      <t>D,TO</t>
    </r>
    <r>
      <rPr>
        <sz val="14"/>
        <color theme="1"/>
        <rFont val="Calibri"/>
        <family val="2"/>
      </rPr>
      <t xml:space="preserve"> =</t>
    </r>
  </si>
  <si>
    <r>
      <rPr>
        <sz val="11"/>
        <color theme="1"/>
        <rFont val="Calibri"/>
        <family val="2"/>
      </rPr>
      <t xml:space="preserve">μ </t>
    </r>
    <r>
      <rPr>
        <sz val="11"/>
        <color theme="1"/>
        <rFont val="Trebuchet MS"/>
        <family val="2"/>
      </rPr>
      <t>=</t>
    </r>
  </si>
  <si>
    <r>
      <t>T/W</t>
    </r>
    <r>
      <rPr>
        <vertAlign val="subscript"/>
        <sz val="12"/>
        <color theme="1"/>
        <rFont val="Calibri"/>
        <family val="2"/>
      </rPr>
      <t>TO</t>
    </r>
  </si>
  <si>
    <t>Airfield alt</t>
  </si>
  <si>
    <r>
      <t>H</t>
    </r>
    <r>
      <rPr>
        <vertAlign val="subscript"/>
        <sz val="14"/>
        <color theme="1"/>
        <rFont val="Calibri"/>
        <family val="2"/>
      </rPr>
      <t xml:space="preserve">airfield </t>
    </r>
    <r>
      <rPr>
        <sz val="14"/>
        <color theme="1"/>
        <rFont val="Calibri"/>
        <family val="2"/>
      </rPr>
      <t>=</t>
    </r>
  </si>
  <si>
    <r>
      <t>S</t>
    </r>
    <r>
      <rPr>
        <vertAlign val="subscript"/>
        <sz val="14"/>
        <color theme="1"/>
        <rFont val="Calibri"/>
        <family val="2"/>
      </rPr>
      <t xml:space="preserve">G </t>
    </r>
    <r>
      <rPr>
        <sz val="14"/>
        <color theme="1"/>
        <rFont val="Calibri"/>
        <family val="2"/>
      </rPr>
      <t>=</t>
    </r>
  </si>
  <si>
    <t>Effeciency</t>
  </si>
  <si>
    <r>
      <t>η</t>
    </r>
    <r>
      <rPr>
        <vertAlign val="subscript"/>
        <sz val="11"/>
        <color theme="1"/>
        <rFont val="Calibri"/>
        <family val="2"/>
      </rPr>
      <t>batt</t>
    </r>
  </si>
  <si>
    <r>
      <t>η</t>
    </r>
    <r>
      <rPr>
        <vertAlign val="subscript"/>
        <sz val="11"/>
        <color theme="1"/>
        <rFont val="Calibri"/>
        <family val="2"/>
      </rPr>
      <t>motor</t>
    </r>
  </si>
  <si>
    <r>
      <t>η</t>
    </r>
    <r>
      <rPr>
        <vertAlign val="subscript"/>
        <sz val="11"/>
        <color theme="1"/>
        <rFont val="Calibri"/>
        <family val="2"/>
      </rPr>
      <t>prop</t>
    </r>
  </si>
  <si>
    <r>
      <t>η</t>
    </r>
    <r>
      <rPr>
        <vertAlign val="subscript"/>
        <sz val="11"/>
        <color theme="1"/>
        <rFont val="Calibri"/>
        <family val="2"/>
      </rPr>
      <t>gear</t>
    </r>
  </si>
  <si>
    <r>
      <t>η</t>
    </r>
    <r>
      <rPr>
        <vertAlign val="subscript"/>
        <sz val="11"/>
        <color theme="1"/>
        <rFont val="Calibri"/>
        <family val="2"/>
      </rPr>
      <t>tot</t>
    </r>
  </si>
  <si>
    <r>
      <t>V</t>
    </r>
    <r>
      <rPr>
        <vertAlign val="subscript"/>
        <sz val="11"/>
        <color theme="1"/>
        <rFont val="Calibri"/>
        <family val="2"/>
      </rPr>
      <t xml:space="preserve">LOF </t>
    </r>
    <r>
      <rPr>
        <sz val="11"/>
        <color theme="1"/>
        <rFont val="Calibri"/>
        <family val="2"/>
      </rPr>
      <t>=</t>
    </r>
  </si>
  <si>
    <r>
      <t>V</t>
    </r>
    <r>
      <rPr>
        <vertAlign val="subscript"/>
        <sz val="11"/>
        <color theme="1"/>
        <rFont val="Calibri"/>
        <family val="2"/>
      </rPr>
      <t>stall,max</t>
    </r>
    <r>
      <rPr>
        <sz val="11"/>
        <color theme="1"/>
        <rFont val="Calibri"/>
        <family val="2"/>
      </rPr>
      <t xml:space="preserve"> =</t>
    </r>
  </si>
  <si>
    <t>§</t>
  </si>
  <si>
    <r>
      <t>η</t>
    </r>
    <r>
      <rPr>
        <vertAlign val="subscript"/>
        <sz val="11"/>
        <color theme="1"/>
        <rFont val="Calibri"/>
        <family val="2"/>
      </rPr>
      <t>sys</t>
    </r>
  </si>
  <si>
    <t>km</t>
  </si>
  <si>
    <r>
      <t>E</t>
    </r>
    <r>
      <rPr>
        <b/>
        <vertAlign val="subscript"/>
        <sz val="12"/>
        <color theme="1"/>
        <rFont val="Calibri"/>
        <family val="2"/>
      </rPr>
      <t>c</t>
    </r>
    <r>
      <rPr>
        <vertAlign val="subscript"/>
        <sz val="12"/>
        <color theme="1"/>
        <rFont val="Calibri"/>
        <family val="2"/>
      </rPr>
      <t>ruise</t>
    </r>
  </si>
  <si>
    <r>
      <t>P</t>
    </r>
    <r>
      <rPr>
        <vertAlign val="subscript"/>
        <sz val="12"/>
        <color theme="1"/>
        <rFont val="Calibri"/>
        <family val="2"/>
      </rPr>
      <t>AV,max Cont</t>
    </r>
  </si>
  <si>
    <r>
      <t>R</t>
    </r>
    <r>
      <rPr>
        <b/>
        <vertAlign val="subscript"/>
        <sz val="12"/>
        <color theme="1"/>
        <rFont val="Calibri"/>
        <family val="2"/>
      </rPr>
      <t>c</t>
    </r>
    <r>
      <rPr>
        <vertAlign val="subscript"/>
        <sz val="12"/>
        <color theme="1"/>
        <rFont val="Calibri"/>
        <family val="2"/>
      </rPr>
      <t>ruise,max Cont</t>
    </r>
  </si>
  <si>
    <t>Chosen cruise speed TAS</t>
  </si>
  <si>
    <r>
      <t>V</t>
    </r>
    <r>
      <rPr>
        <vertAlign val="subscript"/>
        <sz val="14"/>
        <color theme="1"/>
        <rFont val="Calibri"/>
        <family val="2"/>
      </rPr>
      <t>cruise,dsgn, TAS</t>
    </r>
    <r>
      <rPr>
        <sz val="14"/>
        <color theme="1"/>
        <rFont val="Calibri"/>
        <family val="2"/>
      </rPr>
      <t xml:space="preserve"> = </t>
    </r>
  </si>
  <si>
    <r>
      <t>q</t>
    </r>
    <r>
      <rPr>
        <vertAlign val="subscript"/>
        <sz val="14"/>
        <color theme="1"/>
        <rFont val="Calibri"/>
        <family val="2"/>
      </rPr>
      <t>cruise,dsgn</t>
    </r>
    <r>
      <rPr>
        <sz val="14"/>
        <color theme="1"/>
        <rFont val="Calibri"/>
        <family val="2"/>
      </rPr>
      <t xml:space="preserve"> = </t>
    </r>
  </si>
  <si>
    <t>Dsgn dyn. pressure</t>
  </si>
  <si>
    <t>CURRENT DESIGN</t>
  </si>
  <si>
    <t>Chosen cruise speed</t>
  </si>
  <si>
    <r>
      <t>T/W</t>
    </r>
    <r>
      <rPr>
        <vertAlign val="subscript"/>
        <sz val="11"/>
        <color theme="1"/>
        <rFont val="Trebuchet MS"/>
        <family val="2"/>
        <scheme val="minor"/>
      </rPr>
      <t>cruise,dsgn</t>
    </r>
  </si>
  <si>
    <r>
      <t>T/W</t>
    </r>
    <r>
      <rPr>
        <b/>
        <vertAlign val="subscript"/>
        <sz val="12"/>
        <color theme="1"/>
        <rFont val="Calibri"/>
        <family val="2"/>
      </rPr>
      <t>TO</t>
    </r>
    <r>
      <rPr>
        <b/>
        <sz val="12"/>
        <color theme="1"/>
        <rFont val="Calibri"/>
        <family val="2"/>
      </rPr>
      <t xml:space="preserve"> (copy)</t>
    </r>
  </si>
  <si>
    <t>T/W for a desired rate of climb (eq. 3-2)</t>
  </si>
  <si>
    <t xml:space="preserve">Vertical speed </t>
  </si>
  <si>
    <r>
      <t>V</t>
    </r>
    <r>
      <rPr>
        <vertAlign val="subscript"/>
        <sz val="14"/>
        <color theme="1"/>
        <rFont val="Calibri"/>
        <family val="2"/>
      </rPr>
      <t>V</t>
    </r>
    <r>
      <rPr>
        <sz val="14"/>
        <color theme="1"/>
        <rFont val="Calibri"/>
        <family val="2"/>
      </rPr>
      <t xml:space="preserve"> = </t>
    </r>
  </si>
  <si>
    <r>
      <t>V</t>
    </r>
    <r>
      <rPr>
        <b/>
        <vertAlign val="subscript"/>
        <sz val="12"/>
        <color theme="1"/>
        <rFont val="Calibri"/>
        <family val="2"/>
      </rPr>
      <t>Y</t>
    </r>
    <r>
      <rPr>
        <b/>
        <sz val="12"/>
        <color theme="1"/>
        <rFont val="Calibri"/>
        <family val="2"/>
      </rPr>
      <t xml:space="preserve"> (table 3-1)</t>
    </r>
  </si>
  <si>
    <t>N/A</t>
  </si>
  <si>
    <r>
      <t>V</t>
    </r>
    <r>
      <rPr>
        <b/>
        <vertAlign val="subscript"/>
        <sz val="12"/>
        <color theme="1"/>
        <rFont val="Calibri"/>
        <family val="2"/>
      </rPr>
      <t>Y</t>
    </r>
    <r>
      <rPr>
        <b/>
        <sz val="12"/>
        <color theme="1"/>
        <rFont val="Calibri"/>
        <family val="2"/>
      </rPr>
      <t xml:space="preserve"> (SD. ch.19)</t>
    </r>
  </si>
  <si>
    <r>
      <t>V</t>
    </r>
    <r>
      <rPr>
        <b/>
        <vertAlign val="subscript"/>
        <sz val="12"/>
        <color theme="1"/>
        <rFont val="Calibri"/>
        <family val="2"/>
      </rPr>
      <t>Y</t>
    </r>
    <r>
      <rPr>
        <b/>
        <sz val="12"/>
        <color theme="1"/>
        <rFont val="Calibri"/>
        <family val="2"/>
      </rPr>
      <t xml:space="preserve"> (AD. ch.19)</t>
    </r>
  </si>
  <si>
    <t>Climb dyn. Pressure</t>
  </si>
  <si>
    <r>
      <t>q</t>
    </r>
    <r>
      <rPr>
        <vertAlign val="subscript"/>
        <sz val="14"/>
        <color theme="1"/>
        <rFont val="Calibri"/>
        <family val="2"/>
      </rPr>
      <t>climb</t>
    </r>
    <r>
      <rPr>
        <sz val="14"/>
        <color theme="1"/>
        <rFont val="Calibri"/>
        <family val="2"/>
      </rPr>
      <t xml:space="preserve"> = </t>
    </r>
  </si>
  <si>
    <t>Height</t>
  </si>
  <si>
    <t>H=</t>
  </si>
  <si>
    <t>Density at height</t>
  </si>
  <si>
    <r>
      <t>ρ</t>
    </r>
    <r>
      <rPr>
        <vertAlign val="subscript"/>
        <sz val="14"/>
        <color theme="1"/>
        <rFont val="Calibri"/>
        <family val="2"/>
      </rPr>
      <t>H</t>
    </r>
    <r>
      <rPr>
        <sz val="14"/>
        <color theme="1"/>
        <rFont val="Calibri"/>
        <family val="2"/>
      </rPr>
      <t xml:space="preserve"> = </t>
    </r>
  </si>
  <si>
    <r>
      <t>T/W</t>
    </r>
    <r>
      <rPr>
        <b/>
        <vertAlign val="subscript"/>
        <sz val="12"/>
        <color theme="1"/>
        <rFont val="Calibri"/>
        <family val="2"/>
      </rPr>
      <t>ROC</t>
    </r>
    <r>
      <rPr>
        <b/>
        <sz val="12"/>
        <color theme="1"/>
        <rFont val="Calibri"/>
        <family val="2"/>
      </rPr>
      <t xml:space="preserve"> (1)</t>
    </r>
  </si>
  <si>
    <r>
      <t>T/W</t>
    </r>
    <r>
      <rPr>
        <b/>
        <vertAlign val="subscript"/>
        <sz val="12"/>
        <color theme="1"/>
        <rFont val="Calibri"/>
        <family val="2"/>
      </rPr>
      <t>ROC</t>
    </r>
    <r>
      <rPr>
        <b/>
        <sz val="12"/>
        <color theme="1"/>
        <rFont val="Calibri"/>
        <family val="2"/>
      </rPr>
      <t xml:space="preserve"> (2)</t>
    </r>
  </si>
  <si>
    <r>
      <t>T/W</t>
    </r>
    <r>
      <rPr>
        <b/>
        <vertAlign val="subscript"/>
        <sz val="12"/>
        <color theme="1"/>
        <rFont val="Calibri"/>
        <family val="2"/>
      </rPr>
      <t>ROC</t>
    </r>
    <r>
      <rPr>
        <b/>
        <sz val="12"/>
        <color theme="1"/>
        <rFont val="Calibri"/>
        <family val="2"/>
      </rPr>
      <t xml:space="preserve"> (3)</t>
    </r>
  </si>
  <si>
    <t>T/W for a desired maximum angle of climb (eq. 3-6)</t>
  </si>
  <si>
    <t>Desired climb angle</t>
  </si>
  <si>
    <t>°</t>
  </si>
  <si>
    <t>γ =</t>
  </si>
  <si>
    <t>Misc.</t>
  </si>
  <si>
    <t>Aerodynamic performance</t>
  </si>
  <si>
    <t>Simplified drag model</t>
  </si>
  <si>
    <t>Optimum lift coefficient</t>
  </si>
  <si>
    <t>Maximum aerodynamic efficiency</t>
  </si>
  <si>
    <r>
      <t>c</t>
    </r>
    <r>
      <rPr>
        <vertAlign val="subscript"/>
        <sz val="14"/>
        <color theme="1"/>
        <rFont val="Calibri"/>
        <family val="2"/>
      </rPr>
      <t>L, opt</t>
    </r>
    <r>
      <rPr>
        <sz val="14"/>
        <color theme="1"/>
        <rFont val="Calibri"/>
        <family val="2"/>
      </rPr>
      <t xml:space="preserve"> = </t>
    </r>
  </si>
  <si>
    <r>
      <t>LD</t>
    </r>
    <r>
      <rPr>
        <vertAlign val="subscript"/>
        <sz val="14"/>
        <color theme="1"/>
        <rFont val="Calibri"/>
        <family val="2"/>
      </rPr>
      <t>max</t>
    </r>
    <r>
      <rPr>
        <sz val="14"/>
        <color theme="1"/>
        <rFont val="Calibri"/>
        <family val="2"/>
      </rPr>
      <t xml:space="preserve"> = </t>
    </r>
  </si>
  <si>
    <t>Adjusted drag model</t>
  </si>
  <si>
    <t>T/Wmax γ (SD)</t>
  </si>
  <si>
    <t>T/Wmax γ (AD)</t>
  </si>
  <si>
    <t>T/W for a constant velocity turn (eq. 3-7)</t>
  </si>
  <si>
    <t>Load factor</t>
  </si>
  <si>
    <t>Target bank angle</t>
  </si>
  <si>
    <t>Airspeed</t>
  </si>
  <si>
    <t>Altitude</t>
  </si>
  <si>
    <t>Dyn. Pressure</t>
  </si>
  <si>
    <r>
      <t>φ</t>
    </r>
    <r>
      <rPr>
        <sz val="11.9"/>
        <color theme="1"/>
        <rFont val="Calibri"/>
        <family val="2"/>
      </rPr>
      <t xml:space="preserve"> = </t>
    </r>
  </si>
  <si>
    <t xml:space="preserve">n = </t>
  </si>
  <si>
    <t xml:space="preserve">V = </t>
  </si>
  <si>
    <t xml:space="preserve">H = </t>
  </si>
  <si>
    <t xml:space="preserve">q = </t>
  </si>
  <si>
    <r>
      <t>ρ</t>
    </r>
    <r>
      <rPr>
        <sz val="11.9"/>
        <color theme="1"/>
        <rFont val="Calibri"/>
        <family val="2"/>
      </rPr>
      <t xml:space="preserve"> = </t>
    </r>
    <r>
      <rPr>
        <sz val="14"/>
        <color theme="1"/>
        <rFont val="Calibri"/>
        <family val="2"/>
      </rPr>
      <t xml:space="preserve"> </t>
    </r>
  </si>
  <si>
    <r>
      <t>T/W</t>
    </r>
    <r>
      <rPr>
        <b/>
        <vertAlign val="subscript"/>
        <sz val="12"/>
        <color theme="1"/>
        <rFont val="Calibri"/>
        <family val="2"/>
      </rPr>
      <t>turn</t>
    </r>
  </si>
  <si>
    <r>
      <t>T/W</t>
    </r>
    <r>
      <rPr>
        <b/>
        <vertAlign val="subscript"/>
        <sz val="12"/>
        <color theme="1"/>
        <rFont val="Calibri"/>
        <family val="2"/>
      </rPr>
      <t>ceiling</t>
    </r>
    <r>
      <rPr>
        <b/>
        <sz val="12"/>
        <color theme="1"/>
        <rFont val="Calibri"/>
        <family val="2"/>
      </rPr>
      <t xml:space="preserve"> (1)</t>
    </r>
  </si>
  <si>
    <r>
      <t>T/W</t>
    </r>
    <r>
      <rPr>
        <b/>
        <vertAlign val="subscript"/>
        <sz val="12"/>
        <color theme="1"/>
        <rFont val="Calibri"/>
        <family val="2"/>
      </rPr>
      <t>ceiling</t>
    </r>
    <r>
      <rPr>
        <b/>
        <sz val="12"/>
        <color theme="1"/>
        <rFont val="Calibri"/>
        <family val="2"/>
      </rPr>
      <t xml:space="preserve"> (2)</t>
    </r>
  </si>
  <si>
    <r>
      <t>T/W</t>
    </r>
    <r>
      <rPr>
        <b/>
        <vertAlign val="subscript"/>
        <sz val="12"/>
        <color theme="1"/>
        <rFont val="Calibri"/>
        <family val="2"/>
      </rPr>
      <t>ceiling</t>
    </r>
    <r>
      <rPr>
        <b/>
        <sz val="12"/>
        <color theme="1"/>
        <rFont val="Calibri"/>
        <family val="2"/>
      </rPr>
      <t xml:space="preserve"> (3)</t>
    </r>
  </si>
  <si>
    <t>T/W for a desired service ceiling (eq. 3-11)</t>
  </si>
  <si>
    <t>Service ceiling</t>
  </si>
  <si>
    <r>
      <t>H</t>
    </r>
    <r>
      <rPr>
        <vertAlign val="subscript"/>
        <sz val="14"/>
        <color theme="1"/>
        <rFont val="Calibri"/>
        <family val="2"/>
      </rPr>
      <t>(ROC)max</t>
    </r>
    <r>
      <rPr>
        <sz val="14"/>
        <color theme="1"/>
        <rFont val="Calibri"/>
        <family val="2"/>
      </rPr>
      <t xml:space="preserve"> = </t>
    </r>
  </si>
  <si>
    <t>Density at ceiling</t>
  </si>
  <si>
    <r>
      <t>ρ</t>
    </r>
    <r>
      <rPr>
        <vertAlign val="subscript"/>
        <sz val="11.9"/>
        <color theme="1"/>
        <rFont val="Calibri"/>
        <family val="2"/>
      </rPr>
      <t xml:space="preserve">(ROC)max </t>
    </r>
    <r>
      <rPr>
        <sz val="11.9"/>
        <color theme="1"/>
        <rFont val="Calibri"/>
        <family val="2"/>
      </rPr>
      <t xml:space="preserve">= </t>
    </r>
  </si>
  <si>
    <t>Dyn. Pressure ceiling</t>
  </si>
  <si>
    <r>
      <t>q</t>
    </r>
    <r>
      <rPr>
        <vertAlign val="subscript"/>
        <sz val="14"/>
        <color theme="1"/>
        <rFont val="Calibri"/>
        <family val="2"/>
      </rPr>
      <t xml:space="preserve">(ROC)max </t>
    </r>
    <r>
      <rPr>
        <sz val="14"/>
        <color theme="1"/>
        <rFont val="Calibri"/>
        <family val="2"/>
      </rPr>
      <t xml:space="preserve">= </t>
    </r>
  </si>
  <si>
    <r>
      <t>q</t>
    </r>
    <r>
      <rPr>
        <vertAlign val="subscript"/>
        <sz val="14"/>
        <color theme="1"/>
        <rFont val="Calibri"/>
        <family val="2"/>
      </rPr>
      <t>(ROC)max</t>
    </r>
    <r>
      <rPr>
        <b/>
        <sz val="12"/>
        <color theme="1"/>
        <rFont val="Calibri"/>
        <family val="2"/>
      </rPr>
      <t xml:space="preserve"> (1)</t>
    </r>
  </si>
  <si>
    <r>
      <t>q</t>
    </r>
    <r>
      <rPr>
        <vertAlign val="subscript"/>
        <sz val="14"/>
        <color theme="1"/>
        <rFont val="Calibri"/>
        <family val="2"/>
      </rPr>
      <t>(ROC)max</t>
    </r>
    <r>
      <rPr>
        <b/>
        <sz val="12"/>
        <color theme="1"/>
        <rFont val="Calibri"/>
        <family val="2"/>
      </rPr>
      <t xml:space="preserve"> (2)</t>
    </r>
  </si>
  <si>
    <r>
      <t>q</t>
    </r>
    <r>
      <rPr>
        <vertAlign val="subscript"/>
        <sz val="14"/>
        <color theme="1"/>
        <rFont val="Calibri"/>
        <family val="2"/>
      </rPr>
      <t>(ROC)max</t>
    </r>
    <r>
      <rPr>
        <b/>
        <sz val="12"/>
        <color theme="1"/>
        <rFont val="Calibri"/>
        <family val="2"/>
      </rPr>
      <t xml:space="preserve"> (3)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</si>
</sst>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24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</font>
    <font>
      <vertAlign val="superscript"/>
      <sz val="14"/>
      <color theme="1"/>
      <name val="Calibri"/>
      <family val="2"/>
    </font>
    <font>
      <sz val="28"/>
      <color theme="1"/>
      <name val="Calibri"/>
      <family val="2"/>
    </font>
    <font>
      <vertAlign val="subscript"/>
      <sz val="14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b/>
      <vertAlign val="superscript"/>
      <sz val="12"/>
      <color theme="1"/>
      <name val="Calibri"/>
      <family val="2"/>
    </font>
    <font>
      <b/>
      <sz val="14"/>
      <color theme="1"/>
      <name val="Calibri"/>
      <family val="2"/>
    </font>
    <font>
      <vertAlign val="superscript"/>
      <sz val="12"/>
      <color theme="1"/>
      <name val="Calibri"/>
      <family val="2"/>
    </font>
    <font>
      <vertAlign val="subscript"/>
      <sz val="11"/>
      <color theme="1"/>
      <name val="Trebuchet MS"/>
      <family val="2"/>
      <scheme val="minor"/>
    </font>
    <font>
      <sz val="11"/>
      <color theme="1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</font>
    <font>
      <u/>
      <sz val="11"/>
      <color theme="1"/>
      <name val="Calibri"/>
      <family val="2"/>
    </font>
    <font>
      <sz val="11.9"/>
      <color theme="1"/>
      <name val="Calibri"/>
      <family val="2"/>
    </font>
    <font>
      <vertAlign val="subscript"/>
      <sz val="11.9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center" wrapText="1"/>
    </xf>
    <xf numFmtId="0" fontId="3" fillId="3" borderId="0" xfId="0" applyFont="1" applyFill="1" applyAlignment="1">
      <alignment horizontal="right" vertical="center"/>
    </xf>
    <xf numFmtId="0" fontId="2" fillId="3" borderId="0" xfId="0" applyFon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49" fontId="5" fillId="2" borderId="0" xfId="1" applyNumberFormat="1" applyFont="1" applyAlignment="1">
      <alignment vertical="center"/>
    </xf>
    <xf numFmtId="49" fontId="5" fillId="2" borderId="0" xfId="1" applyNumberFormat="1" applyFont="1" applyAlignment="1">
      <alignment horizontal="right" vertical="center"/>
    </xf>
    <xf numFmtId="0" fontId="2" fillId="2" borderId="0" xfId="1" applyFont="1" applyAlignment="1">
      <alignment horizontal="center"/>
    </xf>
    <xf numFmtId="0" fontId="2" fillId="2" borderId="1" xfId="1" applyFont="1" applyBorder="1"/>
    <xf numFmtId="49" fontId="5" fillId="4" borderId="0" xfId="1" applyNumberFormat="1" applyFont="1" applyFill="1" applyAlignment="1">
      <alignment vertical="center"/>
    </xf>
    <xf numFmtId="0" fontId="2" fillId="4" borderId="0" xfId="1" applyFont="1" applyFill="1"/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1" xfId="0" applyFont="1" applyFill="1" applyBorder="1"/>
    <xf numFmtId="0" fontId="2" fillId="3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0" xfId="0" applyFont="1" applyFill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vertical="center"/>
    </xf>
    <xf numFmtId="164" fontId="3" fillId="5" borderId="0" xfId="0" applyNumberFormat="1" applyFont="1" applyFill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5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/>
    </xf>
    <xf numFmtId="0" fontId="8" fillId="6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7" borderId="0" xfId="0" applyFont="1" applyFill="1"/>
    <xf numFmtId="0" fontId="9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166" fontId="3" fillId="5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8" borderId="0" xfId="1" applyFont="1" applyFill="1"/>
    <xf numFmtId="49" fontId="5" fillId="8" borderId="0" xfId="1" applyNumberFormat="1" applyFont="1" applyFill="1" applyAlignment="1">
      <alignment vertical="center"/>
    </xf>
    <xf numFmtId="0" fontId="2" fillId="4" borderId="1" xfId="1" applyFont="1" applyFill="1" applyBorder="1"/>
    <xf numFmtId="0" fontId="14" fillId="3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1" fontId="3" fillId="5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9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9" borderId="0" xfId="0" applyFill="1"/>
    <xf numFmtId="0" fontId="5" fillId="4" borderId="0" xfId="1" applyFont="1" applyFill="1"/>
    <xf numFmtId="0" fontId="14" fillId="3" borderId="0" xfId="0" applyFont="1" applyFill="1"/>
    <xf numFmtId="0" fontId="20" fillId="3" borderId="0" xfId="0" applyFont="1" applyFill="1"/>
    <xf numFmtId="0" fontId="21" fillId="3" borderId="0" xfId="0" applyFont="1" applyFill="1"/>
    <xf numFmtId="0" fontId="0" fillId="10" borderId="0" xfId="0" applyFill="1"/>
  </cellXfs>
  <cellStyles count="2">
    <cellStyle name="60% - Accent3" xfId="1" builtinId="40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7798662779735747"/>
          <c:y val="0.17505449079007748"/>
          <c:w val="0.77181267116864316"/>
          <c:h val="0.6163905407105987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Performance!$N$29:$N$159</c:f>
              <c:numCache>
                <c:formatCode>0.000</c:formatCode>
                <c:ptCount val="131"/>
                <c:pt idx="0">
                  <c:v>8.5878484375819735</c:v>
                </c:pt>
                <c:pt idx="1">
                  <c:v>9.03843196056736</c:v>
                </c:pt>
                <c:pt idx="2">
                  <c:v>9.4904586769923043</c:v>
                </c:pt>
                <c:pt idx="3">
                  <c:v>9.9435769429577121</c:v>
                </c:pt>
                <c:pt idx="4">
                  <c:v>10.397368459285477</c:v>
                </c:pt>
                <c:pt idx="5">
                  <c:v>10.851346512810615</c:v>
                </c:pt>
                <c:pt idx="6">
                  <c:v>11.30495456893278</c:v>
                </c:pt>
                <c:pt idx="7">
                  <c:v>11.757559889259753</c:v>
                </c:pt>
                <c:pt idx="8">
                  <c:v>12.208456985290766</c:v>
                </c:pt>
                <c:pt idx="9">
                  <c:v>12.656859419267295</c:v>
                </c:pt>
                <c:pt idx="10">
                  <c:v>13.101905533697485</c:v>
                </c:pt>
                <c:pt idx="11">
                  <c:v>13.542658887674879</c:v>
                </c:pt>
                <c:pt idx="12">
                  <c:v>13.978102340485673</c:v>
                </c:pt>
                <c:pt idx="13">
                  <c:v>14.407150676859688</c:v>
                </c:pt>
                <c:pt idx="14">
                  <c:v>14.828645911939391</c:v>
                </c:pt>
                <c:pt idx="15">
                  <c:v>15.241373110301108</c:v>
                </c:pt>
                <c:pt idx="16">
                  <c:v>15.644056083758949</c:v>
                </c:pt>
                <c:pt idx="17">
                  <c:v>16.035377403691086</c:v>
                </c:pt>
                <c:pt idx="18">
                  <c:v>16.413977809230737</c:v>
                </c:pt>
                <c:pt idx="19">
                  <c:v>16.778477597625024</c:v>
                </c:pt>
                <c:pt idx="20">
                  <c:v>17.127482362201601</c:v>
                </c:pt>
                <c:pt idx="21">
                  <c:v>17.459605266586927</c:v>
                </c:pt>
                <c:pt idx="22">
                  <c:v>17.773479029567536</c:v>
                </c:pt>
                <c:pt idx="23">
                  <c:v>18.067769862614036</c:v>
                </c:pt>
                <c:pt idx="24">
                  <c:v>18.341201403745043</c:v>
                </c:pt>
                <c:pt idx="25">
                  <c:v>18.592566488866375</c:v>
                </c:pt>
                <c:pt idx="26">
                  <c:v>18.820751848892161</c:v>
                </c:pt>
                <c:pt idx="27">
                  <c:v>19.024746594670003</c:v>
                </c:pt>
                <c:pt idx="28">
                  <c:v>19.203663191324093</c:v>
                </c:pt>
                <c:pt idx="29">
                  <c:v>19.356754524234489</c:v>
                </c:pt>
                <c:pt idx="30">
                  <c:v>19.483420569112667</c:v>
                </c:pt>
                <c:pt idx="31">
                  <c:v>19.583223558484125</c:v>
                </c:pt>
                <c:pt idx="32">
                  <c:v>19.655893614586681</c:v>
                </c:pt>
                <c:pt idx="33">
                  <c:v>19.701335227667201</c:v>
                </c:pt>
                <c:pt idx="34">
                  <c:v>19.719629038613959</c:v>
                </c:pt>
                <c:pt idx="35">
                  <c:v>19.711031403896097</c:v>
                </c:pt>
                <c:pt idx="36">
                  <c:v>19.675969868884781</c:v>
                </c:pt>
                <c:pt idx="37">
                  <c:v>19.615037761230067</c:v>
                </c:pt>
                <c:pt idx="38">
                  <c:v>19.528984255196178</c:v>
                </c:pt>
                <c:pt idx="39">
                  <c:v>19.418700974680046</c:v>
                </c:pt>
                <c:pt idx="40">
                  <c:v>19.285214160123868</c:v>
                </c:pt>
                <c:pt idx="41">
                  <c:v>19.129659916915745</c:v>
                </c:pt>
                <c:pt idx="42">
                  <c:v>18.953276264349228</c:v>
                </c:pt>
                <c:pt idx="43">
                  <c:v>18.757384465120289</c:v>
                </c:pt>
                <c:pt idx="44">
                  <c:v>18.543362763955727</c:v>
                </c:pt>
                <c:pt idx="45">
                  <c:v>18.312640549663868</c:v>
                </c:pt>
                <c:pt idx="46">
                  <c:v>18.066678322368908</c:v>
                </c:pt>
                <c:pt idx="47">
                  <c:v>17.806942601215148</c:v>
                </c:pt>
                <c:pt idx="48">
                  <c:v>17.534902117904057</c:v>
                </c:pt>
                <c:pt idx="49">
                  <c:v>17.252007165934565</c:v>
                </c:pt>
                <c:pt idx="50">
                  <c:v>16.959678640220513</c:v>
                </c:pt>
                <c:pt idx="51">
                  <c:v>16.659294913292825</c:v>
                </c:pt>
                <c:pt idx="52">
                  <c:v>16.352190644110472</c:v>
                </c:pt>
                <c:pt idx="53">
                  <c:v>16.039638753082649</c:v>
                </c:pt>
                <c:pt idx="54">
                  <c:v>15.722843717744553</c:v>
                </c:pt>
                <c:pt idx="55">
                  <c:v>15.402949768492308</c:v>
                </c:pt>
                <c:pt idx="56">
                  <c:v>15.08102242474248</c:v>
                </c:pt>
                <c:pt idx="57">
                  <c:v>14.758055021108513</c:v>
                </c:pt>
                <c:pt idx="58">
                  <c:v>14.434967808301607</c:v>
                </c:pt>
                <c:pt idx="59">
                  <c:v>14.112603584355952</c:v>
                </c:pt>
                <c:pt idx="60">
                  <c:v>13.791730839498767</c:v>
                </c:pt>
                <c:pt idx="61">
                  <c:v>13.473045452982992</c:v>
                </c:pt>
                <c:pt idx="62">
                  <c:v>13.157170857059157</c:v>
                </c:pt>
                <c:pt idx="63">
                  <c:v>12.844669454752058</c:v>
                </c:pt>
                <c:pt idx="64">
                  <c:v>12.536032846660103</c:v>
                </c:pt>
                <c:pt idx="65">
                  <c:v>12.231689818817683</c:v>
                </c:pt>
                <c:pt idx="66">
                  <c:v>11.93202643131753</c:v>
                </c:pt>
                <c:pt idx="67">
                  <c:v>11.637356645915565</c:v>
                </c:pt>
                <c:pt idx="68">
                  <c:v>11.347957072451212</c:v>
                </c:pt>
                <c:pt idx="69">
                  <c:v>11.064052372637093</c:v>
                </c:pt>
                <c:pt idx="70">
                  <c:v>10.785830826388668</c:v>
                </c:pt>
                <c:pt idx="71">
                  <c:v>10.513432612915002</c:v>
                </c:pt>
                <c:pt idx="72">
                  <c:v>10.246974105425156</c:v>
                </c:pt>
                <c:pt idx="73">
                  <c:v>9.9865306127971483</c:v>
                </c:pt>
                <c:pt idx="74">
                  <c:v>9.7321543041255314</c:v>
                </c:pt>
                <c:pt idx="75">
                  <c:v>9.4838698508631012</c:v>
                </c:pt>
                <c:pt idx="76">
                  <c:v>9.2416790508166642</c:v>
                </c:pt>
                <c:pt idx="77">
                  <c:v>9.0055634203269932</c:v>
                </c:pt>
                <c:pt idx="78">
                  <c:v>8.7754881504358337</c:v>
                </c:pt>
                <c:pt idx="79">
                  <c:v>8.5513980725734715</c:v>
                </c:pt>
                <c:pt idx="80">
                  <c:v>8.3332306082847136</c:v>
                </c:pt>
                <c:pt idx="81">
                  <c:v>8.1209082367974315</c:v>
                </c:pt>
                <c:pt idx="82">
                  <c:v>7.9143433834929393</c:v>
                </c:pt>
                <c:pt idx="83">
                  <c:v>7.7134386089374996</c:v>
                </c:pt>
                <c:pt idx="84">
                  <c:v>7.5180908291178365</c:v>
                </c:pt>
                <c:pt idx="85">
                  <c:v>7.3281923832370905</c:v>
                </c:pt>
                <c:pt idx="86">
                  <c:v>7.1436307398268859</c:v>
                </c:pt>
                <c:pt idx="87">
                  <c:v>6.9642858885437997</c:v>
                </c:pt>
                <c:pt idx="88">
                  <c:v>6.7900388183725129</c:v>
                </c:pt>
                <c:pt idx="89">
                  <c:v>6.6207683750929842</c:v>
                </c:pt>
                <c:pt idx="90">
                  <c:v>6.4563486528668825</c:v>
                </c:pt>
                <c:pt idx="91">
                  <c:v>6.2966576456097272</c:v>
                </c:pt>
                <c:pt idx="92">
                  <c:v>6.1415687904179759</c:v>
                </c:pt>
                <c:pt idx="93">
                  <c:v>5.9909612098742837</c:v>
                </c:pt>
                <c:pt idx="94">
                  <c:v>5.8447095128568742</c:v>
                </c:pt>
                <c:pt idx="95">
                  <c:v>5.7026925555700334</c:v>
                </c:pt>
                <c:pt idx="96">
                  <c:v>5.5647877357677205</c:v>
                </c:pt>
                <c:pt idx="97">
                  <c:v>5.4308797970862113</c:v>
                </c:pt>
                <c:pt idx="98">
                  <c:v>5.3008479683146961</c:v>
                </c:pt>
                <c:pt idx="99">
                  <c:v>5.1745791197241537</c:v>
                </c:pt>
                <c:pt idx="100">
                  <c:v>5.05196218191226</c:v>
                </c:pt>
                <c:pt idx="101">
                  <c:v>4.9328834610778145</c:v>
                </c:pt>
                <c:pt idx="102">
                  <c:v>4.817238370206419</c:v>
                </c:pt>
                <c:pt idx="103">
                  <c:v>4.7049184476088977</c:v>
                </c:pt>
                <c:pt idx="104">
                  <c:v>4.5958226166126384</c:v>
                </c:pt>
                <c:pt idx="105">
                  <c:v>4.4898522705680319</c:v>
                </c:pt>
                <c:pt idx="106">
                  <c:v>4.3869085260128982</c:v>
                </c:pt>
                <c:pt idx="107">
                  <c:v>4.2868966890150428</c:v>
                </c:pt>
                <c:pt idx="108">
                  <c:v>4.1897260465096799</c:v>
                </c:pt>
                <c:pt idx="109">
                  <c:v>4.095304563969612</c:v>
                </c:pt>
                <c:pt idx="110">
                  <c:v>4.0035480893404278</c:v>
                </c:pt>
                <c:pt idx="111">
                  <c:v>3.9143723747286892</c:v>
                </c:pt>
                <c:pt idx="112">
                  <c:v>3.8276945690837634</c:v>
                </c:pt>
                <c:pt idx="113">
                  <c:v>3.7434356160158191</c:v>
                </c:pt>
                <c:pt idx="114">
                  <c:v>3.661520038900949</c:v>
                </c:pt>
                <c:pt idx="115">
                  <c:v>3.5818725075469993</c:v>
                </c:pt>
                <c:pt idx="116">
                  <c:v>3.5044222795203059</c:v>
                </c:pt>
                <c:pt idx="117">
                  <c:v>3.4290997930300056</c:v>
                </c:pt>
                <c:pt idx="118">
                  <c:v>3.3558367576476211</c:v>
                </c:pt>
                <c:pt idx="119">
                  <c:v>3.2845691223683358</c:v>
                </c:pt>
                <c:pt idx="120">
                  <c:v>3.2152339336741407</c:v>
                </c:pt>
                <c:pt idx="121">
                  <c:v>3.1477694102853406</c:v>
                </c:pt>
                <c:pt idx="122">
                  <c:v>3.0821176708620159</c:v>
                </c:pt>
                <c:pt idx="123">
                  <c:v>3.0182218358566097</c:v>
                </c:pt>
                <c:pt idx="124">
                  <c:v>2.9560269323723758</c:v>
                </c:pt>
                <c:pt idx="125">
                  <c:v>2.8954798355218045</c:v>
                </c:pt>
                <c:pt idx="126">
                  <c:v>2.836528412263005</c:v>
                </c:pt>
                <c:pt idx="127">
                  <c:v>2.7791239008615025</c:v>
                </c:pt>
                <c:pt idx="128">
                  <c:v>2.7232191320715144</c:v>
                </c:pt>
                <c:pt idx="129">
                  <c:v>2.668767005298617</c:v>
                </c:pt>
                <c:pt idx="130">
                  <c:v>2.6157227866815154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0-4F04-9A95-0A6712E11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 baseline="30000"/>
              <a:t>1.5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Performance!$N$29:$N$159</c:f>
              <c:numCache>
                <c:formatCode>0.000</c:formatCode>
                <c:ptCount val="131"/>
                <c:pt idx="0">
                  <c:v>8.5878484375819735</c:v>
                </c:pt>
                <c:pt idx="1">
                  <c:v>9.03843196056736</c:v>
                </c:pt>
                <c:pt idx="2">
                  <c:v>9.4904586769923043</c:v>
                </c:pt>
                <c:pt idx="3">
                  <c:v>9.9435769429577121</c:v>
                </c:pt>
                <c:pt idx="4">
                  <c:v>10.397368459285477</c:v>
                </c:pt>
                <c:pt idx="5">
                  <c:v>10.851346512810615</c:v>
                </c:pt>
                <c:pt idx="6">
                  <c:v>11.30495456893278</c:v>
                </c:pt>
                <c:pt idx="7">
                  <c:v>11.757559889259753</c:v>
                </c:pt>
                <c:pt idx="8">
                  <c:v>12.208456985290766</c:v>
                </c:pt>
                <c:pt idx="9">
                  <c:v>12.656859419267295</c:v>
                </c:pt>
                <c:pt idx="10">
                  <c:v>13.101905533697485</c:v>
                </c:pt>
                <c:pt idx="11">
                  <c:v>13.542658887674879</c:v>
                </c:pt>
                <c:pt idx="12">
                  <c:v>13.978102340485673</c:v>
                </c:pt>
                <c:pt idx="13">
                  <c:v>14.407150676859688</c:v>
                </c:pt>
                <c:pt idx="14">
                  <c:v>14.828645911939391</c:v>
                </c:pt>
                <c:pt idx="15">
                  <c:v>15.241373110301108</c:v>
                </c:pt>
                <c:pt idx="16">
                  <c:v>15.644056083758949</c:v>
                </c:pt>
                <c:pt idx="17">
                  <c:v>16.035377403691086</c:v>
                </c:pt>
                <c:pt idx="18">
                  <c:v>16.413977809230737</c:v>
                </c:pt>
                <c:pt idx="19">
                  <c:v>16.778477597625024</c:v>
                </c:pt>
                <c:pt idx="20">
                  <c:v>17.127482362201601</c:v>
                </c:pt>
                <c:pt idx="21">
                  <c:v>17.459605266586927</c:v>
                </c:pt>
                <c:pt idx="22">
                  <c:v>17.773479029567536</c:v>
                </c:pt>
                <c:pt idx="23">
                  <c:v>18.067769862614036</c:v>
                </c:pt>
                <c:pt idx="24">
                  <c:v>18.341201403745043</c:v>
                </c:pt>
                <c:pt idx="25">
                  <c:v>18.592566488866375</c:v>
                </c:pt>
                <c:pt idx="26">
                  <c:v>18.820751848892161</c:v>
                </c:pt>
                <c:pt idx="27">
                  <c:v>19.024746594670003</c:v>
                </c:pt>
                <c:pt idx="28">
                  <c:v>19.203663191324093</c:v>
                </c:pt>
                <c:pt idx="29">
                  <c:v>19.356754524234489</c:v>
                </c:pt>
                <c:pt idx="30">
                  <c:v>19.483420569112667</c:v>
                </c:pt>
                <c:pt idx="31">
                  <c:v>19.583223558484125</c:v>
                </c:pt>
                <c:pt idx="32">
                  <c:v>19.655893614586681</c:v>
                </c:pt>
                <c:pt idx="33">
                  <c:v>19.701335227667201</c:v>
                </c:pt>
                <c:pt idx="34">
                  <c:v>19.719629038613959</c:v>
                </c:pt>
                <c:pt idx="35">
                  <c:v>19.711031403896097</c:v>
                </c:pt>
                <c:pt idx="36">
                  <c:v>19.675969868884781</c:v>
                </c:pt>
                <c:pt idx="37">
                  <c:v>19.615037761230067</c:v>
                </c:pt>
                <c:pt idx="38">
                  <c:v>19.528984255196178</c:v>
                </c:pt>
                <c:pt idx="39">
                  <c:v>19.418700974680046</c:v>
                </c:pt>
                <c:pt idx="40">
                  <c:v>19.285214160123868</c:v>
                </c:pt>
                <c:pt idx="41">
                  <c:v>19.129659916915745</c:v>
                </c:pt>
                <c:pt idx="42">
                  <c:v>18.953276264349228</c:v>
                </c:pt>
                <c:pt idx="43">
                  <c:v>18.757384465120289</c:v>
                </c:pt>
                <c:pt idx="44">
                  <c:v>18.543362763955727</c:v>
                </c:pt>
                <c:pt idx="45">
                  <c:v>18.312640549663868</c:v>
                </c:pt>
                <c:pt idx="46">
                  <c:v>18.066678322368908</c:v>
                </c:pt>
                <c:pt idx="47">
                  <c:v>17.806942601215148</c:v>
                </c:pt>
                <c:pt idx="48">
                  <c:v>17.534902117904057</c:v>
                </c:pt>
                <c:pt idx="49">
                  <c:v>17.252007165934565</c:v>
                </c:pt>
                <c:pt idx="50">
                  <c:v>16.959678640220513</c:v>
                </c:pt>
                <c:pt idx="51">
                  <c:v>16.659294913292825</c:v>
                </c:pt>
                <c:pt idx="52">
                  <c:v>16.352190644110472</c:v>
                </c:pt>
                <c:pt idx="53">
                  <c:v>16.039638753082649</c:v>
                </c:pt>
                <c:pt idx="54">
                  <c:v>15.722843717744553</c:v>
                </c:pt>
                <c:pt idx="55">
                  <c:v>15.402949768492308</c:v>
                </c:pt>
                <c:pt idx="56">
                  <c:v>15.08102242474248</c:v>
                </c:pt>
                <c:pt idx="57">
                  <c:v>14.758055021108513</c:v>
                </c:pt>
                <c:pt idx="58">
                  <c:v>14.434967808301607</c:v>
                </c:pt>
                <c:pt idx="59">
                  <c:v>14.112603584355952</c:v>
                </c:pt>
                <c:pt idx="60">
                  <c:v>13.791730839498767</c:v>
                </c:pt>
                <c:pt idx="61">
                  <c:v>13.473045452982992</c:v>
                </c:pt>
                <c:pt idx="62">
                  <c:v>13.157170857059157</c:v>
                </c:pt>
                <c:pt idx="63">
                  <c:v>12.844669454752058</c:v>
                </c:pt>
                <c:pt idx="64">
                  <c:v>12.536032846660103</c:v>
                </c:pt>
                <c:pt idx="65">
                  <c:v>12.231689818817683</c:v>
                </c:pt>
                <c:pt idx="66">
                  <c:v>11.93202643131753</c:v>
                </c:pt>
                <c:pt idx="67">
                  <c:v>11.637356645915565</c:v>
                </c:pt>
                <c:pt idx="68">
                  <c:v>11.347957072451212</c:v>
                </c:pt>
                <c:pt idx="69">
                  <c:v>11.064052372637093</c:v>
                </c:pt>
                <c:pt idx="70">
                  <c:v>10.785830826388668</c:v>
                </c:pt>
                <c:pt idx="71">
                  <c:v>10.513432612915002</c:v>
                </c:pt>
                <c:pt idx="72">
                  <c:v>10.246974105425156</c:v>
                </c:pt>
                <c:pt idx="73">
                  <c:v>9.9865306127971483</c:v>
                </c:pt>
                <c:pt idx="74">
                  <c:v>9.7321543041255314</c:v>
                </c:pt>
                <c:pt idx="75">
                  <c:v>9.4838698508631012</c:v>
                </c:pt>
                <c:pt idx="76">
                  <c:v>9.2416790508166642</c:v>
                </c:pt>
                <c:pt idx="77">
                  <c:v>9.0055634203269932</c:v>
                </c:pt>
                <c:pt idx="78">
                  <c:v>8.7754881504358337</c:v>
                </c:pt>
                <c:pt idx="79">
                  <c:v>8.5513980725734715</c:v>
                </c:pt>
                <c:pt idx="80">
                  <c:v>8.3332306082847136</c:v>
                </c:pt>
                <c:pt idx="81">
                  <c:v>8.1209082367974315</c:v>
                </c:pt>
                <c:pt idx="82">
                  <c:v>7.9143433834929393</c:v>
                </c:pt>
                <c:pt idx="83">
                  <c:v>7.7134386089374996</c:v>
                </c:pt>
                <c:pt idx="84">
                  <c:v>7.5180908291178365</c:v>
                </c:pt>
                <c:pt idx="85">
                  <c:v>7.3281923832370905</c:v>
                </c:pt>
                <c:pt idx="86">
                  <c:v>7.1436307398268859</c:v>
                </c:pt>
                <c:pt idx="87">
                  <c:v>6.9642858885437997</c:v>
                </c:pt>
                <c:pt idx="88">
                  <c:v>6.7900388183725129</c:v>
                </c:pt>
                <c:pt idx="89">
                  <c:v>6.6207683750929842</c:v>
                </c:pt>
                <c:pt idx="90">
                  <c:v>6.4563486528668825</c:v>
                </c:pt>
                <c:pt idx="91">
                  <c:v>6.2966576456097272</c:v>
                </c:pt>
                <c:pt idx="92">
                  <c:v>6.1415687904179759</c:v>
                </c:pt>
                <c:pt idx="93">
                  <c:v>5.9909612098742837</c:v>
                </c:pt>
                <c:pt idx="94">
                  <c:v>5.8447095128568742</c:v>
                </c:pt>
                <c:pt idx="95">
                  <c:v>5.7026925555700334</c:v>
                </c:pt>
                <c:pt idx="96">
                  <c:v>5.5647877357677205</c:v>
                </c:pt>
                <c:pt idx="97">
                  <c:v>5.4308797970862113</c:v>
                </c:pt>
                <c:pt idx="98">
                  <c:v>5.3008479683146961</c:v>
                </c:pt>
                <c:pt idx="99">
                  <c:v>5.1745791197241537</c:v>
                </c:pt>
                <c:pt idx="100">
                  <c:v>5.05196218191226</c:v>
                </c:pt>
                <c:pt idx="101">
                  <c:v>4.9328834610778145</c:v>
                </c:pt>
                <c:pt idx="102">
                  <c:v>4.817238370206419</c:v>
                </c:pt>
                <c:pt idx="103">
                  <c:v>4.7049184476088977</c:v>
                </c:pt>
                <c:pt idx="104">
                  <c:v>4.5958226166126384</c:v>
                </c:pt>
                <c:pt idx="105">
                  <c:v>4.4898522705680319</c:v>
                </c:pt>
                <c:pt idx="106">
                  <c:v>4.3869085260128982</c:v>
                </c:pt>
                <c:pt idx="107">
                  <c:v>4.2868966890150428</c:v>
                </c:pt>
                <c:pt idx="108">
                  <c:v>4.1897260465096799</c:v>
                </c:pt>
                <c:pt idx="109">
                  <c:v>4.095304563969612</c:v>
                </c:pt>
                <c:pt idx="110">
                  <c:v>4.0035480893404278</c:v>
                </c:pt>
                <c:pt idx="111">
                  <c:v>3.9143723747286892</c:v>
                </c:pt>
                <c:pt idx="112">
                  <c:v>3.8276945690837634</c:v>
                </c:pt>
                <c:pt idx="113">
                  <c:v>3.7434356160158191</c:v>
                </c:pt>
                <c:pt idx="114">
                  <c:v>3.661520038900949</c:v>
                </c:pt>
                <c:pt idx="115">
                  <c:v>3.5818725075469993</c:v>
                </c:pt>
                <c:pt idx="116">
                  <c:v>3.5044222795203059</c:v>
                </c:pt>
                <c:pt idx="117">
                  <c:v>3.4290997930300056</c:v>
                </c:pt>
                <c:pt idx="118">
                  <c:v>3.3558367576476211</c:v>
                </c:pt>
                <c:pt idx="119">
                  <c:v>3.2845691223683358</c:v>
                </c:pt>
                <c:pt idx="120">
                  <c:v>3.2152339336741407</c:v>
                </c:pt>
                <c:pt idx="121">
                  <c:v>3.1477694102853406</c:v>
                </c:pt>
                <c:pt idx="122">
                  <c:v>3.0821176708620159</c:v>
                </c:pt>
                <c:pt idx="123">
                  <c:v>3.0182218358566097</c:v>
                </c:pt>
                <c:pt idx="124">
                  <c:v>2.9560269323723758</c:v>
                </c:pt>
                <c:pt idx="125">
                  <c:v>2.8954798355218045</c:v>
                </c:pt>
                <c:pt idx="126">
                  <c:v>2.836528412263005</c:v>
                </c:pt>
                <c:pt idx="127">
                  <c:v>2.7791239008615025</c:v>
                </c:pt>
                <c:pt idx="128">
                  <c:v>2.7232191320715144</c:v>
                </c:pt>
                <c:pt idx="129">
                  <c:v>2.668767005298617</c:v>
                </c:pt>
                <c:pt idx="130">
                  <c:v>2.6157227866815154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C-4405-9CDC-4F441198F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30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1.5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 baseline="30000"/>
              <a:t>0.5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Performance!$O$29:$O$159</c:f>
              <c:numCache>
                <c:formatCode>0.000</c:formatCode>
                <c:ptCount val="131"/>
                <c:pt idx="0">
                  <c:v>0.8363500083953519</c:v>
                </c:pt>
                <c:pt idx="1">
                  <c:v>0.97044709260349316</c:v>
                </c:pt>
                <c:pt idx="2">
                  <c:v>1.1183274992832386</c:v>
                </c:pt>
                <c:pt idx="3">
                  <c:v>1.2806512700817425</c:v>
                </c:pt>
                <c:pt idx="4">
                  <c:v>1.4580568392349549</c:v>
                </c:pt>
                <c:pt idx="5">
                  <c:v>1.6511553565254775</c:v>
                </c:pt>
                <c:pt idx="6">
                  <c:v>1.8605246536206594</c:v>
                </c:pt>
                <c:pt idx="7">
                  <c:v>2.0867001091486581</c:v>
                </c:pt>
                <c:pt idx="8">
                  <c:v>2.3301691889072194</c:v>
                </c:pt>
                <c:pt idx="9">
                  <c:v>2.591359304115747</c:v>
                </c:pt>
                <c:pt idx="10">
                  <c:v>2.8706319062534358</c:v>
                </c:pt>
                <c:pt idx="11">
                  <c:v>3.1682734935387198</c:v>
                </c:pt>
                <c:pt idx="12">
                  <c:v>3.4844808409388666</c:v>
                </c:pt>
                <c:pt idx="13">
                  <c:v>3.8193577397787024</c:v>
                </c:pt>
                <c:pt idx="14">
                  <c:v>4.1728988523426418</c:v>
                </c:pt>
                <c:pt idx="15">
                  <c:v>4.5449885228450784</c:v>
                </c:pt>
                <c:pt idx="16">
                  <c:v>4.9353823614532732</c:v>
                </c:pt>
                <c:pt idx="17">
                  <c:v>5.3437094613460046</c:v>
                </c:pt>
                <c:pt idx="18">
                  <c:v>5.7694549393034631</c:v>
                </c:pt>
                <c:pt idx="19">
                  <c:v>6.2119641299412089</c:v>
                </c:pt>
                <c:pt idx="20">
                  <c:v>6.6704301866414957</c:v>
                </c:pt>
                <c:pt idx="21">
                  <c:v>7.1439014099849407</c:v>
                </c:pt>
                <c:pt idx="22">
                  <c:v>7.6312774326587434</c:v>
                </c:pt>
                <c:pt idx="23">
                  <c:v>8.1313069087133574</c:v>
                </c:pt>
                <c:pt idx="24">
                  <c:v>8.6426029816515246</c:v>
                </c:pt>
                <c:pt idx="25">
                  <c:v>9.1636412462805303</c:v>
                </c:pt>
                <c:pt idx="26">
                  <c:v>9.6927846995351352</c:v>
                </c:pt>
                <c:pt idx="27">
                  <c:v>10.228279424041004</c:v>
                </c:pt>
                <c:pt idx="28">
                  <c:v>10.768279248838965</c:v>
                </c:pt>
                <c:pt idx="29">
                  <c:v>11.310873273940787</c:v>
                </c:pt>
                <c:pt idx="30">
                  <c:v>11.854087463921211</c:v>
                </c:pt>
                <c:pt idx="31">
                  <c:v>12.395920890327513</c:v>
                </c:pt>
                <c:pt idx="32">
                  <c:v>12.93435899698907</c:v>
                </c:pt>
                <c:pt idx="33">
                  <c:v>13.467402165683323</c:v>
                </c:pt>
                <c:pt idx="34">
                  <c:v>13.993085029619115</c:v>
                </c:pt>
                <c:pt idx="35">
                  <c:v>14.50950248927588</c:v>
                </c:pt>
                <c:pt idx="36">
                  <c:v>15.014834208399536</c:v>
                </c:pt>
                <c:pt idx="37">
                  <c:v>15.507346961812148</c:v>
                </c:pt>
                <c:pt idx="38">
                  <c:v>15.985431523870638</c:v>
                </c:pt>
                <c:pt idx="39">
                  <c:v>16.447616918089739</c:v>
                </c:pt>
                <c:pt idx="40">
                  <c:v>16.892559379708125</c:v>
                </c:pt>
                <c:pt idx="41">
                  <c:v>17.319089569894526</c:v>
                </c:pt>
                <c:pt idx="42">
                  <c:v>17.726186664465537</c:v>
                </c:pt>
                <c:pt idx="43">
                  <c:v>18.112992501751926</c:v>
                </c:pt>
                <c:pt idx="44">
                  <c:v>18.478827881772823</c:v>
                </c:pt>
                <c:pt idx="45">
                  <c:v>18.823166747021574</c:v>
                </c:pt>
                <c:pt idx="46">
                  <c:v>19.145641374481649</c:v>
                </c:pt>
                <c:pt idx="47">
                  <c:v>19.446046778109658</c:v>
                </c:pt>
                <c:pt idx="48">
                  <c:v>19.724316837750575</c:v>
                </c:pt>
                <c:pt idx="49">
                  <c:v>19.980523678854738</c:v>
                </c:pt>
                <c:pt idx="50">
                  <c:v>20.21486466311962</c:v>
                </c:pt>
                <c:pt idx="51">
                  <c:v>20.427652214707035</c:v>
                </c:pt>
                <c:pt idx="52">
                  <c:v>20.619296093114439</c:v>
                </c:pt>
                <c:pt idx="53">
                  <c:v>20.790298727403869</c:v>
                </c:pt>
                <c:pt idx="54">
                  <c:v>20.941241544165699</c:v>
                </c:pt>
                <c:pt idx="55">
                  <c:v>21.072766672895376</c:v>
                </c:pt>
                <c:pt idx="56">
                  <c:v>21.185572965410163</c:v>
                </c:pt>
                <c:pt idx="57">
                  <c:v>21.280400793020441</c:v>
                </c:pt>
                <c:pt idx="58">
                  <c:v>21.358022432583851</c:v>
                </c:pt>
                <c:pt idx="59">
                  <c:v>21.419233889963738</c:v>
                </c:pt>
                <c:pt idx="60">
                  <c:v>21.46484545362237</c:v>
                </c:pt>
                <c:pt idx="61">
                  <c:v>21.495673947243464</c:v>
                </c:pt>
                <c:pt idx="62">
                  <c:v>21.512535919813047</c:v>
                </c:pt>
                <c:pt idx="63">
                  <c:v>21.516241254201674</c:v>
                </c:pt>
                <c:pt idx="64">
                  <c:v>21.507588645233646</c:v>
                </c:pt>
                <c:pt idx="65">
                  <c:v>21.487360273099359</c:v>
                </c:pt>
                <c:pt idx="66">
                  <c:v>21.456319783852923</c:v>
                </c:pt>
                <c:pt idx="67">
                  <c:v>21.415206671925084</c:v>
                </c:pt>
                <c:pt idx="68">
                  <c:v>21.364736492112694</c:v>
                </c:pt>
                <c:pt idx="69">
                  <c:v>21.305597020098801</c:v>
                </c:pt>
                <c:pt idx="70">
                  <c:v>21.2384489323608</c:v>
                </c:pt>
                <c:pt idx="71">
                  <c:v>21.163921397365435</c:v>
                </c:pt>
                <c:pt idx="72">
                  <c:v>21.082616712142421</c:v>
                </c:pt>
                <c:pt idx="73">
                  <c:v>20.995104639689465</c:v>
                </c:pt>
                <c:pt idx="74">
                  <c:v>20.901926702489437</c:v>
                </c:pt>
                <c:pt idx="75">
                  <c:v>20.803594327540985</c:v>
                </c:pt>
                <c:pt idx="76">
                  <c:v>20.700589904530275</c:v>
                </c:pt>
                <c:pt idx="77">
                  <c:v>20.593367472577469</c:v>
                </c:pt>
                <c:pt idx="78">
                  <c:v>20.482354307714058</c:v>
                </c:pt>
                <c:pt idx="79">
                  <c:v>20.367948777060228</c:v>
                </c:pt>
                <c:pt idx="80">
                  <c:v>20.250526703567196</c:v>
                </c:pt>
                <c:pt idx="81">
                  <c:v>20.13043782539896</c:v>
                </c:pt>
                <c:pt idx="82">
                  <c:v>20.008008373483342</c:v>
                </c:pt>
                <c:pt idx="83">
                  <c:v>19.88354131744185</c:v>
                </c:pt>
                <c:pt idx="84">
                  <c:v>19.757319157405746</c:v>
                </c:pt>
                <c:pt idx="85">
                  <c:v>19.629605092870918</c:v>
                </c:pt>
                <c:pt idx="86">
                  <c:v>19.500643264549645</c:v>
                </c:pt>
                <c:pt idx="87">
                  <c:v>19.370657129479618</c:v>
                </c:pt>
                <c:pt idx="88">
                  <c:v>19.239855797956956</c:v>
                </c:pt>
                <c:pt idx="89">
                  <c:v>19.108432420305164</c:v>
                </c:pt>
                <c:pt idx="90">
                  <c:v>18.976562435782554</c:v>
                </c:pt>
                <c:pt idx="91">
                  <c:v>18.844410809501582</c:v>
                </c:pt>
                <c:pt idx="92">
                  <c:v>18.712125712057713</c:v>
                </c:pt>
                <c:pt idx="93">
                  <c:v>18.579847508175817</c:v>
                </c:pt>
                <c:pt idx="94">
                  <c:v>18.447700515356587</c:v>
                </c:pt>
                <c:pt idx="95">
                  <c:v>18.315801015597849</c:v>
                </c:pt>
                <c:pt idx="96">
                  <c:v>18.184252564012464</c:v>
                </c:pt>
                <c:pt idx="97">
                  <c:v>18.053154783890495</c:v>
                </c:pt>
                <c:pt idx="98">
                  <c:v>17.92259142389949</c:v>
                </c:pt>
                <c:pt idx="99">
                  <c:v>17.792643550626977</c:v>
                </c:pt>
                <c:pt idx="100">
                  <c:v>17.663384701268331</c:v>
                </c:pt>
                <c:pt idx="101">
                  <c:v>17.534876149997931</c:v>
                </c:pt>
                <c:pt idx="102">
                  <c:v>17.407179781071033</c:v>
                </c:pt>
                <c:pt idx="103">
                  <c:v>17.280344485513393</c:v>
                </c:pt>
                <c:pt idx="104">
                  <c:v>17.154418875878022</c:v>
                </c:pt>
                <c:pt idx="105">
                  <c:v>17.029446397749492</c:v>
                </c:pt>
                <c:pt idx="106">
                  <c:v>16.90546232745492</c:v>
                </c:pt>
                <c:pt idx="107">
                  <c:v>16.782499303162378</c:v>
                </c:pt>
                <c:pt idx="108">
                  <c:v>16.660587593342559</c:v>
                </c:pt>
                <c:pt idx="109">
                  <c:v>16.53974874186099</c:v>
                </c:pt>
                <c:pt idx="110">
                  <c:v>16.420007517658558</c:v>
                </c:pt>
                <c:pt idx="111">
                  <c:v>16.301382175900446</c:v>
                </c:pt>
                <c:pt idx="112">
                  <c:v>16.183886463531064</c:v>
                </c:pt>
                <c:pt idx="113">
                  <c:v>16.067533106648398</c:v>
                </c:pt>
                <c:pt idx="114">
                  <c:v>15.952333951067562</c:v>
                </c:pt>
                <c:pt idx="115">
                  <c:v>15.838295418344442</c:v>
                </c:pt>
                <c:pt idx="116">
                  <c:v>15.725425010564299</c:v>
                </c:pt>
                <c:pt idx="117">
                  <c:v>15.61372675412632</c:v>
                </c:pt>
                <c:pt idx="118">
                  <c:v>15.503201440677566</c:v>
                </c:pt>
                <c:pt idx="119">
                  <c:v>15.393851331884457</c:v>
                </c:pt>
                <c:pt idx="120">
                  <c:v>15.285675710770022</c:v>
                </c:pt>
                <c:pt idx="121">
                  <c:v>15.178671089862666</c:v>
                </c:pt>
                <c:pt idx="122">
                  <c:v>15.072835741156021</c:v>
                </c:pt>
                <c:pt idx="123">
                  <c:v>14.968165362707753</c:v>
                </c:pt>
                <c:pt idx="124">
                  <c:v>14.864654671937126</c:v>
                </c:pt>
                <c:pt idx="125">
                  <c:v>14.762297499500654</c:v>
                </c:pt>
                <c:pt idx="126">
                  <c:v>14.661085494923942</c:v>
                </c:pt>
                <c:pt idx="127">
                  <c:v>14.561012380953258</c:v>
                </c:pt>
                <c:pt idx="128">
                  <c:v>14.46207117230413</c:v>
                </c:pt>
                <c:pt idx="129">
                  <c:v>14.364251574910417</c:v>
                </c:pt>
                <c:pt idx="130">
                  <c:v>14.267544161056861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0A-44B5-AA47-22F74837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30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0.5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E</a:t>
            </a:r>
            <a:r>
              <a:rPr lang="sv-SE" baseline="-25000"/>
              <a:t>cruise</a:t>
            </a:r>
            <a:r>
              <a:rPr lang="sv-SE"/>
              <a:t> VS</a:t>
            </a:r>
            <a:r>
              <a:rPr lang="en-SE"/>
              <a:t> </a:t>
            </a:r>
            <a:r>
              <a:rPr lang="sv-SE"/>
              <a:t>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Performance!$T$29:$T$159</c:f>
              <c:numCache>
                <c:formatCode>General</c:formatCode>
                <c:ptCount val="131"/>
                <c:pt idx="0">
                  <c:v>106.88770294504529</c:v>
                </c:pt>
                <c:pt idx="1">
                  <c:v>101.55914175579109</c:v>
                </c:pt>
                <c:pt idx="2">
                  <c:v>96.721920823350928</c:v>
                </c:pt>
                <c:pt idx="3">
                  <c:v>92.314405369331155</c:v>
                </c:pt>
                <c:pt idx="4">
                  <c:v>88.285357619846721</c:v>
                </c:pt>
                <c:pt idx="5">
                  <c:v>84.591842279634122</c:v>
                </c:pt>
                <c:pt idx="6">
                  <c:v>81.197618896754989</c:v>
                </c:pt>
                <c:pt idx="7">
                  <c:v>78.071930007504804</c:v>
                </c:pt>
                <c:pt idx="8">
                  <c:v>75.188485640675012</c:v>
                </c:pt>
                <c:pt idx="9">
                  <c:v>72.524736376227551</c:v>
                </c:pt>
                <c:pt idx="10">
                  <c:v>70.061212880252199</c:v>
                </c:pt>
                <c:pt idx="11">
                  <c:v>67.781031800833659</c:v>
                </c:pt>
                <c:pt idx="12">
                  <c:v>65.669528693795456</c:v>
                </c:pt>
                <c:pt idx="13">
                  <c:v>63.713874680834131</c:v>
                </c:pt>
                <c:pt idx="14">
                  <c:v>61.902846570383801</c:v>
                </c:pt>
                <c:pt idx="15">
                  <c:v>60.226554792030718</c:v>
                </c:pt>
                <c:pt idx="16">
                  <c:v>58.67630413868806</c:v>
                </c:pt>
                <c:pt idx="17">
                  <c:v>57.244389678164943</c:v>
                </c:pt>
                <c:pt idx="18">
                  <c:v>55.924005954066374</c:v>
                </c:pt>
                <c:pt idx="19">
                  <c:v>54.709099046224907</c:v>
                </c:pt>
                <c:pt idx="20">
                  <c:v>53.594297943001358</c:v>
                </c:pt>
                <c:pt idx="21">
                  <c:v>52.574807890417731</c:v>
                </c:pt>
                <c:pt idx="22">
                  <c:v>51.646354166580309</c:v>
                </c:pt>
                <c:pt idx="23">
                  <c:v>50.805129781552715</c:v>
                </c:pt>
                <c:pt idx="24">
                  <c:v>50.04772438439624</c:v>
                </c:pt>
                <c:pt idx="25">
                  <c:v>49.371096415495543</c:v>
                </c:pt>
                <c:pt idx="26">
                  <c:v>48.77251451500144</c:v>
                </c:pt>
                <c:pt idx="27">
                  <c:v>48.249546356139277</c:v>
                </c:pt>
                <c:pt idx="28">
                  <c:v>47.800015215224235</c:v>
                </c:pt>
                <c:pt idx="29">
                  <c:v>47.421967953568156</c:v>
                </c:pt>
                <c:pt idx="30">
                  <c:v>47.11366720628866</c:v>
                </c:pt>
                <c:pt idx="31">
                  <c:v>46.873559401085025</c:v>
                </c:pt>
                <c:pt idx="32">
                  <c:v>46.700262564106026</c:v>
                </c:pt>
                <c:pt idx="33">
                  <c:v>46.5925472626976</c:v>
                </c:pt>
                <c:pt idx="34">
                  <c:v>46.549323566679654</c:v>
                </c:pt>
                <c:pt idx="35">
                  <c:v>46.569627632569919</c:v>
                </c:pt>
                <c:pt idx="36">
                  <c:v>46.652612239711722</c:v>
                </c:pt>
                <c:pt idx="37">
                  <c:v>46.797533805806403</c:v>
                </c:pt>
                <c:pt idx="38">
                  <c:v>47.003744830665894</c:v>
                </c:pt>
                <c:pt idx="39">
                  <c:v>47.270689935965599</c:v>
                </c:pt>
                <c:pt idx="40">
                  <c:v>47.597884322765402</c:v>
                </c:pt>
                <c:pt idx="41">
                  <c:v>47.984930036400314</c:v>
                </c:pt>
                <c:pt idx="42">
                  <c:v>48.431489096159773</c:v>
                </c:pt>
                <c:pt idx="43">
                  <c:v>48.93728091143258</c:v>
                </c:pt>
                <c:pt idx="44">
                  <c:v>49.502099722581086</c:v>
                </c:pt>
                <c:pt idx="45">
                  <c:v>50.125780072179822</c:v>
                </c:pt>
                <c:pt idx="46">
                  <c:v>50.808199291222742</c:v>
                </c:pt>
                <c:pt idx="47">
                  <c:v>51.549298118740111</c:v>
                </c:pt>
                <c:pt idx="48">
                  <c:v>52.349045723846551</c:v>
                </c:pt>
                <c:pt idx="49">
                  <c:v>53.207454872026041</c:v>
                </c:pt>
                <c:pt idx="50">
                  <c:v>54.124574657706944</c:v>
                </c:pt>
                <c:pt idx="51">
                  <c:v>55.100494799506315</c:v>
                </c:pt>
                <c:pt idx="52">
                  <c:v>56.135316222230067</c:v>
                </c:pt>
                <c:pt idx="53">
                  <c:v>57.229181209390767</c:v>
                </c:pt>
                <c:pt idx="54">
                  <c:v>58.382275446608027</c:v>
                </c:pt>
                <c:pt idx="55">
                  <c:v>59.594779346163108</c:v>
                </c:pt>
                <c:pt idx="56">
                  <c:v>60.866920483277994</c:v>
                </c:pt>
                <c:pt idx="57">
                  <c:v>62.198940945836419</c:v>
                </c:pt>
                <c:pt idx="58">
                  <c:v>63.591093857890336</c:v>
                </c:pt>
                <c:pt idx="59">
                  <c:v>65.043660246425361</c:v>
                </c:pt>
                <c:pt idx="60">
                  <c:v>66.556939329501432</c:v>
                </c:pt>
                <c:pt idx="61">
                  <c:v>68.131247381051338</c:v>
                </c:pt>
                <c:pt idx="62">
                  <c:v>69.766928065757952</c:v>
                </c:pt>
                <c:pt idx="63">
                  <c:v>71.464306338668024</c:v>
                </c:pt>
                <c:pt idx="64">
                  <c:v>73.22375459297659</c:v>
                </c:pt>
                <c:pt idx="65">
                  <c:v>75.045672865342567</c:v>
                </c:pt>
                <c:pt idx="66">
                  <c:v>76.930385464455853</c:v>
                </c:pt>
                <c:pt idx="67">
                  <c:v>78.87834159104392</c:v>
                </c:pt>
                <c:pt idx="68">
                  <c:v>80.889924668621859</c:v>
                </c:pt>
                <c:pt idx="69">
                  <c:v>82.965568294263718</c:v>
                </c:pt>
                <c:pt idx="70">
                  <c:v>85.105673128815255</c:v>
                </c:pt>
                <c:pt idx="71">
                  <c:v>87.31072205720092</c:v>
                </c:pt>
                <c:pt idx="72">
                  <c:v>89.58111763426254</c:v>
                </c:pt>
                <c:pt idx="73">
                  <c:v>91.917346306138938</c:v>
                </c:pt>
                <c:pt idx="74">
                  <c:v>94.319856020389381</c:v>
                </c:pt>
                <c:pt idx="75">
                  <c:v>96.789117434988242</c:v>
                </c:pt>
                <c:pt idx="76">
                  <c:v>99.325608223996653</c:v>
                </c:pt>
                <c:pt idx="77">
                  <c:v>101.92981270460064</c:v>
                </c:pt>
                <c:pt idx="78">
                  <c:v>104.60220297690721</c:v>
                </c:pt>
                <c:pt idx="79">
                  <c:v>107.34331216288335</c:v>
                </c:pt>
                <c:pt idx="80">
                  <c:v>110.15360499213141</c:v>
                </c:pt>
                <c:pt idx="81">
                  <c:v>113.0335876194226</c:v>
                </c:pt>
                <c:pt idx="82">
                  <c:v>115.98377126874283</c:v>
                </c:pt>
                <c:pt idx="83">
                  <c:v>119.00469288362893</c:v>
                </c:pt>
                <c:pt idx="84">
                  <c:v>122.09687453869755</c:v>
                </c:pt>
                <c:pt idx="85">
                  <c:v>125.26082077663094</c:v>
                </c:pt>
                <c:pt idx="86">
                  <c:v>128.49703829394434</c:v>
                </c:pt>
                <c:pt idx="87">
                  <c:v>131.80610437652058</c:v>
                </c:pt>
                <c:pt idx="88">
                  <c:v>135.18853386369165</c:v>
                </c:pt>
                <c:pt idx="89">
                  <c:v>138.64484312524246</c:v>
                </c:pt>
                <c:pt idx="90">
                  <c:v>142.17562310946951</c:v>
                </c:pt>
                <c:pt idx="91">
                  <c:v>145.78137234018959</c:v>
                </c:pt>
                <c:pt idx="92">
                  <c:v>149.46269008099173</c:v>
                </c:pt>
                <c:pt idx="93">
                  <c:v>153.22005277223204</c:v>
                </c:pt>
                <c:pt idx="94">
                  <c:v>157.05406585461753</c:v>
                </c:pt>
                <c:pt idx="95">
                  <c:v>160.96526049554461</c:v>
                </c:pt>
                <c:pt idx="96">
                  <c:v>164.95425096509894</c:v>
                </c:pt>
                <c:pt idx="97">
                  <c:v>169.0214895247407</c:v>
                </c:pt>
                <c:pt idx="98">
                  <c:v>173.16765133054233</c:v>
                </c:pt>
                <c:pt idx="99">
                  <c:v>177.39324715983213</c:v>
                </c:pt>
                <c:pt idx="100">
                  <c:v>181.6987854778196</c:v>
                </c:pt>
                <c:pt idx="101">
                  <c:v>186.08495416041475</c:v>
                </c:pt>
                <c:pt idx="102">
                  <c:v>190.55220485051464</c:v>
                </c:pt>
                <c:pt idx="103">
                  <c:v>195.10123351868933</c:v>
                </c:pt>
                <c:pt idx="104">
                  <c:v>199.73255482386293</c:v>
                </c:pt>
                <c:pt idx="105">
                  <c:v>204.44668051788724</c:v>
                </c:pt>
                <c:pt idx="106">
                  <c:v>209.24425191231683</c:v>
                </c:pt>
                <c:pt idx="107">
                  <c:v>214.12584891198722</c:v>
                </c:pt>
                <c:pt idx="108">
                  <c:v>219.09198418785269</c:v>
                </c:pt>
                <c:pt idx="109">
                  <c:v>224.14337649250953</c:v>
                </c:pt>
                <c:pt idx="110">
                  <c:v>229.28047128430026</c:v>
                </c:pt>
                <c:pt idx="111">
                  <c:v>234.50385013432881</c:v>
                </c:pt>
                <c:pt idx="112">
                  <c:v>239.81416912088147</c:v>
                </c:pt>
                <c:pt idx="113">
                  <c:v>245.21201561636639</c:v>
                </c:pt>
                <c:pt idx="114">
                  <c:v>250.69790223211859</c:v>
                </c:pt>
                <c:pt idx="115">
                  <c:v>256.2724917760878</c:v>
                </c:pt>
                <c:pt idx="116">
                  <c:v>261.93629634696384</c:v>
                </c:pt>
                <c:pt idx="117">
                  <c:v>267.68990351319917</c:v>
                </c:pt>
                <c:pt idx="118">
                  <c:v>273.53398243864189</c:v>
                </c:pt>
                <c:pt idx="119">
                  <c:v>279.46904404662263</c:v>
                </c:pt>
                <c:pt idx="120">
                  <c:v>285.49567828316049</c:v>
                </c:pt>
                <c:pt idx="121">
                  <c:v>291.61456037217283</c:v>
                </c:pt>
                <c:pt idx="122">
                  <c:v>297.82619963260589</c:v>
                </c:pt>
                <c:pt idx="123">
                  <c:v>304.13118804861193</c:v>
                </c:pt>
                <c:pt idx="124">
                  <c:v>310.53011820722458</c:v>
                </c:pt>
                <c:pt idx="125">
                  <c:v>317.02358326660863</c:v>
                </c:pt>
                <c:pt idx="126">
                  <c:v>323.61226799804803</c:v>
                </c:pt>
                <c:pt idx="127">
                  <c:v>330.29667819012383</c:v>
                </c:pt>
                <c:pt idx="128">
                  <c:v>337.07731483036127</c:v>
                </c:pt>
                <c:pt idx="129">
                  <c:v>343.95486414169852</c:v>
                </c:pt>
                <c:pt idx="130">
                  <c:v>350.92992170546069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D-4D57-860A-0BB1D3013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031071"/>
        <c:axId val="1778635119"/>
      </c:scatterChart>
      <c:valAx>
        <c:axId val="1597031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8635119"/>
        <c:crosses val="autoZero"/>
        <c:crossBetween val="midCat"/>
      </c:valAx>
      <c:valAx>
        <c:axId val="177863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E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cruise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[min]</a:t>
                </a:r>
                <a:endParaRPr lang="en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7031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69855357508106"/>
          <c:y val="3.9426523297491037E-2"/>
          <c:w val="0.70787699163887141"/>
          <c:h val="0.805759038184743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Constraints!$B$20</c:f>
              <c:strCache>
                <c:ptCount val="1"/>
                <c:pt idx="0">
                  <c:v>T/Wcruise,min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Constraints!$B$22:$B$789</c:f>
              <c:numCache>
                <c:formatCode>0.000</c:formatCode>
                <c:ptCount val="768"/>
                <c:pt idx="0">
                  <c:v>2.8403497881375093</c:v>
                </c:pt>
                <c:pt idx="1">
                  <c:v>2.7051337071103743</c:v>
                </c:pt>
                <c:pt idx="2">
                  <c:v>2.582211797721111</c:v>
                </c:pt>
                <c:pt idx="3">
                  <c:v>2.4699804723647798</c:v>
                </c:pt>
                <c:pt idx="4">
                  <c:v>2.3671034080372642</c:v>
                </c:pt>
                <c:pt idx="5">
                  <c:v>2.2724580934151066</c:v>
                </c:pt>
                <c:pt idx="6">
                  <c:v>2.1850947112246115</c:v>
                </c:pt>
                <c:pt idx="7">
                  <c:v>2.1042041578622603</c:v>
                </c:pt>
                <c:pt idx="8">
                  <c:v>2.0290929159536102</c:v>
                </c:pt>
                <c:pt idx="9">
                  <c:v>1.9591631256931052</c:v>
                </c:pt>
                <c:pt idx="10">
                  <c:v>1.8938966419159307</c:v>
                </c:pt>
                <c:pt idx="11">
                  <c:v>1.8328421768978937</c:v>
                </c:pt>
                <c:pt idx="12">
                  <c:v>1.7756048538803251</c:v>
                </c:pt>
                <c:pt idx="13">
                  <c:v>1.7218376599540912</c:v>
                </c:pt>
                <c:pt idx="14">
                  <c:v>1.6712344072581919</c:v>
                </c:pt>
                <c:pt idx="15">
                  <c:v>1.6235239008300273</c:v>
                </c:pt>
                <c:pt idx="16">
                  <c:v>1.5784650784806191</c:v>
                </c:pt>
                <c:pt idx="17">
                  <c:v>1.5358429387981769</c:v>
                </c:pt>
                <c:pt idx="18">
                  <c:v>1.4954651120984657</c:v>
                </c:pt>
                <c:pt idx="19">
                  <c:v>1.4571589589212761</c:v>
                </c:pt>
                <c:pt idx="20">
                  <c:v>1.420769103752419</c:v>
                </c:pt>
                <c:pt idx="21">
                  <c:v>1.3861553296644551</c:v>
                </c:pt>
                <c:pt idx="22">
                  <c:v>1.3531907737230349</c:v>
                </c:pt>
                <c:pt idx="23">
                  <c:v>1.3217603741970041</c:v>
                </c:pt>
                <c:pt idx="24">
                  <c:v>1.2917595295125865</c:v>
                </c:pt>
                <c:pt idx="25">
                  <c:v>1.2630929360136744</c:v>
                </c:pt>
                <c:pt idx="26">
                  <c:v>1.2356735773186041</c:v>
                </c:pt>
                <c:pt idx="27">
                  <c:v>1.2094218426952159</c:v>
                </c:pt>
                <c:pt idx="28">
                  <c:v>1.1842647556390296</c:v>
                </c:pt>
                <c:pt idx="29">
                  <c:v>1.1601352969112366</c:v>
                </c:pt>
                <c:pt idx="30">
                  <c:v>1.1369718088121339</c:v>
                </c:pt>
                <c:pt idx="31">
                  <c:v>1.1147174695400333</c:v>
                </c:pt>
                <c:pt idx="32">
                  <c:v>1.0933198282010697</c:v>
                </c:pt>
                <c:pt idx="33">
                  <c:v>1.0727303924594045</c:v>
                </c:pt>
                <c:pt idx="34">
                  <c:v>1.0529042620040772</c:v>
                </c:pt>
                <c:pt idx="35">
                  <c:v>1.0337998020012875</c:v>
                </c:pt>
                <c:pt idx="36">
                  <c:v>1.0153783515339352</c:v>
                </c:pt>
                <c:pt idx="37">
                  <c:v>0.99760396273173413</c:v>
                </c:pt>
                <c:pt idx="38">
                  <c:v>0.98044316688786604</c:v>
                </c:pt>
                <c:pt idx="39">
                  <c:v>0.96386476436038171</c:v>
                </c:pt>
                <c:pt idx="40">
                  <c:v>0.94783963548346195</c:v>
                </c:pt>
                <c:pt idx="41">
                  <c:v>0.93234057007757121</c:v>
                </c:pt>
                <c:pt idx="42">
                  <c:v>0.91734211345862682</c:v>
                </c:pt>
                <c:pt idx="43">
                  <c:v>0.90282042711296495</c:v>
                </c:pt>
                <c:pt idx="44">
                  <c:v>0.88875316243402569</c:v>
                </c:pt>
                <c:pt idx="45">
                  <c:v>0.87511934611411391</c:v>
                </c:pt>
                <c:pt idx="46">
                  <c:v>0.86189927595509197</c:v>
                </c:pt>
                <c:pt idx="47">
                  <c:v>0.84907442600945737</c:v>
                </c:pt>
                <c:pt idx="48">
                  <c:v>0.83662736009132554</c:v>
                </c:pt>
                <c:pt idx="49">
                  <c:v>0.82454165280819625</c:v>
                </c:pt>
                <c:pt idx="50">
                  <c:v>0.81280181736142643</c:v>
                </c:pt>
                <c:pt idx="51">
                  <c:v>0.80139323944807139</c:v>
                </c:pt>
                <c:pt idx="52">
                  <c:v>0.79030211667090555</c:v>
                </c:pt>
                <c:pt idx="53">
                  <c:v>0.77951540292844168</c:v>
                </c:pt>
                <c:pt idx="54">
                  <c:v>0.76902075731386776</c:v>
                </c:pt>
                <c:pt idx="55">
                  <c:v>0.75880649710206771</c:v>
                </c:pt>
                <c:pt idx="56">
                  <c:v>0.74886155444819535</c:v>
                </c:pt>
                <c:pt idx="57">
                  <c:v>0.73917543646038375</c:v>
                </c:pt>
                <c:pt idx="58">
                  <c:v>0.72973818834378379</c:v>
                </c:pt>
                <c:pt idx="59">
                  <c:v>0.72054035934379301</c:v>
                </c:pt>
                <c:pt idx="60">
                  <c:v>0.71157297124353847</c:v>
                </c:pt>
                <c:pt idx="61">
                  <c:v>0.70282748919488147</c:v>
                </c:pt>
                <c:pt idx="62">
                  <c:v>0.69429579468373959</c:v>
                </c:pt>
                <c:pt idx="63">
                  <c:v>0.68597016044972048</c:v>
                </c:pt>
                <c:pt idx="64">
                  <c:v>0.67784322719721268</c:v>
                </c:pt>
                <c:pt idx="65">
                  <c:v>0.66990798195039813</c:v>
                </c:pt>
                <c:pt idx="66">
                  <c:v>0.66215773791838051</c:v>
                </c:pt>
                <c:pt idx="67">
                  <c:v>0.65458611574892567</c:v>
                </c:pt>
                <c:pt idx="68">
                  <c:v>0.64718702606035505</c:v>
                </c:pt>
                <c:pt idx="69">
                  <c:v>0.63995465315106581</c:v>
                </c:pt>
                <c:pt idx="70">
                  <c:v>0.63288343979508221</c:v>
                </c:pt>
                <c:pt idx="71">
                  <c:v>0.62596807304009716</c:v>
                </c:pt>
                <c:pt idx="72">
                  <c:v>0.61920347093173023</c:v>
                </c:pt>
                <c:pt idx="73">
                  <c:v>0.61258477009428447</c:v>
                </c:pt>
                <c:pt idx="74">
                  <c:v>0.60610731410421936</c:v>
                </c:pt>
                <c:pt idx="75">
                  <c:v>0.59976664259793377</c:v>
                </c:pt>
                <c:pt idx="76">
                  <c:v>0.5935584810603094</c:v>
                </c:pt>
                <c:pt idx="77">
                  <c:v>0.58747873124489292</c:v>
                </c:pt>
                <c:pt idx="78">
                  <c:v>0.58152346218059614</c:v>
                </c:pt>
                <c:pt idx="79">
                  <c:v>0.57568890172344611</c:v>
                </c:pt>
                <c:pt idx="80">
                  <c:v>0.56997142861522798</c:v>
                </c:pt>
                <c:pt idx="81">
                  <c:v>0.56436756501389462</c:v>
                </c:pt>
                <c:pt idx="82">
                  <c:v>0.55887396946336099</c:v>
                </c:pt>
                <c:pt idx="83">
                  <c:v>0.5534874302728271</c:v>
                </c:pt>
                <c:pt idx="84">
                  <c:v>0.5482048592780624</c:v>
                </c:pt>
                <c:pt idx="85">
                  <c:v>0.54302328595918747</c:v>
                </c:pt>
                <c:pt idx="86">
                  <c:v>0.53793985189141302</c:v>
                </c:pt>
                <c:pt idx="87">
                  <c:v>0.53295180550695131</c:v>
                </c:pt>
                <c:pt idx="88">
                  <c:v>0.52805649714793257</c:v>
                </c:pt>
                <c:pt idx="89">
                  <c:v>0.52325137439163827</c:v>
                </c:pt>
                <c:pt idx="90">
                  <c:v>0.51853397763072095</c:v>
                </c:pt>
                <c:pt idx="91">
                  <c:v>0.51390193589233313</c:v>
                </c:pt>
                <c:pt idx="92">
                  <c:v>0.509352962881228</c:v>
                </c:pt>
                <c:pt idx="93">
                  <c:v>0.50488485323296484</c:v>
                </c:pt>
                <c:pt idx="94">
                  <c:v>0.50049547896431079</c:v>
                </c:pt>
                <c:pt idx="95">
                  <c:v>0.49618278610884115</c:v>
                </c:pt>
                <c:pt idx="96">
                  <c:v>0.4919447915265599</c:v>
                </c:pt>
                <c:pt idx="97">
                  <c:v>0.48777957987712894</c:v>
                </c:pt>
                <c:pt idx="98">
                  <c:v>0.483685300747001</c:v>
                </c:pt>
                <c:pt idx="99">
                  <c:v>0.47966016592140387</c:v>
                </c:pt>
                <c:pt idx="100">
                  <c:v>0.47570244679272433</c:v>
                </c:pt>
                <c:pt idx="101">
                  <c:v>0.47181047189740244</c:v>
                </c:pt>
                <c:pt idx="102">
                  <c:v>0.46798262457396211</c:v>
                </c:pt>
                <c:pt idx="103">
                  <c:v>0.46421734073528431</c:v>
                </c:pt>
                <c:pt idx="104">
                  <c:v>0.46051310674867318</c:v>
                </c:pt>
                <c:pt idx="105">
                  <c:v>0.45686845741767912</c:v>
                </c:pt>
                <c:pt idx="106">
                  <c:v>0.45328197406002546</c:v>
                </c:pt>
                <c:pt idx="107">
                  <c:v>0.4497522826763421</c:v>
                </c:pt>
                <c:pt idx="108">
                  <c:v>0.44627805220473904</c:v>
                </c:pt>
                <c:pt idx="109">
                  <c:v>0.44285799285656319</c:v>
                </c:pt>
                <c:pt idx="110">
                  <c:v>0.43949085452896636</c:v>
                </c:pt>
                <c:pt idx="111">
                  <c:v>0.43617542529017944</c:v>
                </c:pt>
                <c:pt idx="112">
                  <c:v>0.43291052993363865</c:v>
                </c:pt>
                <c:pt idx="113">
                  <c:v>0.42969502859733832</c:v>
                </c:pt>
                <c:pt idx="114">
                  <c:v>0.42652781544500457</c:v>
                </c:pt>
                <c:pt idx="115">
                  <c:v>0.42340781740588251</c:v>
                </c:pt>
                <c:pt idx="116">
                  <c:v>0.42033399297012186</c:v>
                </c:pt>
                <c:pt idx="117">
                  <c:v>0.41730533103691914</c:v>
                </c:pt>
                <c:pt idx="118">
                  <c:v>0.41432084981274048</c:v>
                </c:pt>
                <c:pt idx="119">
                  <c:v>0.41137959575710326</c:v>
                </c:pt>
                <c:pt idx="120">
                  <c:v>0.40848064257353878</c:v>
                </c:pt>
                <c:pt idx="121">
                  <c:v>0.4056230902434923</c:v>
                </c:pt>
                <c:pt idx="122">
                  <c:v>0.40280606410104447</c:v>
                </c:pt>
                <c:pt idx="123">
                  <c:v>0.40002871394645545</c:v>
                </c:pt>
                <c:pt idx="124">
                  <c:v>0.39729021319664481</c:v>
                </c:pt>
                <c:pt idx="125">
                  <c:v>0.39458975807082408</c:v>
                </c:pt>
                <c:pt idx="126">
                  <c:v>0.39192656680959609</c:v>
                </c:pt>
                <c:pt idx="127">
                  <c:v>0.38929987892592849</c:v>
                </c:pt>
                <c:pt idx="128">
                  <c:v>0.38670895448649228</c:v>
                </c:pt>
                <c:pt idx="129">
                  <c:v>0.38415307342194049</c:v>
                </c:pt>
                <c:pt idx="130">
                  <c:v>0.38163153486477547</c:v>
                </c:pt>
                <c:pt idx="131">
                  <c:v>0.379143656513526</c:v>
                </c:pt>
                <c:pt idx="132">
                  <c:v>0.37668877402202255</c:v>
                </c:pt>
                <c:pt idx="133">
                  <c:v>0.37426624041262324</c:v>
                </c:pt>
                <c:pt idx="134">
                  <c:v>0.37187542551229996</c:v>
                </c:pt>
                <c:pt idx="135">
                  <c:v>0.36951571541055439</c:v>
                </c:pt>
                <c:pt idx="136">
                  <c:v>0.36718651193818319</c:v>
                </c:pt>
                <c:pt idx="137">
                  <c:v>0.3648872321659628</c:v>
                </c:pt>
                <c:pt idx="138">
                  <c:v>0.36261730792237107</c:v>
                </c:pt>
                <c:pt idx="139">
                  <c:v>0.36037618532950955</c:v>
                </c:pt>
                <c:pt idx="140">
                  <c:v>0.358163324356427</c:v>
                </c:pt>
                <c:pt idx="141">
                  <c:v>0.35597819838909017</c:v>
                </c:pt>
                <c:pt idx="142">
                  <c:v>0.35382029381628172</c:v>
                </c:pt>
                <c:pt idx="143">
                  <c:v>0.35168910963074035</c:v>
                </c:pt>
                <c:pt idx="144">
                  <c:v>0.34958415704489404</c:v>
                </c:pt>
                <c:pt idx="145">
                  <c:v>0.3475049591205665</c:v>
                </c:pt>
                <c:pt idx="146">
                  <c:v>0.3454510504120677</c:v>
                </c:pt>
                <c:pt idx="147">
                  <c:v>0.34342197662210727</c:v>
                </c:pt>
                <c:pt idx="148">
                  <c:v>0.34141729426999701</c:v>
                </c:pt>
                <c:pt idx="149">
                  <c:v>0.33943657037163311</c:v>
                </c:pt>
                <c:pt idx="150">
                  <c:v>0.33747938213077294</c:v>
                </c:pt>
                <c:pt idx="151">
                  <c:v>0.33554531664114456</c:v>
                </c:pt>
                <c:pt idx="152">
                  <c:v>0.33363397059894739</c:v>
                </c:pt>
                <c:pt idx="153">
                  <c:v>0.33174495002532423</c:v>
                </c:pt>
                <c:pt idx="154">
                  <c:v>0.32987786999840313</c:v>
                </c:pt>
                <c:pt idx="155">
                  <c:v>0.32803235439452633</c:v>
                </c:pt>
                <c:pt idx="156">
                  <c:v>0.32620803563830103</c:v>
                </c:pt>
                <c:pt idx="157">
                  <c:v>0.32440455446112298</c:v>
                </c:pt>
                <c:pt idx="158">
                  <c:v>0.32262155966783967</c:v>
                </c:pt>
                <c:pt idx="159">
                  <c:v>0.32085870791123505</c:v>
                </c:pt>
                <c:pt idx="160">
                  <c:v>0.31911566347403109</c:v>
                </c:pt>
                <c:pt idx="161">
                  <c:v>0.31739209805811608</c:v>
                </c:pt>
                <c:pt idx="162">
                  <c:v>0.31568769058072177</c:v>
                </c:pt>
                <c:pt idx="163">
                  <c:v>0.31400212697728197</c:v>
                </c:pt>
                <c:pt idx="164">
                  <c:v>0.31233510001072157</c:v>
                </c:pt>
                <c:pt idx="165">
                  <c:v>0.3106863090869289</c:v>
                </c:pt>
                <c:pt idx="166">
                  <c:v>0.3090554600761819</c:v>
                </c:pt>
                <c:pt idx="167">
                  <c:v>0.30744226514030332</c:v>
                </c:pt>
                <c:pt idx="168">
                  <c:v>0.30584644256533255</c:v>
                </c:pt>
                <c:pt idx="169">
                  <c:v>0.30426771659950919</c:v>
                </c:pt>
                <c:pt idx="170">
                  <c:v>0.30270581729637297</c:v>
                </c:pt>
                <c:pt idx="171">
                  <c:v>0.30116048036279275</c:v>
                </c:pt>
                <c:pt idx="172">
                  <c:v>0.29963144701174405</c:v>
                </c:pt>
                <c:pt idx="173">
                  <c:v>0.29811846381966434</c:v>
                </c:pt>
                <c:pt idx="174">
                  <c:v>0.29662128258821902</c:v>
                </c:pt>
                <c:pt idx="175">
                  <c:v>0.2951396602103214</c:v>
                </c:pt>
                <c:pt idx="176">
                  <c:v>0.29367335854025384</c:v>
                </c:pt>
                <c:pt idx="177">
                  <c:v>0.29222214426774501</c:v>
                </c:pt>
                <c:pt idx="178">
                  <c:v>0.29078578879586209</c:v>
                </c:pt>
                <c:pt idx="179">
                  <c:v>0.28936406812258547</c:v>
                </c:pt>
                <c:pt idx="180">
                  <c:v>0.28795676272593623</c:v>
                </c:pt>
                <c:pt idx="181">
                  <c:v>0.28656365745253182</c:v>
                </c:pt>
                <c:pt idx="182">
                  <c:v>0.28518454140945271</c:v>
                </c:pt>
                <c:pt idx="183">
                  <c:v>0.28381920785930503</c:v>
                </c:pt>
                <c:pt idx="184">
                  <c:v>0.28246745411836915</c:v>
                </c:pt>
                <c:pt idx="185">
                  <c:v>0.28112908145772975</c:v>
                </c:pt>
                <c:pt idx="186">
                  <c:v>0.27980389500728542</c:v>
                </c:pt>
                <c:pt idx="187">
                  <c:v>0.27849170366254061</c:v>
                </c:pt>
                <c:pt idx="188">
                  <c:v>0.27719231999408628</c:v>
                </c:pt>
                <c:pt idx="189">
                  <c:v>0.27590556015967882</c:v>
                </c:pt>
                <c:pt idx="190">
                  <c:v>0.27463124381883203</c:v>
                </c:pt>
                <c:pt idx="191">
                  <c:v>0.27336919404983645</c:v>
                </c:pt>
                <c:pt idx="192">
                  <c:v>0.27211923726912807</c:v>
                </c:pt>
                <c:pt idx="193">
                  <c:v>0.2708812031529283</c:v>
                </c:pt>
                <c:pt idx="194">
                  <c:v>0.26965492456108042</c:v>
                </c:pt>
                <c:pt idx="195">
                  <c:v>0.26844023746301215</c:v>
                </c:pt>
                <c:pt idx="196">
                  <c:v>0.26723698086575426</c:v>
                </c:pt>
                <c:pt idx="197">
                  <c:v>0.26604499674394999</c:v>
                </c:pt>
                <c:pt idx="198">
                  <c:v>0.26486412997179037</c:v>
                </c:pt>
                <c:pt idx="199">
                  <c:v>0.26369422825681432</c:v>
                </c:pt>
                <c:pt idx="200">
                  <c:v>0.26253514207551493</c:v>
                </c:pt>
                <c:pt idx="201">
                  <c:v>0.26138672461069307</c:v>
                </c:pt>
                <c:pt idx="202">
                  <c:v>0.26024883169050422</c:v>
                </c:pt>
                <c:pt idx="203">
                  <c:v>0.25912132172914626</c:v>
                </c:pt>
                <c:pt idx="204">
                  <c:v>0.25800405566913492</c:v>
                </c:pt>
                <c:pt idx="205">
                  <c:v>0.25689689692511886</c:v>
                </c:pt>
                <c:pt idx="206">
                  <c:v>0.25579971132918655</c:v>
                </c:pt>
                <c:pt idx="207">
                  <c:v>0.25471236707761891</c:v>
                </c:pt>
                <c:pt idx="208">
                  <c:v>0.25363473467904268</c:v>
                </c:pt>
                <c:pt idx="209">
                  <c:v>0.25256668690394274</c:v>
                </c:pt>
                <c:pt idx="210">
                  <c:v>0.25150809873549113</c:v>
                </c:pt>
                <c:pt idx="211">
                  <c:v>0.25045884732165341</c:v>
                </c:pt>
                <c:pt idx="212">
                  <c:v>0.24941881192853371</c:v>
                </c:pt>
                <c:pt idx="213">
                  <c:v>0.24838787389492112</c:v>
                </c:pt>
                <c:pt idx="214">
                  <c:v>0.24736591658800144</c:v>
                </c:pt>
                <c:pt idx="215">
                  <c:v>0.24635282536019978</c:v>
                </c:pt>
                <c:pt idx="216">
                  <c:v>0.24534848750712071</c:v>
                </c:pt>
                <c:pt idx="217">
                  <c:v>0.2443527922265524</c:v>
                </c:pt>
                <c:pt idx="218">
                  <c:v>0.24336563057850535</c:v>
                </c:pt>
                <c:pt idx="219">
                  <c:v>0.2423868954462533</c:v>
                </c:pt>
                <c:pt idx="220">
                  <c:v>0.24141648149834882</c:v>
                </c:pt>
                <c:pt idx="221">
                  <c:v>0.24045428515158426</c:v>
                </c:pt>
                <c:pt idx="222">
                  <c:v>0.23950020453487109</c:v>
                </c:pt>
                <c:pt idx="223">
                  <c:v>0.23855413945401119</c:v>
                </c:pt>
                <c:pt idx="224">
                  <c:v>0.23761599135733416</c:v>
                </c:pt>
                <c:pt idx="225">
                  <c:v>0.23668566330217658</c:v>
                </c:pt>
                <c:pt idx="226">
                  <c:v>0.2357630599221785</c:v>
                </c:pt>
                <c:pt idx="227">
                  <c:v>0.23484808739537433</c:v>
                </c:pt>
                <c:pt idx="228">
                  <c:v>0.23394065341305612</c:v>
                </c:pt>
                <c:pt idx="229">
                  <c:v>0.2330406671493867</c:v>
                </c:pt>
                <c:pt idx="230">
                  <c:v>0.23214803923174232</c:v>
                </c:pt>
                <c:pt idx="231">
                  <c:v>0.23126268171176403</c:v>
                </c:pt>
                <c:pt idx="232">
                  <c:v>0.2303845080370987</c:v>
                </c:pt>
                <c:pt idx="233">
                  <c:v>0.22951343302380989</c:v>
                </c:pt>
                <c:pt idx="234">
                  <c:v>0.22864937282944026</c:v>
                </c:pt>
                <c:pt idx="235">
                  <c:v>0.22779224492670849</c:v>
                </c:pt>
                <c:pt idx="236">
                  <c:v>0.22694196807782197</c:v>
                </c:pt>
                <c:pt idx="237">
                  <c:v>0.22609846230938943</c:v>
                </c:pt>
                <c:pt idx="238">
                  <c:v>0.22526164888791725</c:v>
                </c:pt>
                <c:pt idx="239">
                  <c:v>0.22443145029587314</c:v>
                </c:pt>
                <c:pt idx="240">
                  <c:v>0.22360779020830207</c:v>
                </c:pt>
                <c:pt idx="241">
                  <c:v>0.2227905934699802</c:v>
                </c:pt>
                <c:pt idx="242">
                  <c:v>0.22197978607309182</c:v>
                </c:pt>
                <c:pt idx="243">
                  <c:v>0.22117529513541515</c:v>
                </c:pt>
                <c:pt idx="244">
                  <c:v>0.22037704887900464</c:v>
                </c:pt>
                <c:pt idx="245">
                  <c:v>0.21958497660935536</c:v>
                </c:pt>
                <c:pt idx="246">
                  <c:v>0.21879900869503771</c:v>
                </c:pt>
                <c:pt idx="247">
                  <c:v>0.21801907654778954</c:v>
                </c:pt>
                <c:pt idx="248">
                  <c:v>0.21724511260305404</c:v>
                </c:pt>
                <c:pt idx="249">
                  <c:v>0.21647705030095199</c:v>
                </c:pt>
                <c:pt idx="250">
                  <c:v>0.21571482406767625</c:v>
                </c:pt>
                <c:pt idx="251">
                  <c:v>0.21495836929729889</c:v>
                </c:pt>
                <c:pt idx="252">
                  <c:v>0.21420762233397914</c:v>
                </c:pt>
                <c:pt idx="253">
                  <c:v>0.21346252045456252</c:v>
                </c:pt>
                <c:pt idx="254">
                  <c:v>0.21272300185156098</c:v>
                </c:pt>
                <c:pt idx="255">
                  <c:v>0.21198900561650461</c:v>
                </c:pt>
                <c:pt idx="256">
                  <c:v>0.21126047172365489</c:v>
                </c:pt>
                <c:pt idx="257">
                  <c:v>0.21053734101407084</c:v>
                </c:pt>
                <c:pt idx="258">
                  <c:v>0.20981955518001949</c:v>
                </c:pt>
                <c:pt idx="259">
                  <c:v>0.20910705674972088</c:v>
                </c:pt>
                <c:pt idx="260">
                  <c:v>0.20839978907242049</c:v>
                </c:pt>
                <c:pt idx="261">
                  <c:v>0.20769769630378027</c:v>
                </c:pt>
                <c:pt idx="262">
                  <c:v>0.20700072339158046</c:v>
                </c:pt>
                <c:pt idx="263">
                  <c:v>0.20630881606172452</c:v>
                </c:pt>
                <c:pt idx="264">
                  <c:v>0.20562192080453978</c:v>
                </c:pt>
                <c:pt idx="265">
                  <c:v>0.20493998486136655</c:v>
                </c:pt>
                <c:pt idx="266">
                  <c:v>0.20426295621142851</c:v>
                </c:pt>
                <c:pt idx="267">
                  <c:v>0.2035907835589775</c:v>
                </c:pt>
                <c:pt idx="268">
                  <c:v>0.20292341632070637</c:v>
                </c:pt>
                <c:pt idx="269">
                  <c:v>0.20226080461342305</c:v>
                </c:pt>
                <c:pt idx="270">
                  <c:v>0.20160289924197924</c:v>
                </c:pt>
                <c:pt idx="271">
                  <c:v>0.20094965168744883</c:v>
                </c:pt>
                <c:pt idx="272">
                  <c:v>0.20030101409554846</c:v>
                </c:pt>
                <c:pt idx="273">
                  <c:v>0.19965693926529562</c:v>
                </c:pt>
                <c:pt idx="274">
                  <c:v>0.19901738063789789</c:v>
                </c:pt>
                <c:pt idx="275">
                  <c:v>0.19838229228586868</c:v>
                </c:pt>
                <c:pt idx="276">
                  <c:v>0.19775162890236303</c:v>
                </c:pt>
                <c:pt idx="277">
                  <c:v>0.19712534579072913</c:v>
                </c:pt>
                <c:pt idx="278">
                  <c:v>0.19650339885427034</c:v>
                </c:pt>
                <c:pt idx="279">
                  <c:v>0.19588574458621233</c:v>
                </c:pt>
                <c:pt idx="280">
                  <c:v>0.19527234005987107</c:v>
                </c:pt>
                <c:pt idx="281">
                  <c:v>0.19466314291901682</c:v>
                </c:pt>
                <c:pt idx="282">
                  <c:v>0.19405811136842951</c:v>
                </c:pt>
                <c:pt idx="283">
                  <c:v>0.19345720416464121</c:v>
                </c:pt>
                <c:pt idx="284">
                  <c:v>0.19286038060686103</c:v>
                </c:pt>
                <c:pt idx="285">
                  <c:v>0.19226760052807917</c:v>
                </c:pt>
                <c:pt idx="286">
                  <c:v>0.19167882428634461</c:v>
                </c:pt>
                <c:pt idx="287">
                  <c:v>0.19109401275621388</c:v>
                </c:pt>
                <c:pt idx="288">
                  <c:v>0.19051312732036618</c:v>
                </c:pt>
                <c:pt idx="289">
                  <c:v>0.18993612986138128</c:v>
                </c:pt>
                <c:pt idx="290">
                  <c:v>0.18936298275367663</c:v>
                </c:pt>
                <c:pt idx="291">
                  <c:v>0.18879364885560002</c:v>
                </c:pt>
                <c:pt idx="292">
                  <c:v>0.18822809150167424</c:v>
                </c:pt>
                <c:pt idx="293">
                  <c:v>0.18766627449499057</c:v>
                </c:pt>
                <c:pt idx="294">
                  <c:v>0.18710816209974726</c:v>
                </c:pt>
                <c:pt idx="295">
                  <c:v>0.18655371903393059</c:v>
                </c:pt>
                <c:pt idx="296">
                  <c:v>0.18600291046213463</c:v>
                </c:pt>
                <c:pt idx="297">
                  <c:v>0.18545570198851691</c:v>
                </c:pt>
                <c:pt idx="298">
                  <c:v>0.18491205964988708</c:v>
                </c:pt>
                <c:pt idx="299">
                  <c:v>0.1843719499089255</c:v>
                </c:pt>
                <c:pt idx="300">
                  <c:v>0.18383533964752904</c:v>
                </c:pt>
                <c:pt idx="301">
                  <c:v>0.18330219616028115</c:v>
                </c:pt>
                <c:pt idx="302">
                  <c:v>0.18277248714804384</c:v>
                </c:pt>
                <c:pt idx="303">
                  <c:v>0.18224618071166848</c:v>
                </c:pt>
                <c:pt idx="304">
                  <c:v>0.18172324534582285</c:v>
                </c:pt>
                <c:pt idx="305">
                  <c:v>0.18120364993293295</c:v>
                </c:pt>
                <c:pt idx="306">
                  <c:v>0.1806873637372354</c:v>
                </c:pt>
                <c:pt idx="307">
                  <c:v>0.18017435639893933</c:v>
                </c:pt>
                <c:pt idx="308">
                  <c:v>0.17966459792849543</c:v>
                </c:pt>
                <c:pt idx="309">
                  <c:v>0.17915805870096888</c:v>
                </c:pt>
                <c:pt idx="310">
                  <c:v>0.1786547094505149</c:v>
                </c:pt>
                <c:pt idx="311">
                  <c:v>0.17815452126495465</c:v>
                </c:pt>
                <c:pt idx="312">
                  <c:v>0.1776574655804487</c:v>
                </c:pt>
                <c:pt idx="313">
                  <c:v>0.17716351417626688</c:v>
                </c:pt>
                <c:pt idx="314">
                  <c:v>0.17667263916965173</c:v>
                </c:pt>
                <c:pt idx="315">
                  <c:v>0.17618481301077429</c:v>
                </c:pt>
                <c:pt idx="316">
                  <c:v>0.17570000847777983</c:v>
                </c:pt>
                <c:pt idx="317">
                  <c:v>0.17521819867192154</c:v>
                </c:pt>
                <c:pt idx="318">
                  <c:v>0.17473935701278109</c:v>
                </c:pt>
                <c:pt idx="319">
                  <c:v>0.17426345723357337</c:v>
                </c:pt>
                <c:pt idx="320">
                  <c:v>0.17379047337653425</c:v>
                </c:pt>
                <c:pt idx="321">
                  <c:v>0.17332037978838952</c:v>
                </c:pt>
                <c:pt idx="322">
                  <c:v>0.17285315111590324</c:v>
                </c:pt>
                <c:pt idx="323">
                  <c:v>0.17238876230150416</c:v>
                </c:pt>
                <c:pt idx="324">
                  <c:v>0.17192718857898789</c:v>
                </c:pt>
                <c:pt idx="325">
                  <c:v>0.17146840546929468</c:v>
                </c:pt>
                <c:pt idx="326">
                  <c:v>0.17101238877635955</c:v>
                </c:pt>
                <c:pt idx="327">
                  <c:v>0.17055911458303472</c:v>
                </c:pt>
                <c:pt idx="328">
                  <c:v>0.17010855924708221</c:v>
                </c:pt>
                <c:pt idx="329">
                  <c:v>0.16966069939723522</c:v>
                </c:pt>
                <c:pt idx="330">
                  <c:v>0.16921551192932704</c:v>
                </c:pt>
                <c:pt idx="331">
                  <c:v>0.1687729740024865</c:v>
                </c:pt>
                <c:pt idx="332">
                  <c:v>0.16833306303539761</c:v>
                </c:pt>
                <c:pt idx="333">
                  <c:v>0.16789575670262347</c:v>
                </c:pt>
                <c:pt idx="334">
                  <c:v>0.16746103293099179</c:v>
                </c:pt>
                <c:pt idx="335">
                  <c:v>0.16702886989604235</c:v>
                </c:pt>
                <c:pt idx="336">
                  <c:v>0.16659924601853338</c:v>
                </c:pt>
                <c:pt idx="337">
                  <c:v>0.16617213996100741</c:v>
                </c:pt>
                <c:pt idx="338">
                  <c:v>0.16574753062441427</c:v>
                </c:pt>
                <c:pt idx="339">
                  <c:v>0.1653253971447908</c:v>
                </c:pt>
                <c:pt idx="340">
                  <c:v>0.16490571888999553</c:v>
                </c:pt>
                <c:pt idx="341">
                  <c:v>0.164488475456498</c:v>
                </c:pt>
                <c:pt idx="342">
                  <c:v>0.16407364666622123</c:v>
                </c:pt>
                <c:pt idx="343">
                  <c:v>0.16366121256343616</c:v>
                </c:pt>
                <c:pt idx="344">
                  <c:v>0.16325115341170732</c:v>
                </c:pt>
                <c:pt idx="345">
                  <c:v>0.16284344969088904</c:v>
                </c:pt>
                <c:pt idx="346">
                  <c:v>0.16243808209417065</c:v>
                </c:pt>
                <c:pt idx="347">
                  <c:v>0.16203503152516982</c:v>
                </c:pt>
                <c:pt idx="348">
                  <c:v>0.16163427909507364</c:v>
                </c:pt>
                <c:pt idx="349">
                  <c:v>0.16123580611982602</c:v>
                </c:pt>
                <c:pt idx="350">
                  <c:v>0.16083959411736054</c:v>
                </c:pt>
                <c:pt idx="351">
                  <c:v>0.16044562480487845</c:v>
                </c:pt>
                <c:pt idx="352">
                  <c:v>0.16005388009617025</c:v>
                </c:pt>
                <c:pt idx="353">
                  <c:v>0.15966434209898034</c:v>
                </c:pt>
                <c:pt idx="354">
                  <c:v>0.15927699311241419</c:v>
                </c:pt>
                <c:pt idx="355">
                  <c:v>0.15889181562438681</c:v>
                </c:pt>
                <c:pt idx="356">
                  <c:v>0.15850879230911205</c:v>
                </c:pt>
                <c:pt idx="357">
                  <c:v>0.15812790602463159</c:v>
                </c:pt>
                <c:pt idx="358">
                  <c:v>0.15774913981038358</c:v>
                </c:pt>
                <c:pt idx="359">
                  <c:v>0.15737247688480949</c:v>
                </c:pt>
                <c:pt idx="360">
                  <c:v>0.15699790064299871</c:v>
                </c:pt>
                <c:pt idx="361">
                  <c:v>0.15662539465437042</c:v>
                </c:pt>
                <c:pt idx="362">
                  <c:v>0.15625494266039178</c:v>
                </c:pt>
                <c:pt idx="363">
                  <c:v>0.15588652857233187</c:v>
                </c:pt>
                <c:pt idx="364">
                  <c:v>0.15552013646905066</c:v>
                </c:pt>
                <c:pt idx="365">
                  <c:v>0.15515575059482264</c:v>
                </c:pt>
                <c:pt idx="366">
                  <c:v>0.15479335535719405</c:v>
                </c:pt>
                <c:pt idx="367">
                  <c:v>0.15443293532487337</c:v>
                </c:pt>
                <c:pt idx="368">
                  <c:v>0.15407447522565459</c:v>
                </c:pt>
                <c:pt idx="369">
                  <c:v>0.15371795994437248</c:v>
                </c:pt>
                <c:pt idx="370">
                  <c:v>0.15336337452088902</c:v>
                </c:pt>
                <c:pt idx="371">
                  <c:v>0.15301070414811113</c:v>
                </c:pt>
                <c:pt idx="372">
                  <c:v>0.15265993417003845</c:v>
                </c:pt>
                <c:pt idx="373">
                  <c:v>0.15231105007984133</c:v>
                </c:pt>
                <c:pt idx="374">
                  <c:v>0.15196403751796725</c:v>
                </c:pt>
                <c:pt idx="375">
                  <c:v>0.15161888227027714</c:v>
                </c:pt>
                <c:pt idx="376">
                  <c:v>0.15127557026620903</c:v>
                </c:pt>
                <c:pt idx="377">
                  <c:v>0.15093408757696966</c:v>
                </c:pt>
                <c:pt idx="378">
                  <c:v>0.15059442041375393</c:v>
                </c:pt>
                <c:pt idx="379">
                  <c:v>0.15025655512599018</c:v>
                </c:pt>
                <c:pt idx="380">
                  <c:v>0.14992047819961254</c:v>
                </c:pt>
                <c:pt idx="381">
                  <c:v>0.14958617625535875</c:v>
                </c:pt>
                <c:pt idx="382">
                  <c:v>0.14925363604709355</c:v>
                </c:pt>
                <c:pt idx="383">
                  <c:v>0.14892284446015702</c:v>
                </c:pt>
                <c:pt idx="384">
                  <c:v>0.14859378850973723</c:v>
                </c:pt>
                <c:pt idx="385">
                  <c:v>0.14826645533926747</c:v>
                </c:pt>
                <c:pt idx="386">
                  <c:v>0.14794083221884663</c:v>
                </c:pt>
                <c:pt idx="387">
                  <c:v>0.14761690654368312</c:v>
                </c:pt>
                <c:pt idx="388">
                  <c:v>0.14729466583256187</c:v>
                </c:pt>
                <c:pt idx="389">
                  <c:v>0.14697409772633346</c:v>
                </c:pt>
                <c:pt idx="390">
                  <c:v>0.1466551899864254</c:v>
                </c:pt>
                <c:pt idx="391">
                  <c:v>0.1463379304933756</c:v>
                </c:pt>
                <c:pt idx="392">
                  <c:v>0.14602230724538645</c:v>
                </c:pt>
                <c:pt idx="393">
                  <c:v>0.14570830835690074</c:v>
                </c:pt>
                <c:pt idx="394">
                  <c:v>0.14539592205719729</c:v>
                </c:pt>
                <c:pt idx="395">
                  <c:v>0.14508513668900791</c:v>
                </c:pt>
                <c:pt idx="396">
                  <c:v>0.14477594070715336</c:v>
                </c:pt>
                <c:pt idx="397">
                  <c:v>0.1444683226771995</c:v>
                </c:pt>
                <c:pt idx="398">
                  <c:v>0.14416227127413284</c:v>
                </c:pt>
                <c:pt idx="399">
                  <c:v>0.14385777528105431</c:v>
                </c:pt>
                <c:pt idx="400">
                  <c:v>0.14355482358789268</c:v>
                </c:pt>
                <c:pt idx="401">
                  <c:v>0.14325340519013532</c:v>
                </c:pt>
                <c:pt idx="402">
                  <c:v>0.14295350918757807</c:v>
                </c:pt>
                <c:pt idx="403">
                  <c:v>0.14265512478309178</c:v>
                </c:pt>
                <c:pt idx="404">
                  <c:v>0.14235824128140712</c:v>
                </c:pt>
                <c:pt idx="405">
                  <c:v>0.14206284808791603</c:v>
                </c:pt>
                <c:pt idx="406">
                  <c:v>0.14176893470749047</c:v>
                </c:pt>
                <c:pt idx="407">
                  <c:v>0.14147649074331725</c:v>
                </c:pt>
                <c:pt idx="408">
                  <c:v>0.14118550589574974</c:v>
                </c:pt>
                <c:pt idx="409">
                  <c:v>0.14089596996117537</c:v>
                </c:pt>
                <c:pt idx="410">
                  <c:v>0.14060787283089884</c:v>
                </c:pt>
                <c:pt idx="411">
                  <c:v>0.14032120449004098</c:v>
                </c:pt>
                <c:pt idx="412">
                  <c:v>0.14003595501645311</c:v>
                </c:pt>
                <c:pt idx="413">
                  <c:v>0.13975211457964606</c:v>
                </c:pt>
                <c:pt idx="414">
                  <c:v>0.13946967343973421</c:v>
                </c:pt>
                <c:pt idx="415">
                  <c:v>0.13918862194639414</c:v>
                </c:pt>
                <c:pt idx="416">
                  <c:v>0.13890895053783761</c:v>
                </c:pt>
                <c:pt idx="417">
                  <c:v>0.13863064973979822</c:v>
                </c:pt>
                <c:pt idx="418">
                  <c:v>0.13835371016453279</c:v>
                </c:pt>
                <c:pt idx="419">
                  <c:v>0.13807812250983559</c:v>
                </c:pt>
                <c:pt idx="420">
                  <c:v>0.13780387755806633</c:v>
                </c:pt>
                <c:pt idx="421">
                  <c:v>0.13753096617519156</c:v>
                </c:pt>
                <c:pt idx="422">
                  <c:v>0.13725937930983861</c:v>
                </c:pt>
                <c:pt idx="423">
                  <c:v>0.13698910799236289</c:v>
                </c:pt>
                <c:pt idx="424">
                  <c:v>0.13672014333392743</c:v>
                </c:pt>
                <c:pt idx="425">
                  <c:v>0.13645247652559483</c:v>
                </c:pt>
                <c:pt idx="426">
                  <c:v>0.13618609883743168</c:v>
                </c:pt>
                <c:pt idx="427">
                  <c:v>0.13592100161762477</c:v>
                </c:pt>
                <c:pt idx="428">
                  <c:v>0.1356571762916092</c:v>
                </c:pt>
                <c:pt idx="429">
                  <c:v>0.13539461436120825</c:v>
                </c:pt>
                <c:pt idx="430">
                  <c:v>0.1351333074037844</c:v>
                </c:pt>
                <c:pt idx="431">
                  <c:v>0.13487324707140214</c:v>
                </c:pt>
                <c:pt idx="432">
                  <c:v>0.13461442509000146</c:v>
                </c:pt>
                <c:pt idx="433">
                  <c:v>0.13435683325858253</c:v>
                </c:pt>
                <c:pt idx="434">
                  <c:v>0.13410046344840088</c:v>
                </c:pt>
                <c:pt idx="435">
                  <c:v>0.1338453076021737</c:v>
                </c:pt>
                <c:pt idx="436">
                  <c:v>0.133591357733296</c:v>
                </c:pt>
                <c:pt idx="437">
                  <c:v>0.13333860592506744</c:v>
                </c:pt>
                <c:pt idx="438">
                  <c:v>0.13308704432992924</c:v>
                </c:pt>
                <c:pt idx="439">
                  <c:v>0.13283666516871084</c:v>
                </c:pt>
                <c:pt idx="440">
                  <c:v>0.13258746072988664</c:v>
                </c:pt>
                <c:pt idx="441">
                  <c:v>0.13233942336884244</c:v>
                </c:pt>
                <c:pt idx="442">
                  <c:v>0.13209254550715099</c:v>
                </c:pt>
                <c:pt idx="443">
                  <c:v>0.13184681963185765</c:v>
                </c:pt>
                <c:pt idx="444">
                  <c:v>0.13160223829477441</c:v>
                </c:pt>
                <c:pt idx="445">
                  <c:v>0.13135879411178378</c:v>
                </c:pt>
                <c:pt idx="446">
                  <c:v>0.13111647976215132</c:v>
                </c:pt>
                <c:pt idx="447">
                  <c:v>0.13087528798784684</c:v>
                </c:pt>
                <c:pt idx="448">
                  <c:v>0.13063521159287469</c:v>
                </c:pt>
                <c:pt idx="449">
                  <c:v>0.13039624344261225</c:v>
                </c:pt>
                <c:pt idx="450">
                  <c:v>0.13015837646315709</c:v>
                </c:pt>
                <c:pt idx="451">
                  <c:v>0.12992160364068248</c:v>
                </c:pt>
                <c:pt idx="452">
                  <c:v>0.12968591802080076</c:v>
                </c:pt>
                <c:pt idx="453">
                  <c:v>0.12945131270793531</c:v>
                </c:pt>
                <c:pt idx="454">
                  <c:v>0.12921778086469984</c:v>
                </c:pt>
                <c:pt idx="455">
                  <c:v>0.12898531571128627</c:v>
                </c:pt>
                <c:pt idx="456">
                  <c:v>0.12875391052485954</c:v>
                </c:pt>
                <c:pt idx="457">
                  <c:v>0.12852355863896064</c:v>
                </c:pt>
                <c:pt idx="458">
                  <c:v>0.12829425344291673</c:v>
                </c:pt>
                <c:pt idx="459">
                  <c:v>0.12806598838125907</c:v>
                </c:pt>
                <c:pt idx="460">
                  <c:v>0.12783875695314773</c:v>
                </c:pt>
                <c:pt idx="461">
                  <c:v>0.1276125527118038</c:v>
                </c:pt>
                <c:pt idx="462">
                  <c:v>0.12738736926394867</c:v>
                </c:pt>
                <c:pt idx="463">
                  <c:v>0.1271632002692501</c:v>
                </c:pt>
                <c:pt idx="464">
                  <c:v>0.1269400394397753</c:v>
                </c:pt>
                <c:pt idx="465">
                  <c:v>0.12671788053945074</c:v>
                </c:pt>
                <c:pt idx="466">
                  <c:v>0.12649671738352858</c:v>
                </c:pt>
                <c:pt idx="467">
                  <c:v>0.12627654383805967</c:v>
                </c:pt>
                <c:pt idx="468">
                  <c:v>0.12605735381937327</c:v>
                </c:pt>
                <c:pt idx="469">
                  <c:v>0.12583914129356272</c:v>
                </c:pt>
                <c:pt idx="470">
                  <c:v>0.12562190027597772</c:v>
                </c:pt>
                <c:pt idx="471">
                  <c:v>0.12540562483072282</c:v>
                </c:pt>
                <c:pt idx="472">
                  <c:v>0.12519030907016188</c:v>
                </c:pt>
                <c:pt idx="473">
                  <c:v>0.12497594715442858</c:v>
                </c:pt>
                <c:pt idx="474">
                  <c:v>0.12476253329094303</c:v>
                </c:pt>
                <c:pt idx="475">
                  <c:v>0.124550061733934</c:v>
                </c:pt>
                <c:pt idx="476">
                  <c:v>0.12433852678396715</c:v>
                </c:pt>
                <c:pt idx="477">
                  <c:v>0.12412792278747889</c:v>
                </c:pt>
                <c:pt idx="478">
                  <c:v>0.12391824413631565</c:v>
                </c:pt>
                <c:pt idx="479">
                  <c:v>0.12370948526727919</c:v>
                </c:pt>
                <c:pt idx="480">
                  <c:v>0.12350164066167668</c:v>
                </c:pt>
                <c:pt idx="481">
                  <c:v>0.1232947048448768</c:v>
                </c:pt>
                <c:pt idx="482">
                  <c:v>0.12308867238587078</c:v>
                </c:pt>
                <c:pt idx="483">
                  <c:v>0.12288353789683873</c:v>
                </c:pt>
                <c:pt idx="484">
                  <c:v>0.12267929603272133</c:v>
                </c:pt>
                <c:pt idx="485">
                  <c:v>0.12247594149079633</c:v>
                </c:pt>
                <c:pt idx="486">
                  <c:v>0.12227346901026014</c:v>
                </c:pt>
                <c:pt idx="487">
                  <c:v>0.12207187337181467</c:v>
                </c:pt>
                <c:pt idx="488">
                  <c:v>0.12187114939725854</c:v>
                </c:pt>
                <c:pt idx="489">
                  <c:v>0.12167129194908363</c:v>
                </c:pt>
                <c:pt idx="490">
                  <c:v>0.12147229593007589</c:v>
                </c:pt>
                <c:pt idx="491">
                  <c:v>0.12127415628292124</c:v>
                </c:pt>
                <c:pt idx="492">
                  <c:v>0.12107686798981585</c:v>
                </c:pt>
                <c:pt idx="493">
                  <c:v>0.12088042607208103</c:v>
                </c:pt>
                <c:pt idx="494">
                  <c:v>0.1206848255897828</c:v>
                </c:pt>
                <c:pt idx="495">
                  <c:v>0.12049006164135542</c:v>
                </c:pt>
                <c:pt idx="496">
                  <c:v>0.12029612936322993</c:v>
                </c:pt>
                <c:pt idx="497">
                  <c:v>0.12010302392946647</c:v>
                </c:pt>
                <c:pt idx="498">
                  <c:v>0.11991074055139109</c:v>
                </c:pt>
                <c:pt idx="499">
                  <c:v>0.11971927447723683</c:v>
                </c:pt>
                <c:pt idx="500">
                  <c:v>0.11952862099178879</c:v>
                </c:pt>
                <c:pt idx="501">
                  <c:v>0.11933877541603324</c:v>
                </c:pt>
                <c:pt idx="502">
                  <c:v>0.11914973310681108</c:v>
                </c:pt>
                <c:pt idx="503">
                  <c:v>0.11896148945647488</c:v>
                </c:pt>
                <c:pt idx="504">
                  <c:v>0.1187740398925501</c:v>
                </c:pt>
                <c:pt idx="505">
                  <c:v>0.11858737987740012</c:v>
                </c:pt>
                <c:pt idx="506">
                  <c:v>0.11840150490789499</c:v>
                </c:pt>
                <c:pt idx="507">
                  <c:v>0.11821641051508423</c:v>
                </c:pt>
                <c:pt idx="508">
                  <c:v>0.11803209226387296</c:v>
                </c:pt>
                <c:pt idx="509">
                  <c:v>0.11784854575270202</c:v>
                </c:pt>
                <c:pt idx="510">
                  <c:v>0.11766576661323155</c:v>
                </c:pt>
                <c:pt idx="511">
                  <c:v>0.11748375051002821</c:v>
                </c:pt>
                <c:pt idx="512">
                  <c:v>0.11730249314025594</c:v>
                </c:pt>
                <c:pt idx="513">
                  <c:v>0.11712199023337007</c:v>
                </c:pt>
                <c:pt idx="514">
                  <c:v>0.11694223755081508</c:v>
                </c:pt>
                <c:pt idx="515">
                  <c:v>0.11676323088572554</c:v>
                </c:pt>
                <c:pt idx="516">
                  <c:v>0.11658496606263055</c:v>
                </c:pt>
                <c:pt idx="517">
                  <c:v>0.11640743893716148</c:v>
                </c:pt>
                <c:pt idx="518">
                  <c:v>0.11623064539576274</c:v>
                </c:pt>
                <c:pt idx="519">
                  <c:v>0.11605458135540614</c:v>
                </c:pt>
                <c:pt idx="520">
                  <c:v>0.1158792427633081</c:v>
                </c:pt>
                <c:pt idx="521">
                  <c:v>0.11570462559665018</c:v>
                </c:pt>
                <c:pt idx="522">
                  <c:v>0.11553072586230265</c:v>
                </c:pt>
                <c:pt idx="523">
                  <c:v>0.11535753959655107</c:v>
                </c:pt>
                <c:pt idx="524">
                  <c:v>0.11518506286482599</c:v>
                </c:pt>
                <c:pt idx="525">
                  <c:v>0.11501329176143552</c:v>
                </c:pt>
                <c:pt idx="526">
                  <c:v>0.11484222240930089</c:v>
                </c:pt>
                <c:pt idx="527">
                  <c:v>0.11467185095969494</c:v>
                </c:pt>
                <c:pt idx="528">
                  <c:v>0.11450217359198335</c:v>
                </c:pt>
                <c:pt idx="529">
                  <c:v>0.11433318651336893</c:v>
                </c:pt>
                <c:pt idx="530">
                  <c:v>0.11416488595863838</c:v>
                </c:pt>
                <c:pt idx="531">
                  <c:v>0.11399726818991217</c:v>
                </c:pt>
                <c:pt idx="532">
                  <c:v>0.11383032949639675</c:v>
                </c:pt>
                <c:pt idx="533">
                  <c:v>0.11366406619413978</c:v>
                </c:pt>
                <c:pt idx="534">
                  <c:v>0.11349847462578795</c:v>
                </c:pt>
                <c:pt idx="535">
                  <c:v>0.11333355116034713</c:v>
                </c:pt>
                <c:pt idx="536">
                  <c:v>0.1131692921929455</c:v>
                </c:pt>
                <c:pt idx="537">
                  <c:v>0.11300569414459902</c:v>
                </c:pt>
                <c:pt idx="538">
                  <c:v>0.1128427534619794</c:v>
                </c:pt>
                <c:pt idx="539">
                  <c:v>0.11268046661718475</c:v>
                </c:pt>
                <c:pt idx="540">
                  <c:v>0.11251883010751243</c:v>
                </c:pt>
                <c:pt idx="541">
                  <c:v>0.1123578404552345</c:v>
                </c:pt>
                <c:pt idx="542">
                  <c:v>0.11219749420737556</c:v>
                </c:pt>
                <c:pt idx="543">
                  <c:v>0.11203778793549286</c:v>
                </c:pt>
                <c:pt idx="544">
                  <c:v>0.11187871823545888</c:v>
                </c:pt>
                <c:pt idx="545">
                  <c:v>0.1117202817272461</c:v>
                </c:pt>
                <c:pt idx="546">
                  <c:v>0.11156247505471412</c:v>
                </c:pt>
                <c:pt idx="547">
                  <c:v>0.11140529488539903</c:v>
                </c:pt>
                <c:pt idx="548">
                  <c:v>0.11124873791030497</c:v>
                </c:pt>
                <c:pt idx="549">
                  <c:v>0.11109280084369791</c:v>
                </c:pt>
                <c:pt idx="550">
                  <c:v>0.11093748042290158</c:v>
                </c:pt>
                <c:pt idx="551">
                  <c:v>0.11078277340809563</c:v>
                </c:pt>
                <c:pt idx="552">
                  <c:v>0.11062867658211578</c:v>
                </c:pt>
                <c:pt idx="553">
                  <c:v>0.1104751867502561</c:v>
                </c:pt>
                <c:pt idx="554">
                  <c:v>0.1103223007400735</c:v>
                </c:pt>
                <c:pt idx="555">
                  <c:v>0.11017001540119398</c:v>
                </c:pt>
                <c:pt idx="556">
                  <c:v>0.11001832760512116</c:v>
                </c:pt>
                <c:pt idx="557">
                  <c:v>0.10986723424504673</c:v>
                </c:pt>
                <c:pt idx="558">
                  <c:v>0.10971673223566271</c:v>
                </c:pt>
                <c:pt idx="559">
                  <c:v>0.10956681851297588</c:v>
                </c:pt>
                <c:pt idx="560">
                  <c:v>0.10941749003412404</c:v>
                </c:pt>
                <c:pt idx="561">
                  <c:v>0.10926874377719407</c:v>
                </c:pt>
                <c:pt idx="562">
                  <c:v>0.10912057674104206</c:v>
                </c:pt>
                <c:pt idx="563">
                  <c:v>0.10897298594511511</c:v>
                </c:pt>
                <c:pt idx="564">
                  <c:v>0.1088259684292751</c:v>
                </c:pt>
                <c:pt idx="565">
                  <c:v>0.10867952125362412</c:v>
                </c:pt>
                <c:pt idx="566">
                  <c:v>0.10853364149833189</c:v>
                </c:pt>
                <c:pt idx="567">
                  <c:v>0.10838832626346469</c:v>
                </c:pt>
                <c:pt idx="568">
                  <c:v>0.10824357266881625</c:v>
                </c:pt>
                <c:pt idx="569">
                  <c:v>0.10809937785374034</c:v>
                </c:pt>
                <c:pt idx="570">
                  <c:v>0.10795573897698488</c:v>
                </c:pt>
                <c:pt idx="571">
                  <c:v>0.1078126532165279</c:v>
                </c:pt>
                <c:pt idx="572">
                  <c:v>0.10767011776941526</c:v>
                </c:pt>
                <c:pt idx="573">
                  <c:v>0.10752812985159961</c:v>
                </c:pt>
                <c:pt idx="574">
                  <c:v>0.10738668669778154</c:v>
                </c:pt>
                <c:pt idx="575">
                  <c:v>0.10724578556125178</c:v>
                </c:pt>
                <c:pt idx="576">
                  <c:v>0.10710542371373537</c:v>
                </c:pt>
                <c:pt idx="577">
                  <c:v>0.1069655984452373</c:v>
                </c:pt>
                <c:pt idx="578">
                  <c:v>0.10682630706388957</c:v>
                </c:pt>
                <c:pt idx="579">
                  <c:v>0.10668754689579997</c:v>
                </c:pt>
                <c:pt idx="580">
                  <c:v>0.10654931528490216</c:v>
                </c:pt>
                <c:pt idx="581">
                  <c:v>0.10641160959280754</c:v>
                </c:pt>
                <c:pt idx="582">
                  <c:v>0.10627442719865828</c:v>
                </c:pt>
                <c:pt idx="583">
                  <c:v>0.10613776549898198</c:v>
                </c:pt>
                <c:pt idx="584">
                  <c:v>0.10600162190754785</c:v>
                </c:pt>
                <c:pt idx="585">
                  <c:v>0.10586599385522408</c:v>
                </c:pt>
                <c:pt idx="586">
                  <c:v>0.1057308787898369</c:v>
                </c:pt>
                <c:pt idx="587">
                  <c:v>0.10559627417603075</c:v>
                </c:pt>
                <c:pt idx="588">
                  <c:v>0.10546217749513004</c:v>
                </c:pt>
                <c:pt idx="589">
                  <c:v>0.10532858624500228</c:v>
                </c:pt>
                <c:pt idx="590">
                  <c:v>0.10519549793992233</c:v>
                </c:pt>
                <c:pt idx="591">
                  <c:v>0.10506291011043825</c:v>
                </c:pt>
                <c:pt idx="592">
                  <c:v>0.10493082030323828</c:v>
                </c:pt>
                <c:pt idx="593">
                  <c:v>0.10479922608101923</c:v>
                </c:pt>
                <c:pt idx="594">
                  <c:v>0.10466812502235613</c:v>
                </c:pt>
                <c:pt idx="595">
                  <c:v>0.10453751472157308</c:v>
                </c:pt>
                <c:pt idx="596">
                  <c:v>0.10440739278861551</c:v>
                </c:pt>
                <c:pt idx="597">
                  <c:v>0.10427775684892343</c:v>
                </c:pt>
                <c:pt idx="598">
                  <c:v>0.10414860454330627</c:v>
                </c:pt>
                <c:pt idx="599">
                  <c:v>0.10401993352781859</c:v>
                </c:pt>
                <c:pt idx="600">
                  <c:v>0.10389174147363717</c:v>
                </c:pt>
                <c:pt idx="601">
                  <c:v>0.10376402606693928</c:v>
                </c:pt>
                <c:pt idx="602">
                  <c:v>0.1036367850087821</c:v>
                </c:pt>
                <c:pt idx="603">
                  <c:v>0.10351001601498321</c:v>
                </c:pt>
                <c:pt idx="604">
                  <c:v>0.10338371681600243</c:v>
                </c:pt>
                <c:pt idx="605">
                  <c:v>0.10325788515682469</c:v>
                </c:pt>
                <c:pt idx="606">
                  <c:v>0.10313251879684381</c:v>
                </c:pt>
                <c:pt idx="607">
                  <c:v>0.10300761550974792</c:v>
                </c:pt>
                <c:pt idx="608">
                  <c:v>0.10288317308340537</c:v>
                </c:pt>
                <c:pt idx="609">
                  <c:v>0.10275918931975217</c:v>
                </c:pt>
                <c:pt idx="610">
                  <c:v>0.10263566203468028</c:v>
                </c:pt>
                <c:pt idx="611">
                  <c:v>0.10251258905792698</c:v>
                </c:pt>
                <c:pt idx="612">
                  <c:v>0.10238996823296551</c:v>
                </c:pt>
                <c:pt idx="613">
                  <c:v>0.10226779741689633</c:v>
                </c:pt>
                <c:pt idx="614">
                  <c:v>0.10214607448033987</c:v>
                </c:pt>
                <c:pt idx="615">
                  <c:v>0.10202479730732988</c:v>
                </c:pt>
                <c:pt idx="616">
                  <c:v>0.10190396379520818</c:v>
                </c:pt>
                <c:pt idx="617">
                  <c:v>0.10178357185452</c:v>
                </c:pt>
                <c:pt idx="618">
                  <c:v>0.1016636194089106</c:v>
                </c:pt>
                <c:pt idx="619">
                  <c:v>0.10154410439502289</c:v>
                </c:pt>
                <c:pt idx="620">
                  <c:v>0.10142502476239559</c:v>
                </c:pt>
                <c:pt idx="621">
                  <c:v>0.10130637847336295</c:v>
                </c:pt>
                <c:pt idx="622">
                  <c:v>0.10118816350295488</c:v>
                </c:pt>
                <c:pt idx="623">
                  <c:v>0.10107037783879833</c:v>
                </c:pt>
                <c:pt idx="624">
                  <c:v>0.10095301948101945</c:v>
                </c:pt>
                <c:pt idx="625">
                  <c:v>0.10083608644214673</c:v>
                </c:pt>
                <c:pt idx="626">
                  <c:v>0.10071957674701498</c:v>
                </c:pt>
                <c:pt idx="627">
                  <c:v>0.1006034884326702</c:v>
                </c:pt>
                <c:pt idx="628">
                  <c:v>0.10048781954827539</c:v>
                </c:pt>
                <c:pt idx="629">
                  <c:v>0.10037256815501729</c:v>
                </c:pt>
                <c:pt idx="630">
                  <c:v>0.10025773232601366</c:v>
                </c:pt>
                <c:pt idx="631">
                  <c:v>0.10014331014622192</c:v>
                </c:pt>
                <c:pt idx="632">
                  <c:v>0.10002929971234811</c:v>
                </c:pt>
                <c:pt idx="633">
                  <c:v>9.9915699132757066E-2</c:v>
                </c:pt>
                <c:pt idx="634">
                  <c:v>9.9802506527383303E-2</c:v>
                </c:pt>
                <c:pt idx="635">
                  <c:v>9.9689720027642592E-2</c:v>
                </c:pt>
                <c:pt idx="636">
                  <c:v>9.9577337776344574E-2</c:v>
                </c:pt>
                <c:pt idx="637">
                  <c:v>9.9465357927605913E-2</c:v>
                </c:pt>
                <c:pt idx="638">
                  <c:v>9.9353778646764507E-2</c:v>
                </c:pt>
                <c:pt idx="639">
                  <c:v>9.9242598110294261E-2</c:v>
                </c:pt>
                <c:pt idx="640">
                  <c:v>9.9131814505720742E-2</c:v>
                </c:pt>
                <c:pt idx="641">
                  <c:v>9.9021426031537657E-2</c:v>
                </c:pt>
                <c:pt idx="642">
                  <c:v>9.8911430897123856E-2</c:v>
                </c:pt>
                <c:pt idx="643">
                  <c:v>9.8801827322661392E-2</c:v>
                </c:pt>
                <c:pt idx="644">
                  <c:v>9.8692613539054105E-2</c:v>
                </c:pt>
                <c:pt idx="645">
                  <c:v>9.8583787787847002E-2</c:v>
                </c:pt>
                <c:pt idx="646">
                  <c:v>9.8475348321146405E-2</c:v>
                </c:pt>
                <c:pt idx="647">
                  <c:v>9.8367293401540726E-2</c:v>
                </c:pt>
                <c:pt idx="648">
                  <c:v>9.8259621302022052E-2</c:v>
                </c:pt>
                <c:pt idx="649">
                  <c:v>9.8152330305908392E-2</c:v>
                </c:pt>
                <c:pt idx="650">
                  <c:v>9.8045418706766557E-2</c:v>
                </c:pt>
                <c:pt idx="651">
                  <c:v>9.7938884808335916E-2</c:v>
                </c:pt>
                <c:pt idx="652">
                  <c:v>9.7832726924452551E-2</c:v>
                </c:pt>
                <c:pt idx="653">
                  <c:v>9.7726943378974335E-2</c:v>
                </c:pt>
                <c:pt idx="654">
                  <c:v>9.7621532505706626E-2</c:v>
                </c:pt>
                <c:pt idx="655">
                  <c:v>9.7516492648328457E-2</c:v>
                </c:pt>
                <c:pt idx="656">
                  <c:v>9.7411822160319628E-2</c:v>
                </c:pt>
                <c:pt idx="657">
                  <c:v>9.7307519404888243E-2</c:v>
                </c:pt>
                <c:pt idx="658">
                  <c:v>9.7203582754898973E-2</c:v>
                </c:pt>
                <c:pt idx="659">
                  <c:v>9.7100010592802058E-2</c:v>
                </c:pt>
                <c:pt idx="660">
                  <c:v>9.6996801310562639E-2</c:v>
                </c:pt>
                <c:pt idx="661">
                  <c:v>9.6893953309591052E-2</c:v>
                </c:pt>
                <c:pt idx="662">
                  <c:v>9.679146500067351E-2</c:v>
                </c:pt>
                <c:pt idx="663">
                  <c:v>9.6689334803903459E-2</c:v>
                </c:pt>
                <c:pt idx="664">
                  <c:v>9.6587561148613596E-2</c:v>
                </c:pt>
                <c:pt idx="665">
                  <c:v>9.6486142473308389E-2</c:v>
                </c:pt>
                <c:pt idx="666">
                  <c:v>9.6385077225597263E-2</c:v>
                </c:pt>
                <c:pt idx="667">
                  <c:v>9.6284363862128242E-2</c:v>
                </c:pt>
                <c:pt idx="668">
                  <c:v>9.6184000848522355E-2</c:v>
                </c:pt>
                <c:pt idx="669">
                  <c:v>9.6083986659308548E-2</c:v>
                </c:pt>
                <c:pt idx="670">
                  <c:v>9.598431977785897E-2</c:v>
                </c:pt>
                <c:pt idx="671">
                  <c:v>9.5884998696325191E-2</c:v>
                </c:pt>
                <c:pt idx="672">
                  <c:v>9.5786021915574629E-2</c:v>
                </c:pt>
                <c:pt idx="673">
                  <c:v>9.5687387945127683E-2</c:v>
                </c:pt>
                <c:pt idx="674">
                  <c:v>9.5589095303095437E-2</c:v>
                </c:pt>
                <c:pt idx="675">
                  <c:v>9.5491142516117844E-2</c:v>
                </c:pt>
                <c:pt idx="676">
                  <c:v>9.5393528119302406E-2</c:v>
                </c:pt>
                <c:pt idx="677">
                  <c:v>9.5296250656163511E-2</c:v>
                </c:pt>
                <c:pt idx="678">
                  <c:v>9.519930867856212E-2</c:v>
                </c:pt>
                <c:pt idx="679">
                  <c:v>9.510270074664616E-2</c:v>
                </c:pt>
                <c:pt idx="680">
                  <c:v>9.5006425428791258E-2</c:v>
                </c:pt>
                <c:pt idx="681">
                  <c:v>9.4910481301542102E-2</c:v>
                </c:pt>
                <c:pt idx="682">
                  <c:v>9.4814866949554225E-2</c:v>
                </c:pt>
                <c:pt idx="683">
                  <c:v>9.4719580965536287E-2</c:v>
                </c:pt>
                <c:pt idx="684">
                  <c:v>9.4624621950193E-2</c:v>
                </c:pt>
                <c:pt idx="685">
                  <c:v>9.4529988512168289E-2</c:v>
                </c:pt>
                <c:pt idx="686">
                  <c:v>9.4435679267989139E-2</c:v>
                </c:pt>
                <c:pt idx="687">
                  <c:v>9.43416928420098E-2</c:v>
                </c:pt>
                <c:pt idx="688">
                  <c:v>9.4248027866356526E-2</c:v>
                </c:pt>
                <c:pt idx="689">
                  <c:v>9.4154682980872845E-2</c:v>
                </c:pt>
                <c:pt idx="690">
                  <c:v>9.4061656833065027E-2</c:v>
                </c:pt>
                <c:pt idx="691">
                  <c:v>9.3968948078048398E-2</c:v>
                </c:pt>
                <c:pt idx="692">
                  <c:v>9.3876555378493765E-2</c:v>
                </c:pt>
                <c:pt idx="693">
                  <c:v>9.3784477404574504E-2</c:v>
                </c:pt>
                <c:pt idx="694">
                  <c:v>9.3692712833914005E-2</c:v>
                </c:pt>
                <c:pt idx="695">
                  <c:v>9.360126035153353E-2</c:v>
                </c:pt>
                <c:pt idx="696">
                  <c:v>9.3510118649800661E-2</c:v>
                </c:pt>
                <c:pt idx="697">
                  <c:v>9.3419286428377935E-2</c:v>
                </c:pt>
                <c:pt idx="698">
                  <c:v>9.3328762394172135E-2</c:v>
                </c:pt>
                <c:pt idx="699">
                  <c:v>9.3238545261283889E-2</c:v>
                </c:pt>
                <c:pt idx="700">
                  <c:v>9.3148633750957721E-2</c:v>
                </c:pt>
                <c:pt idx="701">
                  <c:v>9.3059026591532465E-2</c:v>
                </c:pt>
                <c:pt idx="702">
                  <c:v>9.2969722518392195E-2</c:v>
                </c:pt>
                <c:pt idx="703">
                  <c:v>9.2880720273917472E-2</c:v>
                </c:pt>
                <c:pt idx="704">
                  <c:v>9.2792018607437035E-2</c:v>
                </c:pt>
                <c:pt idx="705">
                  <c:v>9.2703616275179868E-2</c:v>
                </c:pt>
                <c:pt idx="706">
                  <c:v>9.2615512040227707E-2</c:v>
                </c:pt>
                <c:pt idx="707">
                  <c:v>9.2527704672467848E-2</c:v>
                </c:pt>
                <c:pt idx="708">
                  <c:v>9.244019294854651E-2</c:v>
                </c:pt>
                <c:pt idx="709">
                  <c:v>9.2352975651822336E-2</c:v>
                </c:pt>
                <c:pt idx="710">
                  <c:v>9.2266051572320595E-2</c:v>
                </c:pt>
                <c:pt idx="711">
                  <c:v>9.2179419506687413E-2</c:v>
                </c:pt>
                <c:pt idx="712">
                  <c:v>9.2093078258144612E-2</c:v>
                </c:pt>
                <c:pt idx="713">
                  <c:v>9.2007026636444944E-2</c:v>
                </c:pt>
                <c:pt idx="714">
                  <c:v>9.1921263457827432E-2</c:v>
                </c:pt>
                <c:pt idx="715">
                  <c:v>9.1835787544973374E-2</c:v>
                </c:pt>
                <c:pt idx="716">
                  <c:v>9.1750597726962563E-2</c:v>
                </c:pt>
                <c:pt idx="717">
                  <c:v>9.1665692839229818E-2</c:v>
                </c:pt>
                <c:pt idx="718">
                  <c:v>9.1581071723521965E-2</c:v>
                </c:pt>
                <c:pt idx="719">
                  <c:v>9.1496733227855162E-2</c:v>
                </c:pt>
                <c:pt idx="720">
                  <c:v>9.1412676206472449E-2</c:v>
                </c:pt>
                <c:pt idx="721">
                  <c:v>9.1328899519801859E-2</c:v>
                </c:pt>
                <c:pt idx="722">
                  <c:v>9.1245402034414641E-2</c:v>
                </c:pt>
                <c:pt idx="723">
                  <c:v>9.1162182622983923E-2</c:v>
                </c:pt>
                <c:pt idx="724">
                  <c:v>9.1079240164243763E-2</c:v>
                </c:pt>
                <c:pt idx="725">
                  <c:v>9.0996573542948392E-2</c:v>
                </c:pt>
                <c:pt idx="726">
                  <c:v>9.0914181649832018E-2</c:v>
                </c:pt>
                <c:pt idx="727">
                  <c:v>9.0832063381568573E-2</c:v>
                </c:pt>
                <c:pt idx="728">
                  <c:v>9.075021764073217E-2</c:v>
                </c:pt>
                <c:pt idx="729">
                  <c:v>9.0668643335757707E-2</c:v>
                </c:pt>
                <c:pt idx="730">
                  <c:v>9.0587339380901702E-2</c:v>
                </c:pt>
                <c:pt idx="731">
                  <c:v>9.0506304696203688E-2</c:v>
                </c:pt>
                <c:pt idx="732">
                  <c:v>9.0425538207447531E-2</c:v>
                </c:pt>
                <c:pt idx="733">
                  <c:v>9.0345038846123563E-2</c:v>
                </c:pt>
                <c:pt idx="734">
                  <c:v>9.0264805549390537E-2</c:v>
                </c:pt>
                <c:pt idx="735">
                  <c:v>9.018483726003812E-2</c:v>
                </c:pt>
                <c:pt idx="736">
                  <c:v>9.0105132926449755E-2</c:v>
                </c:pt>
                <c:pt idx="737">
                  <c:v>9.0025691502565591E-2</c:v>
                </c:pt>
                <c:pt idx="738">
                  <c:v>8.994651194784592E-2</c:v>
                </c:pt>
                <c:pt idx="739">
                  <c:v>8.9867593227234768E-2</c:v>
                </c:pt>
                <c:pt idx="740">
                  <c:v>8.9788934311123753E-2</c:v>
                </c:pt>
                <c:pt idx="741">
                  <c:v>8.9710534175316492E-2</c:v>
                </c:pt>
                <c:pt idx="742">
                  <c:v>8.9632391800992833E-2</c:v>
                </c:pt>
                <c:pt idx="743">
                  <c:v>8.9554506174673851E-2</c:v>
                </c:pt>
                <c:pt idx="744">
                  <c:v>8.9476876288186749E-2</c:v>
                </c:pt>
                <c:pt idx="745">
                  <c:v>8.9399501138630183E-2</c:v>
                </c:pt>
                <c:pt idx="746">
                  <c:v>8.9322379728340007E-2</c:v>
                </c:pt>
                <c:pt idx="747">
                  <c:v>8.9245511064854871E-2</c:v>
                </c:pt>
                <c:pt idx="748">
                  <c:v>8.9168894160882625E-2</c:v>
                </c:pt>
                <c:pt idx="749">
                  <c:v>8.9092528034266497E-2</c:v>
                </c:pt>
                <c:pt idx="750">
                  <c:v>8.901641170795184E-2</c:v>
                </c:pt>
                <c:pt idx="751">
                  <c:v>8.8940544209953065E-2</c:v>
                </c:pt>
                <c:pt idx="752">
                  <c:v>8.8864924573320764E-2</c:v>
                </c:pt>
                <c:pt idx="753">
                  <c:v>8.8789551836109121E-2</c:v>
                </c:pt>
                <c:pt idx="754">
                  <c:v>8.871442504134365E-2</c:v>
                </c:pt>
                <c:pt idx="755">
                  <c:v>8.8639543236989055E-2</c:v>
                </c:pt>
                <c:pt idx="756">
                  <c:v>8.8564905475917485E-2</c:v>
                </c:pt>
                <c:pt idx="757">
                  <c:v>8.8490510815876861E-2</c:v>
                </c:pt>
                <c:pt idx="758">
                  <c:v>8.841635831945964E-2</c:v>
                </c:pt>
                <c:pt idx="759">
                  <c:v>8.8342447054071613E-2</c:v>
                </c:pt>
                <c:pt idx="760">
                  <c:v>8.8268776091901133E-2</c:v>
                </c:pt>
                <c:pt idx="761">
                  <c:v>8.819534450988846E-2</c:v>
                </c:pt>
                <c:pt idx="762">
                  <c:v>8.8122151389695424E-2</c:v>
                </c:pt>
                <c:pt idx="763">
                  <c:v>8.8049195817675147E-2</c:v>
                </c:pt>
                <c:pt idx="764">
                  <c:v>8.7976476884842308E-2</c:v>
                </c:pt>
                <c:pt idx="765">
                  <c:v>8.7903993686843332E-2</c:v>
                </c:pt>
                <c:pt idx="766">
                  <c:v>8.7831745323926957E-2</c:v>
                </c:pt>
                <c:pt idx="767">
                  <c:v>8.7759730900914934E-2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8-42AE-BB9E-68E22299EA82}"/>
            </c:ext>
          </c:extLst>
        </c:ser>
        <c:ser>
          <c:idx val="1"/>
          <c:order val="1"/>
          <c:tx>
            <c:strRef>
              <c:f>Constraints!$C$20</c:f>
              <c:strCache>
                <c:ptCount val="1"/>
                <c:pt idx="0">
                  <c:v>T/Wcruise,max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Constraints!$C$22:$C$789</c:f>
              <c:numCache>
                <c:formatCode>0.000</c:formatCode>
                <c:ptCount val="768"/>
                <c:pt idx="0">
                  <c:v>4.4337020632137696</c:v>
                </c:pt>
                <c:pt idx="1">
                  <c:v>4.2225981650557367</c:v>
                </c:pt>
                <c:pt idx="2">
                  <c:v>4.0306866838076258</c:v>
                </c:pt>
                <c:pt idx="3">
                  <c:v>3.8554642607420542</c:v>
                </c:pt>
                <c:pt idx="4">
                  <c:v>3.6948447635862052</c:v>
                </c:pt>
                <c:pt idx="5">
                  <c:v>3.5470758412309129</c:v>
                </c:pt>
                <c:pt idx="6">
                  <c:v>3.4106747350453426</c:v>
                </c:pt>
                <c:pt idx="7">
                  <c:v>3.2843783543439695</c:v>
                </c:pt>
                <c:pt idx="8">
                  <c:v>3.1671040499677732</c:v>
                </c:pt>
                <c:pt idx="9">
                  <c:v>3.0579185036762189</c:v>
                </c:pt>
                <c:pt idx="10">
                  <c:v>2.9560128396608407</c:v>
                </c:pt>
                <c:pt idx="11">
                  <c:v>2.8606825531852351</c:v>
                </c:pt>
                <c:pt idx="12">
                  <c:v>2.771311202605049</c:v>
                </c:pt>
                <c:pt idx="13">
                  <c:v>2.687357066475244</c:v>
                </c:pt>
                <c:pt idx="14">
                  <c:v>2.608342155285492</c:v>
                </c:pt>
                <c:pt idx="15">
                  <c:v>2.533843106898074</c:v>
                </c:pt>
                <c:pt idx="16">
                  <c:v>2.4634835994127964</c:v>
                </c:pt>
                <c:pt idx="17">
                  <c:v>2.3969279943781339</c:v>
                </c:pt>
                <c:pt idx="18">
                  <c:v>2.3338759837058793</c:v>
                </c:pt>
                <c:pt idx="19">
                  <c:v>2.2740580601373868</c:v>
                </c:pt>
                <c:pt idx="20">
                  <c:v>2.217231667139874</c:v>
                </c:pt>
                <c:pt idx="21">
                  <c:v>2.1631779122325372</c:v>
                </c:pt>
                <c:pt idx="22">
                  <c:v>2.1116987498375068</c:v>
                </c:pt>
                <c:pt idx="23">
                  <c:v>2.0626145572213668</c:v>
                </c:pt>
                <c:pt idx="24">
                  <c:v>2.0157620409901011</c:v>
                </c:pt>
                <c:pt idx="25">
                  <c:v>1.9709924227180513</c:v>
                </c:pt>
                <c:pt idx="26">
                  <c:v>1.9281698612339646</c:v>
                </c:pt>
                <c:pt idx="27">
                  <c:v>1.8871700763173327</c:v>
                </c:pt>
                <c:pt idx="28">
                  <c:v>1.8478791444326896</c:v>
                </c:pt>
                <c:pt idx="29">
                  <c:v>1.8101924419250155</c:v>
                </c:pt>
                <c:pt idx="30">
                  <c:v>1.7740137150316928</c:v>
                </c:pt>
                <c:pt idx="31">
                  <c:v>1.7392542593048175</c:v>
                </c:pt>
                <c:pt idx="32">
                  <c:v>1.7058321937155569</c:v>
                </c:pt>
                <c:pt idx="33">
                  <c:v>1.6736718169353664</c:v>
                </c:pt>
                <c:pt idx="34">
                  <c:v>1.6427030351415199</c:v>
                </c:pt>
                <c:pt idx="35">
                  <c:v>1.6128608522438534</c:v>
                </c:pt>
                <c:pt idx="36">
                  <c:v>1.5840849147300713</c:v>
                </c:pt>
                <c:pt idx="37">
                  <c:v>1.5563191044220748</c:v>
                </c:pt>
                <c:pt idx="38">
                  <c:v>1.5295111733609434</c:v>
                </c:pt>
                <c:pt idx="39">
                  <c:v>1.5036124158222608</c:v>
                </c:pt>
                <c:pt idx="40">
                  <c:v>1.4785773731299039</c:v>
                </c:pt>
                <c:pt idx="41">
                  <c:v>1.4543635675045459</c:v>
                </c:pt>
                <c:pt idx="42">
                  <c:v>1.4309312616687506</c:v>
                </c:pt>
                <c:pt idx="43">
                  <c:v>1.4082432413468251</c:v>
                </c:pt>
                <c:pt idx="44">
                  <c:v>1.3862646181553071</c:v>
                </c:pt>
                <c:pt idx="45">
                  <c:v>1.3649626506881771</c:v>
                </c:pt>
                <c:pt idx="46">
                  <c:v>1.3443065818670541</c:v>
                </c:pt>
                <c:pt idx="47">
                  <c:v>1.3242674908570418</c:v>
                </c:pt>
                <c:pt idx="48">
                  <c:v>1.3048181580488274</c:v>
                </c:pt>
                <c:pt idx="49">
                  <c:v>1.2859329417814624</c:v>
                </c:pt>
                <c:pt idx="50">
                  <c:v>1.2675876656317679</c:v>
                </c:pt>
                <c:pt idx="51">
                  <c:v>1.2497595152285748</c:v>
                </c:pt>
                <c:pt idx="52">
                  <c:v>1.2324269436657784</c:v>
                </c:pt>
                <c:pt idx="53">
                  <c:v>1.2155695846896644</c:v>
                </c:pt>
                <c:pt idx="54">
                  <c:v>1.1991681729250967</c:v>
                </c:pt>
                <c:pt idx="55">
                  <c:v>1.1832044704836133</c:v>
                </c:pt>
                <c:pt idx="56">
                  <c:v>1.1676611993656187</c:v>
                </c:pt>
                <c:pt idx="57">
                  <c:v>1.1525219791299388</c:v>
                </c:pt>
                <c:pt idx="58">
                  <c:v>1.137771269358022</c:v>
                </c:pt>
                <c:pt idx="59">
                  <c:v>1.1233943164879541</c:v>
                </c:pt>
                <c:pt idx="60">
                  <c:v>1.1093771046359151</c:v>
                </c:pt>
                <c:pt idx="61">
                  <c:v>1.0957063100604969</c:v>
                </c:pt>
                <c:pt idx="62">
                  <c:v>1.0823692589588962</c:v>
                </c:pt>
                <c:pt idx="63">
                  <c:v>1.069353888313987</c:v>
                </c:pt>
                <c:pt idx="64">
                  <c:v>1.0566487095380306</c:v>
                </c:pt>
                <c:pt idx="65">
                  <c:v>1.0442427746827105</c:v>
                </c:pt>
                <c:pt idx="66">
                  <c:v>1.0321256450066099</c:v>
                </c:pt>
                <c:pt idx="67">
                  <c:v>1.0202873617104447</c:v>
                </c:pt>
                <c:pt idx="68">
                  <c:v>1.0087184186676266</c:v>
                </c:pt>
                <c:pt idx="69">
                  <c:v>0.99740973699321067</c:v>
                </c:pt>
                <c:pt idx="70">
                  <c:v>0.98635264130825107</c:v>
                </c:pt>
                <c:pt idx="71">
                  <c:v>0.97553883756913884</c:v>
                </c:pt>
                <c:pt idx="72">
                  <c:v>0.96496039234285713</c:v>
                </c:pt>
                <c:pt idx="73">
                  <c:v>0.95460971341931511</c:v>
                </c:pt>
                <c:pt idx="74">
                  <c:v>0.9444795316611907</c:v>
                </c:pt>
                <c:pt idx="75">
                  <c:v>0.93456288400010268</c:v>
                </c:pt>
                <c:pt idx="76">
                  <c:v>0.92485309749551858</c:v>
                </c:pt>
                <c:pt idx="77">
                  <c:v>0.91534377437971148</c:v>
                </c:pt>
                <c:pt idx="78">
                  <c:v>0.90602877801833093</c:v>
                </c:pt>
                <c:pt idx="79">
                  <c:v>0.89690221972184925</c:v>
                </c:pt>
                <c:pt idx="80">
                  <c:v>0.887958446348319</c:v>
                </c:pt>
                <c:pt idx="81">
                  <c:v>0.87919202864260326</c:v>
                </c:pt>
                <c:pt idx="82">
                  <c:v>0.87059775026153086</c:v>
                </c:pt>
                <c:pt idx="83">
                  <c:v>0.86217059743836477</c:v>
                </c:pt>
                <c:pt idx="84">
                  <c:v>0.85390574924355012</c:v>
                </c:pt>
                <c:pt idx="85">
                  <c:v>0.84579856840199086</c:v>
                </c:pt>
                <c:pt idx="86">
                  <c:v>0.83784459263010425</c:v>
                </c:pt>
                <c:pt idx="87">
                  <c:v>0.83003952645864743</c:v>
                </c:pt>
                <c:pt idx="88">
                  <c:v>0.82237923350983044</c:v>
                </c:pt>
                <c:pt idx="89">
                  <c:v>0.81485972919954419</c:v>
                </c:pt>
                <c:pt idx="90">
                  <c:v>0.80747717383764661</c:v>
                </c:pt>
                <c:pt idx="91">
                  <c:v>0.80022786610120855</c:v>
                </c:pt>
                <c:pt idx="92">
                  <c:v>0.79310823685740506</c:v>
                </c:pt>
                <c:pt idx="93">
                  <c:v>0.78611484331439641</c:v>
                </c:pt>
                <c:pt idx="94">
                  <c:v>0.77924436348005621</c:v>
                </c:pt>
                <c:pt idx="95">
                  <c:v>0.77249359090981073</c:v>
                </c:pt>
                <c:pt idx="96">
                  <c:v>0.76585942972614007</c:v>
                </c:pt>
                <c:pt idx="97">
                  <c:v>0.75933888989349119</c:v>
                </c:pt>
                <c:pt idx="98">
                  <c:v>0.75292908273344805</c:v>
                </c:pt>
                <c:pt idx="99">
                  <c:v>0.74662721666602916</c:v>
                </c:pt>
                <c:pt idx="100">
                  <c:v>0.74043059316391913</c:v>
                </c:pt>
                <c:pt idx="101">
                  <c:v>0.73433660290731662</c:v>
                </c:pt>
                <c:pt idx="102">
                  <c:v>0.72834272212788953</c:v>
                </c:pt>
                <c:pt idx="103">
                  <c:v>0.72244650913107267</c:v>
                </c:pt>
                <c:pt idx="104">
                  <c:v>0.71664560098664143</c:v>
                </c:pt>
                <c:pt idx="105">
                  <c:v>0.7109377103781388</c:v>
                </c:pt>
                <c:pt idx="106">
                  <c:v>0.7053206226023282</c:v>
                </c:pt>
                <c:pt idx="107">
                  <c:v>0.69979219271040605</c:v>
                </c:pt>
                <c:pt idx="108">
                  <c:v>0.6943503427832185</c:v>
                </c:pt>
                <c:pt idx="109">
                  <c:v>0.68899305933321375</c:v>
                </c:pt>
                <c:pt idx="110">
                  <c:v>0.68371839082630304</c:v>
                </c:pt>
                <c:pt idx="111">
                  <c:v>0.67852444531722433</c:v>
                </c:pt>
                <c:pt idx="112">
                  <c:v>0.67340938819239093</c:v>
                </c:pt>
                <c:pt idx="113">
                  <c:v>0.66837144001456383</c:v>
                </c:pt>
                <c:pt idx="114">
                  <c:v>0.66340887446403429</c:v>
                </c:pt>
                <c:pt idx="115">
                  <c:v>0.65852001637130675</c:v>
                </c:pt>
                <c:pt idx="116">
                  <c:v>0.65370323983657652</c:v>
                </c:pt>
                <c:pt idx="117">
                  <c:v>0.64895696643156653</c:v>
                </c:pt>
                <c:pt idx="118">
                  <c:v>0.64427966347954346</c:v>
                </c:pt>
                <c:pt idx="119">
                  <c:v>0.63966984240957991</c:v>
                </c:pt>
                <c:pt idx="120">
                  <c:v>0.63512605718134563</c:v>
                </c:pt>
                <c:pt idx="121">
                  <c:v>0.63064690277693192</c:v>
                </c:pt>
                <c:pt idx="122">
                  <c:v>0.62623101375639856</c:v>
                </c:pt>
                <c:pt idx="123">
                  <c:v>0.62187706287393008</c:v>
                </c:pt>
                <c:pt idx="124">
                  <c:v>0.61758375975164992</c:v>
                </c:pt>
                <c:pt idx="125">
                  <c:v>0.61334984960831296</c:v>
                </c:pt>
                <c:pt idx="126">
                  <c:v>0.6091741120402423</c:v>
                </c:pt>
                <c:pt idx="127">
                  <c:v>0.6050553598520243</c:v>
                </c:pt>
                <c:pt idx="128">
                  <c:v>0.60099243793460799</c:v>
                </c:pt>
                <c:pt idx="129">
                  <c:v>0.59698422218858083</c:v>
                </c:pt>
                <c:pt idx="130">
                  <c:v>0.59302961849051561</c:v>
                </c:pt>
                <c:pt idx="131">
                  <c:v>0.58912756170038627</c:v>
                </c:pt>
                <c:pt idx="132">
                  <c:v>0.58527701470816784</c:v>
                </c:pt>
                <c:pt idx="133">
                  <c:v>0.58147696751782296</c:v>
                </c:pt>
                <c:pt idx="134">
                  <c:v>0.57772643636697729</c:v>
                </c:pt>
                <c:pt idx="135">
                  <c:v>0.57402446288067288</c:v>
                </c:pt>
                <c:pt idx="136">
                  <c:v>0.5703701132576684</c:v>
                </c:pt>
                <c:pt idx="137">
                  <c:v>0.56676247748783737</c:v>
                </c:pt>
                <c:pt idx="138">
                  <c:v>0.56320066859928386</c:v>
                </c:pt>
                <c:pt idx="139">
                  <c:v>0.55968382193387067</c:v>
                </c:pt>
                <c:pt idx="140">
                  <c:v>0.55621109444991379</c:v>
                </c:pt>
                <c:pt idx="141">
                  <c:v>0.55278166405086449</c:v>
                </c:pt>
                <c:pt idx="142">
                  <c:v>0.5493947289388541</c:v>
                </c:pt>
                <c:pt idx="143">
                  <c:v>0.54604950699203536</c:v>
                </c:pt>
                <c:pt idx="144">
                  <c:v>0.5427452351647033</c:v>
                </c:pt>
                <c:pt idx="145">
                  <c:v>0.53948116890923103</c:v>
                </c:pt>
                <c:pt idx="146">
                  <c:v>0.53625658161889822</c:v>
                </c:pt>
                <c:pt idx="147">
                  <c:v>0.53307076409073828</c:v>
                </c:pt>
                <c:pt idx="148">
                  <c:v>0.52992302400756941</c:v>
                </c:pt>
                <c:pt idx="149">
                  <c:v>0.52681268543841553</c:v>
                </c:pt>
                <c:pt idx="150">
                  <c:v>0.5237390883565588</c:v>
                </c:pt>
                <c:pt idx="151">
                  <c:v>0.52070158817450285</c:v>
                </c:pt>
                <c:pt idx="152">
                  <c:v>0.51769955529515788</c:v>
                </c:pt>
                <c:pt idx="153">
                  <c:v>0.51473237467859267</c:v>
                </c:pt>
                <c:pt idx="154">
                  <c:v>0.5117994454237248</c:v>
                </c:pt>
                <c:pt idx="155">
                  <c:v>0.50890018036435369</c:v>
                </c:pt>
                <c:pt idx="156">
                  <c:v>0.50603400567896517</c:v>
                </c:pt>
                <c:pt idx="157">
                  <c:v>0.50320036051376293</c:v>
                </c:pt>
                <c:pt idx="158">
                  <c:v>0.50039869661840675</c:v>
                </c:pt>
                <c:pt idx="159">
                  <c:v>0.49762847799396076</c:v>
                </c:pt>
                <c:pt idx="160">
                  <c:v>0.49488918055257636</c:v>
                </c:pt>
                <c:pt idx="161">
                  <c:v>0.49218029178845696</c:v>
                </c:pt>
                <c:pt idx="162">
                  <c:v>0.48950131045966966</c:v>
                </c:pt>
                <c:pt idx="163">
                  <c:v>0.4868517462803893</c:v>
                </c:pt>
                <c:pt idx="164">
                  <c:v>0.48423111962317827</c:v>
                </c:pt>
                <c:pt idx="165">
                  <c:v>0.48163896123092204</c:v>
                </c:pt>
                <c:pt idx="166">
                  <c:v>0.47907481193805673</c:v>
                </c:pt>
                <c:pt idx="167">
                  <c:v>0.47653822240074167</c:v>
                </c:pt>
                <c:pt idx="168">
                  <c:v>0.47402875283564394</c:v>
                </c:pt>
                <c:pt idx="169">
                  <c:v>0.47154597276701388</c:v>
                </c:pt>
                <c:pt idx="170">
                  <c:v>0.4690894607817494</c:v>
                </c:pt>
                <c:pt idx="171">
                  <c:v>0.46665880429215373</c:v>
                </c:pt>
                <c:pt idx="172">
                  <c:v>0.46425359930610677</c:v>
                </c:pt>
                <c:pt idx="173">
                  <c:v>0.46187345020438275</c:v>
                </c:pt>
                <c:pt idx="174">
                  <c:v>0.45951796952485274</c:v>
                </c:pt>
                <c:pt idx="175">
                  <c:v>0.45718677775332917</c:v>
                </c:pt>
                <c:pt idx="176">
                  <c:v>0.45487950312081193</c:v>
                </c:pt>
                <c:pt idx="177">
                  <c:v>0.45259578140691009</c:v>
                </c:pt>
                <c:pt idx="178">
                  <c:v>0.45033525574922051</c:v>
                </c:pt>
                <c:pt idx="179">
                  <c:v>0.44809757645845333</c:v>
                </c:pt>
                <c:pt idx="180">
                  <c:v>0.44588240083910485</c:v>
                </c:pt>
                <c:pt idx="181">
                  <c:v>0.44368939301548221</c:v>
                </c:pt>
                <c:pt idx="182">
                  <c:v>0.4415182237628964</c:v>
                </c:pt>
                <c:pt idx="183">
                  <c:v>0.43936857034384447</c:v>
                </c:pt>
                <c:pt idx="184">
                  <c:v>0.43724011634900967</c:v>
                </c:pt>
                <c:pt idx="185">
                  <c:v>0.43513255154291575</c:v>
                </c:pt>
                <c:pt idx="186">
                  <c:v>0.43304557171407609</c:v>
                </c:pt>
                <c:pt idx="187">
                  <c:v>0.43097887852948707</c:v>
                </c:pt>
                <c:pt idx="188">
                  <c:v>0.42893217939331818</c:v>
                </c:pt>
                <c:pt idx="189">
                  <c:v>0.42690518730965898</c:v>
                </c:pt>
                <c:pt idx="190">
                  <c:v>0.42489762074918802</c:v>
                </c:pt>
                <c:pt idx="191">
                  <c:v>0.42290920351963235</c:v>
                </c:pt>
                <c:pt idx="192">
                  <c:v>0.42093966463989413</c:v>
                </c:pt>
                <c:pt idx="193">
                  <c:v>0.41898873821772259</c:v>
                </c:pt>
                <c:pt idx="194">
                  <c:v>0.41705616333081519</c:v>
                </c:pt>
                <c:pt idx="195">
                  <c:v>0.41514168391123812</c:v>
                </c:pt>
                <c:pt idx="196">
                  <c:v>0.41324504863305622</c:v>
                </c:pt>
                <c:pt idx="197">
                  <c:v>0.41136601080307039</c:v>
                </c:pt>
                <c:pt idx="198">
                  <c:v>0.40950432825456251</c:v>
                </c:pt>
                <c:pt idx="199">
                  <c:v>0.40765976324395048</c:v>
                </c:pt>
                <c:pt idx="200">
                  <c:v>0.40583208235026319</c:v>
                </c:pt>
                <c:pt idx="201">
                  <c:v>0.40402105637734326</c:v>
                </c:pt>
                <c:pt idx="202">
                  <c:v>0.40222646025869363</c:v>
                </c:pt>
                <c:pt idx="203">
                  <c:v>0.40044807296488483</c:v>
                </c:pt>
                <c:pt idx="204">
                  <c:v>0.3986856774134413</c:v>
                </c:pt>
                <c:pt idx="205">
                  <c:v>0.39693906038113153</c:v>
                </c:pt>
                <c:pt idx="206">
                  <c:v>0.39520801241858644</c:v>
                </c:pt>
                <c:pt idx="207">
                  <c:v>0.3934923277671748</c:v>
                </c:pt>
                <c:pt idx="208">
                  <c:v>0.39179180427806576</c:v>
                </c:pt>
                <c:pt idx="209">
                  <c:v>0.39010624333341276</c:v>
                </c:pt>
                <c:pt idx="210">
                  <c:v>0.38843544976959249</c:v>
                </c:pt>
                <c:pt idx="211">
                  <c:v>0.38677923180243812</c:v>
                </c:pt>
                <c:pt idx="212">
                  <c:v>0.38513740095440663</c:v>
                </c:pt>
                <c:pt idx="213">
                  <c:v>0.38350977198362085</c:v>
                </c:pt>
                <c:pt idx="214">
                  <c:v>0.3818961628147316</c:v>
                </c:pt>
                <c:pt idx="215">
                  <c:v>0.38029639447154434</c:v>
                </c:pt>
                <c:pt idx="216">
                  <c:v>0.37871029101135956</c:v>
                </c:pt>
                <c:pt idx="217">
                  <c:v>0.3771376794609746</c:v>
                </c:pt>
                <c:pt idx="218">
                  <c:v>0.37557838975429952</c:v>
                </c:pt>
                <c:pt idx="219">
                  <c:v>0.374032254671539</c:v>
                </c:pt>
                <c:pt idx="220">
                  <c:v>0.37249910977989398</c:v>
                </c:pt>
                <c:pt idx="221">
                  <c:v>0.37097879337574058</c:v>
                </c:pt>
                <c:pt idx="222">
                  <c:v>0.36947114642824219</c:v>
                </c:pt>
                <c:pt idx="223">
                  <c:v>0.36797601252435364</c:v>
                </c:pt>
                <c:pt idx="224">
                  <c:v>0.36649323781517806</c:v>
                </c:pt>
                <c:pt idx="225">
                  <c:v>0.36502267096363744</c:v>
                </c:pt>
                <c:pt idx="226">
                  <c:v>0.3635641630934191</c:v>
                </c:pt>
                <c:pt idx="227">
                  <c:v>0.36211756773916282</c:v>
                </c:pt>
                <c:pt idx="228">
                  <c:v>0.3606827407978529</c:v>
                </c:pt>
                <c:pt idx="229">
                  <c:v>0.3592595404813817</c:v>
                </c:pt>
                <c:pt idx="230">
                  <c:v>0.35784782727025105</c:v>
                </c:pt>
                <c:pt idx="231">
                  <c:v>0.35644746386838122</c:v>
                </c:pt>
                <c:pt idx="232">
                  <c:v>0.35505831515899522</c:v>
                </c:pt>
                <c:pt idx="233">
                  <c:v>0.3536802481615498</c:v>
                </c:pt>
                <c:pt idx="234">
                  <c:v>0.35231313198968356</c:v>
                </c:pt>
                <c:pt idx="235">
                  <c:v>0.3509568378101543</c:v>
                </c:pt>
                <c:pt idx="236">
                  <c:v>0.34961123880273931</c:v>
                </c:pt>
                <c:pt idx="237">
                  <c:v>0.34827621012107152</c:v>
                </c:pt>
                <c:pt idx="238">
                  <c:v>0.34695162885438635</c:v>
                </c:pt>
                <c:pt idx="239">
                  <c:v>0.34563737399015521</c:v>
                </c:pt>
                <c:pt idx="240">
                  <c:v>0.34433332637758046</c:v>
                </c:pt>
                <c:pt idx="241">
                  <c:v>0.34303936869193036</c:v>
                </c:pt>
                <c:pt idx="242">
                  <c:v>0.34175538539969058</c:v>
                </c:pt>
                <c:pt idx="243">
                  <c:v>0.3404812627245104</c:v>
                </c:pt>
                <c:pt idx="244">
                  <c:v>0.3392168886139233</c:v>
                </c:pt>
                <c:pt idx="245">
                  <c:v>0.33796215270682056</c:v>
                </c:pt>
                <c:pt idx="246">
                  <c:v>0.33671694630165921</c:v>
                </c:pt>
                <c:pt idx="247">
                  <c:v>0.33548116232538377</c:v>
                </c:pt>
                <c:pt idx="248">
                  <c:v>0.33425469530304386</c:v>
                </c:pt>
                <c:pt idx="249">
                  <c:v>0.33303744132809021</c:v>
                </c:pt>
                <c:pt idx="250">
                  <c:v>0.33182929803332956</c:v>
                </c:pt>
                <c:pt idx="251">
                  <c:v>0.33063016456252353</c:v>
                </c:pt>
                <c:pt idx="252">
                  <c:v>0.32943994154261391</c:v>
                </c:pt>
                <c:pt idx="253">
                  <c:v>0.32825853105655783</c:v>
                </c:pt>
                <c:pt idx="254">
                  <c:v>0.32708583661675833</c:v>
                </c:pt>
                <c:pt idx="255">
                  <c:v>0.32592176313907451</c:v>
                </c:pt>
                <c:pt idx="256">
                  <c:v>0.32476621691739632</c:v>
                </c:pt>
                <c:pt idx="257">
                  <c:v>0.32361910559877072</c:v>
                </c:pt>
                <c:pt idx="258">
                  <c:v>0.32248033815906402</c:v>
                </c:pt>
                <c:pt idx="259">
                  <c:v>0.32134982487914793</c:v>
                </c:pt>
                <c:pt idx="260">
                  <c:v>0.32022747732159629</c:v>
                </c:pt>
                <c:pt idx="261">
                  <c:v>0.31911320830787854</c:v>
                </c:pt>
                <c:pt idx="262">
                  <c:v>0.3180069318960389</c:v>
                </c:pt>
                <c:pt idx="263">
                  <c:v>0.31690856335884898</c:v>
                </c:pt>
                <c:pt idx="264">
                  <c:v>0.31581801916242164</c:v>
                </c:pt>
                <c:pt idx="265">
                  <c:v>0.31473521694527523</c:v>
                </c:pt>
                <c:pt idx="266">
                  <c:v>0.31366007549783687</c:v>
                </c:pt>
                <c:pt idx="267">
                  <c:v>0.31259251474237432</c:v>
                </c:pt>
                <c:pt idx="268">
                  <c:v>0.31153245571334626</c:v>
                </c:pt>
                <c:pt idx="269">
                  <c:v>0.31047982053815987</c:v>
                </c:pt>
                <c:pt idx="270">
                  <c:v>0.30943453241832719</c:v>
                </c:pt>
                <c:pt idx="271">
                  <c:v>0.30839651561100956</c:v>
                </c:pt>
                <c:pt idx="272">
                  <c:v>0.30736569541094133</c:v>
                </c:pt>
                <c:pt idx="273">
                  <c:v>0.30634199813272411</c:v>
                </c:pt>
                <c:pt idx="274">
                  <c:v>0.30532535109348174</c:v>
                </c:pt>
                <c:pt idx="275">
                  <c:v>0.30431568259586889</c:v>
                </c:pt>
                <c:pt idx="276">
                  <c:v>0.30331292191142306</c:v>
                </c:pt>
                <c:pt idx="277">
                  <c:v>0.30231699926425354</c:v>
                </c:pt>
                <c:pt idx="278">
                  <c:v>0.301327845815059</c:v>
                </c:pt>
                <c:pt idx="279">
                  <c:v>0.30034539364546509</c:v>
                </c:pt>
                <c:pt idx="280">
                  <c:v>0.29936957574267581</c:v>
                </c:pt>
                <c:pt idx="281">
                  <c:v>0.29840032598443067</c:v>
                </c:pt>
                <c:pt idx="282">
                  <c:v>0.29743757912426061</c:v>
                </c:pt>
                <c:pt idx="283">
                  <c:v>0.29648127077703629</c:v>
                </c:pt>
                <c:pt idx="284">
                  <c:v>0.29553133740480081</c:v>
                </c:pt>
                <c:pt idx="285">
                  <c:v>0.29458771630288244</c:v>
                </c:pt>
                <c:pt idx="286">
                  <c:v>0.29365034558627784</c:v>
                </c:pt>
                <c:pt idx="287">
                  <c:v>0.29271916417630328</c:v>
                </c:pt>
                <c:pt idx="288">
                  <c:v>0.29179411178750447</c:v>
                </c:pt>
                <c:pt idx="289">
                  <c:v>0.29087512891482148</c:v>
                </c:pt>
                <c:pt idx="290">
                  <c:v>0.28996215682100168</c:v>
                </c:pt>
                <c:pt idx="291">
                  <c:v>0.28905513752425527</c:v>
                </c:pt>
                <c:pt idx="292">
                  <c:v>0.28815401378614891</c:v>
                </c:pt>
                <c:pt idx="293">
                  <c:v>0.28725872909973083</c:v>
                </c:pt>
                <c:pt idx="294">
                  <c:v>0.28636922767788281</c:v>
                </c:pt>
                <c:pt idx="295">
                  <c:v>0.28548545444189483</c:v>
                </c:pt>
                <c:pt idx="296">
                  <c:v>0.28460735501025552</c:v>
                </c:pt>
                <c:pt idx="297">
                  <c:v>0.2837348756876556</c:v>
                </c:pt>
                <c:pt idx="298">
                  <c:v>0.28286796345419846</c:v>
                </c:pt>
                <c:pt idx="299">
                  <c:v>0.28200656595481366</c:v>
                </c:pt>
                <c:pt idx="300">
                  <c:v>0.28115063148886943</c:v>
                </c:pt>
                <c:pt idx="301">
                  <c:v>0.28030010899997848</c:v>
                </c:pt>
                <c:pt idx="302">
                  <c:v>0.27945494806599425</c:v>
                </c:pt>
                <c:pt idx="303">
                  <c:v>0.27861509888919328</c:v>
                </c:pt>
                <c:pt idx="304">
                  <c:v>0.27778051228663853</c:v>
                </c:pt>
                <c:pt idx="305">
                  <c:v>0.27695113968072166</c:v>
                </c:pt>
                <c:pt idx="306">
                  <c:v>0.27612693308987857</c:v>
                </c:pt>
                <c:pt idx="307">
                  <c:v>0.27530784511947548</c:v>
                </c:pt>
                <c:pt idx="308">
                  <c:v>0.27449382895286201</c:v>
                </c:pt>
                <c:pt idx="309">
                  <c:v>0.27368483834258728</c:v>
                </c:pt>
                <c:pt idx="310">
                  <c:v>0.27288082760177529</c:v>
                </c:pt>
                <c:pt idx="311">
                  <c:v>0.27208175159565773</c:v>
                </c:pt>
                <c:pt idx="312">
                  <c:v>0.27128756573325835</c:v>
                </c:pt>
                <c:pt idx="313">
                  <c:v>0.27049822595922834</c:v>
                </c:pt>
                <c:pt idx="314">
                  <c:v>0.26971368874582785</c:v>
                </c:pt>
                <c:pt idx="315">
                  <c:v>0.26893391108505116</c:v>
                </c:pt>
                <c:pt idx="316">
                  <c:v>0.26815885048089283</c:v>
                </c:pt>
                <c:pt idx="317">
                  <c:v>0.26738846494175089</c:v>
                </c:pt>
                <c:pt idx="318">
                  <c:v>0.26662271297296541</c:v>
                </c:pt>
                <c:pt idx="319">
                  <c:v>0.26586155356948898</c:v>
                </c:pt>
                <c:pt idx="320">
                  <c:v>0.26510494620868646</c:v>
                </c:pt>
                <c:pt idx="321">
                  <c:v>0.26435285084326177</c:v>
                </c:pt>
                <c:pt idx="322">
                  <c:v>0.26360522789430796</c:v>
                </c:pt>
                <c:pt idx="323">
                  <c:v>0.26286203824447979</c:v>
                </c:pt>
                <c:pt idx="324">
                  <c:v>0.26212324323128494</c:v>
                </c:pt>
                <c:pt idx="325">
                  <c:v>0.26138880464049175</c:v>
                </c:pt>
                <c:pt idx="326">
                  <c:v>0.26065868469965175</c:v>
                </c:pt>
                <c:pt idx="327">
                  <c:v>0.25993284607173361</c:v>
                </c:pt>
                <c:pt idx="328">
                  <c:v>0.25921125184886729</c:v>
                </c:pt>
                <c:pt idx="329">
                  <c:v>0.25849386554619558</c:v>
                </c:pt>
                <c:pt idx="330">
                  <c:v>0.25778065109583115</c:v>
                </c:pt>
                <c:pt idx="331">
                  <c:v>0.25707157284091664</c:v>
                </c:pt>
                <c:pt idx="332">
                  <c:v>0.25636659552978636</c:v>
                </c:pt>
                <c:pt idx="333">
                  <c:v>0.25566568431022674</c:v>
                </c:pt>
                <c:pt idx="334">
                  <c:v>0.25496880472383471</c:v>
                </c:pt>
                <c:pt idx="335">
                  <c:v>0.25427592270047078</c:v>
                </c:pt>
                <c:pt idx="336">
                  <c:v>0.25358700455280603</c:v>
                </c:pt>
                <c:pt idx="337">
                  <c:v>0.25290201697096076</c:v>
                </c:pt>
                <c:pt idx="338">
                  <c:v>0.25222092701723253</c:v>
                </c:pt>
                <c:pt idx="339">
                  <c:v>0.25154370212091276</c:v>
                </c:pt>
                <c:pt idx="340">
                  <c:v>0.25087031007318977</c:v>
                </c:pt>
                <c:pt idx="341">
                  <c:v>0.25020071902213614</c:v>
                </c:pt>
                <c:pt idx="342">
                  <c:v>0.24953489746777952</c:v>
                </c:pt>
                <c:pt idx="343">
                  <c:v>0.24887281425725463</c:v>
                </c:pt>
                <c:pt idx="344">
                  <c:v>0.24821443858003533</c:v>
                </c:pt>
                <c:pt idx="345">
                  <c:v>0.24755973996324518</c:v>
                </c:pt>
                <c:pt idx="346">
                  <c:v>0.24690868826704462</c:v>
                </c:pt>
                <c:pt idx="347">
                  <c:v>0.24626125368009361</c:v>
                </c:pt>
                <c:pt idx="348">
                  <c:v>0.24561740671508855</c:v>
                </c:pt>
                <c:pt idx="349">
                  <c:v>0.24497711820437132</c:v>
                </c:pt>
                <c:pt idx="350">
                  <c:v>0.24434035929560988</c:v>
                </c:pt>
                <c:pt idx="351">
                  <c:v>0.24370710144754851</c:v>
                </c:pt>
                <c:pt idx="352">
                  <c:v>0.24307731642582667</c:v>
                </c:pt>
                <c:pt idx="353">
                  <c:v>0.24245097629886528</c:v>
                </c:pt>
                <c:pt idx="354">
                  <c:v>0.24182805343381861</c:v>
                </c:pt>
                <c:pt idx="355">
                  <c:v>0.24120852049259145</c:v>
                </c:pt>
                <c:pt idx="356">
                  <c:v>0.24059235042791921</c:v>
                </c:pt>
                <c:pt idx="357">
                  <c:v>0.23997951647951099</c:v>
                </c:pt>
                <c:pt idx="358">
                  <c:v>0.23936999217025362</c:v>
                </c:pt>
                <c:pt idx="359">
                  <c:v>0.23876375130247568</c:v>
                </c:pt>
                <c:pt idx="360">
                  <c:v>0.23816076795427082</c:v>
                </c:pt>
                <c:pt idx="361">
                  <c:v>0.2375610164758786</c:v>
                </c:pt>
                <c:pt idx="362">
                  <c:v>0.23696447148612243</c:v>
                </c:pt>
                <c:pt idx="363">
                  <c:v>0.23637110786890336</c:v>
                </c:pt>
                <c:pt idx="364">
                  <c:v>0.23578090076974845</c:v>
                </c:pt>
                <c:pt idx="365">
                  <c:v>0.23519382559241306</c:v>
                </c:pt>
                <c:pt idx="366">
                  <c:v>0.23460985799553588</c:v>
                </c:pt>
                <c:pt idx="367">
                  <c:v>0.2340289738893459</c:v>
                </c:pt>
                <c:pt idx="368">
                  <c:v>0.23345114943242032</c:v>
                </c:pt>
                <c:pt idx="369">
                  <c:v>0.23287636102849227</c:v>
                </c:pt>
                <c:pt idx="370">
                  <c:v>0.23230458532330797</c:v>
                </c:pt>
                <c:pt idx="371">
                  <c:v>0.23173579920153181</c:v>
                </c:pt>
                <c:pt idx="372">
                  <c:v>0.2311699797836988</c:v>
                </c:pt>
                <c:pt idx="373">
                  <c:v>0.23060710442321417</c:v>
                </c:pt>
                <c:pt idx="374">
                  <c:v>0.23004715070339737</c:v>
                </c:pt>
                <c:pt idx="375">
                  <c:v>0.2294900964345726</c:v>
                </c:pt>
                <c:pt idx="376">
                  <c:v>0.22893591965120202</c:v>
                </c:pt>
                <c:pt idx="377">
                  <c:v>0.22838459860906296</c:v>
                </c:pt>
                <c:pt idx="378">
                  <c:v>0.22783611178246788</c:v>
                </c:pt>
                <c:pt idx="379">
                  <c:v>0.22729043786152536</c:v>
                </c:pt>
                <c:pt idx="380">
                  <c:v>0.22674755574944308</c:v>
                </c:pt>
                <c:pt idx="381">
                  <c:v>0.22620744455987044</c:v>
                </c:pt>
                <c:pt idx="382">
                  <c:v>0.2256700836142812</c:v>
                </c:pt>
                <c:pt idx="383">
                  <c:v>0.22513545243939517</c:v>
                </c:pt>
                <c:pt idx="384">
                  <c:v>0.22460353076463779</c:v>
                </c:pt>
                <c:pt idx="385">
                  <c:v>0.22407429851963767</c:v>
                </c:pt>
                <c:pt idx="386">
                  <c:v>0.22354773583176127</c:v>
                </c:pt>
                <c:pt idx="387">
                  <c:v>0.22302382302368323</c:v>
                </c:pt>
                <c:pt idx="388">
                  <c:v>0.22250254061099331</c:v>
                </c:pt>
                <c:pt idx="389">
                  <c:v>0.22198386929983785</c:v>
                </c:pt>
                <c:pt idx="390">
                  <c:v>0.22146778998459579</c:v>
                </c:pt>
                <c:pt idx="391">
                  <c:v>0.22095428374558901</c:v>
                </c:pt>
                <c:pt idx="392">
                  <c:v>0.22044333184682544</c:v>
                </c:pt>
                <c:pt idx="393">
                  <c:v>0.21993491573377552</c:v>
                </c:pt>
                <c:pt idx="394">
                  <c:v>0.2194290170311804</c:v>
                </c:pt>
                <c:pt idx="395">
                  <c:v>0.21892561754089224</c:v>
                </c:pt>
                <c:pt idx="396">
                  <c:v>0.21842469923974539</c:v>
                </c:pt>
                <c:pt idx="397">
                  <c:v>0.21792624427745821</c:v>
                </c:pt>
                <c:pt idx="398">
                  <c:v>0.21743023497456523</c:v>
                </c:pt>
                <c:pt idx="399">
                  <c:v>0.21693665382037869</c:v>
                </c:pt>
                <c:pt idx="400">
                  <c:v>0.21644548347097919</c:v>
                </c:pt>
                <c:pt idx="401">
                  <c:v>0.21595670674723527</c:v>
                </c:pt>
                <c:pt idx="402">
                  <c:v>0.21547030663285083</c:v>
                </c:pt>
                <c:pt idx="403">
                  <c:v>0.21498626627244027</c:v>
                </c:pt>
                <c:pt idx="404">
                  <c:v>0.21450456896963119</c:v>
                </c:pt>
                <c:pt idx="405">
                  <c:v>0.21402519818519342</c:v>
                </c:pt>
                <c:pt idx="406">
                  <c:v>0.21354813753519486</c:v>
                </c:pt>
                <c:pt idx="407">
                  <c:v>0.21307337078918268</c:v>
                </c:pt>
                <c:pt idx="408">
                  <c:v>0.2126008818683906</c:v>
                </c:pt>
                <c:pt idx="409">
                  <c:v>0.21213065484397103</c:v>
                </c:pt>
                <c:pt idx="410">
                  <c:v>0.21166267393525151</c:v>
                </c:pt>
                <c:pt idx="411">
                  <c:v>0.21119692350801611</c:v>
                </c:pt>
                <c:pt idx="412">
                  <c:v>0.21073338807281003</c:v>
                </c:pt>
                <c:pt idx="413">
                  <c:v>0.21027205228326815</c:v>
                </c:pt>
                <c:pt idx="414">
                  <c:v>0.20981290093446658</c:v>
                </c:pt>
                <c:pt idx="415">
                  <c:v>0.20935591896129677</c:v>
                </c:pt>
                <c:pt idx="416">
                  <c:v>0.20890109143686209</c:v>
                </c:pt>
                <c:pt idx="417">
                  <c:v>0.2084484035708967</c:v>
                </c:pt>
                <c:pt idx="418">
                  <c:v>0.20799784070820551</c:v>
                </c:pt>
                <c:pt idx="419">
                  <c:v>0.20754938832712622</c:v>
                </c:pt>
                <c:pt idx="420">
                  <c:v>0.20710303203801134</c:v>
                </c:pt>
                <c:pt idx="421">
                  <c:v>0.20665875758173191</c:v>
                </c:pt>
                <c:pt idx="422">
                  <c:v>0.20621655082820081</c:v>
                </c:pt>
                <c:pt idx="423">
                  <c:v>0.20577639777491627</c:v>
                </c:pt>
                <c:pt idx="424">
                  <c:v>0.20533828454552544</c:v>
                </c:pt>
                <c:pt idx="425">
                  <c:v>0.20490219738840648</c:v>
                </c:pt>
                <c:pt idx="426">
                  <c:v>0.20446812267527051</c:v>
                </c:pt>
                <c:pt idx="427">
                  <c:v>0.20403604689978216</c:v>
                </c:pt>
                <c:pt idx="428">
                  <c:v>0.20360595667619819</c:v>
                </c:pt>
                <c:pt idx="429">
                  <c:v>0.20317783873802486</c:v>
                </c:pt>
                <c:pt idx="430">
                  <c:v>0.20275167993669277</c:v>
                </c:pt>
                <c:pt idx="431">
                  <c:v>0.20232746724024947</c:v>
                </c:pt>
                <c:pt idx="432">
                  <c:v>0.20190518773206967</c:v>
                </c:pt>
                <c:pt idx="433">
                  <c:v>0.201484828609582</c:v>
                </c:pt>
                <c:pt idx="434">
                  <c:v>0.20106637718301329</c:v>
                </c:pt>
                <c:pt idx="435">
                  <c:v>0.20064982087414857</c:v>
                </c:pt>
                <c:pt idx="436">
                  <c:v>0.20023514721510824</c:v>
                </c:pt>
                <c:pt idx="437">
                  <c:v>0.19982234384714076</c:v>
                </c:pt>
                <c:pt idx="438">
                  <c:v>0.19941139851943121</c:v>
                </c:pt>
                <c:pt idx="439">
                  <c:v>0.19900229908792563</c:v>
                </c:pt>
                <c:pt idx="440">
                  <c:v>0.19859503351417052</c:v>
                </c:pt>
                <c:pt idx="441">
                  <c:v>0.19818958986416743</c:v>
                </c:pt>
                <c:pt idx="442">
                  <c:v>0.19778595630724277</c:v>
                </c:pt>
                <c:pt idx="443">
                  <c:v>0.19738412111493159</c:v>
                </c:pt>
                <c:pt idx="444">
                  <c:v>0.19698407265987647</c:v>
                </c:pt>
                <c:pt idx="445">
                  <c:v>0.1965857994147403</c:v>
                </c:pt>
                <c:pt idx="446">
                  <c:v>0.19618928995113305</c:v>
                </c:pt>
                <c:pt idx="447">
                  <c:v>0.1957945329385524</c:v>
                </c:pt>
                <c:pt idx="448">
                  <c:v>0.19540151714333789</c:v>
                </c:pt>
                <c:pt idx="449">
                  <c:v>0.19501023142763854</c:v>
                </c:pt>
                <c:pt idx="450">
                  <c:v>0.19462066474839371</c:v>
                </c:pt>
                <c:pt idx="451">
                  <c:v>0.19423280615632652</c:v>
                </c:pt>
                <c:pt idx="452">
                  <c:v>0.19384664479495076</c:v>
                </c:pt>
                <c:pt idx="453">
                  <c:v>0.19346216989958967</c:v>
                </c:pt>
                <c:pt idx="454">
                  <c:v>0.19307937079640772</c:v>
                </c:pt>
                <c:pt idx="455">
                  <c:v>0.19269823690145435</c:v>
                </c:pt>
                <c:pt idx="456">
                  <c:v>0.19231875771971965</c:v>
                </c:pt>
                <c:pt idx="457">
                  <c:v>0.19194092284420236</c:v>
                </c:pt>
                <c:pt idx="458">
                  <c:v>0.19156472195498886</c:v>
                </c:pt>
                <c:pt idx="459">
                  <c:v>0.19119014481834451</c:v>
                </c:pt>
                <c:pt idx="460">
                  <c:v>0.19081718128581579</c:v>
                </c:pt>
                <c:pt idx="461">
                  <c:v>0.19044582129334373</c:v>
                </c:pt>
                <c:pt idx="462">
                  <c:v>0.19007605486038853</c:v>
                </c:pt>
                <c:pt idx="463">
                  <c:v>0.18970787208906509</c:v>
                </c:pt>
                <c:pt idx="464">
                  <c:v>0.18934126316328878</c:v>
                </c:pt>
                <c:pt idx="465">
                  <c:v>0.18897621834793263</c:v>
                </c:pt>
                <c:pt idx="466">
                  <c:v>0.188612727987994</c:v>
                </c:pt>
                <c:pt idx="467">
                  <c:v>0.18825078250777211</c:v>
                </c:pt>
                <c:pt idx="468">
                  <c:v>0.18789037241005566</c:v>
                </c:pt>
                <c:pt idx="469">
                  <c:v>0.18753148827532004</c:v>
                </c:pt>
                <c:pt idx="470">
                  <c:v>0.18717412076093479</c:v>
                </c:pt>
                <c:pt idx="471">
                  <c:v>0.1868182606003804</c:v>
                </c:pt>
                <c:pt idx="472">
                  <c:v>0.18646389860247506</c:v>
                </c:pt>
                <c:pt idx="473">
                  <c:v>0.18611102565061027</c:v>
                </c:pt>
                <c:pt idx="474">
                  <c:v>0.18575963270199636</c:v>
                </c:pt>
                <c:pt idx="475">
                  <c:v>0.18540971078691665</c:v>
                </c:pt>
                <c:pt idx="476">
                  <c:v>0.1850612510079909</c:v>
                </c:pt>
                <c:pt idx="477">
                  <c:v>0.18471424453944754</c:v>
                </c:pt>
                <c:pt idx="478">
                  <c:v>0.18436868262640474</c:v>
                </c:pt>
                <c:pt idx="479">
                  <c:v>0.18402455658416009</c:v>
                </c:pt>
                <c:pt idx="480">
                  <c:v>0.18368185779748886</c:v>
                </c:pt>
                <c:pt idx="481">
                  <c:v>0.18334057771995044</c:v>
                </c:pt>
                <c:pt idx="482">
                  <c:v>0.18300070787320338</c:v>
                </c:pt>
                <c:pt idx="483">
                  <c:v>0.18266223984632848</c:v>
                </c:pt>
                <c:pt idx="484">
                  <c:v>0.18232516529515985</c:v>
                </c:pt>
                <c:pt idx="485">
                  <c:v>0.18198947594162396</c:v>
                </c:pt>
                <c:pt idx="486">
                  <c:v>0.18165516357308661</c:v>
                </c:pt>
                <c:pt idx="487">
                  <c:v>0.18132222004170762</c:v>
                </c:pt>
                <c:pt idx="488">
                  <c:v>0.18099063726380293</c:v>
                </c:pt>
                <c:pt idx="489">
                  <c:v>0.18066040721921459</c:v>
                </c:pt>
                <c:pt idx="490">
                  <c:v>0.18033152195068775</c:v>
                </c:pt>
                <c:pt idx="491">
                  <c:v>0.18000397356325534</c:v>
                </c:pt>
                <c:pt idx="492">
                  <c:v>0.17967775422362969</c:v>
                </c:pt>
                <c:pt idx="493">
                  <c:v>0.17935285615960142</c:v>
                </c:pt>
                <c:pt idx="494">
                  <c:v>0.17902927165944527</c:v>
                </c:pt>
                <c:pt idx="495">
                  <c:v>0.17870699307133278</c:v>
                </c:pt>
                <c:pt idx="496">
                  <c:v>0.17838601280275215</c:v>
                </c:pt>
                <c:pt idx="497">
                  <c:v>0.1780663233199343</c:v>
                </c:pt>
                <c:pt idx="498">
                  <c:v>0.17774791714728602</c:v>
                </c:pt>
                <c:pt idx="499">
                  <c:v>0.17743078686682945</c:v>
                </c:pt>
                <c:pt idx="500">
                  <c:v>0.17711492511764809</c:v>
                </c:pt>
                <c:pt idx="501">
                  <c:v>0.1768003245953392</c:v>
                </c:pt>
                <c:pt idx="502">
                  <c:v>0.17648697805147248</c:v>
                </c:pt>
                <c:pt idx="503">
                  <c:v>0.17617487829305498</c:v>
                </c:pt>
                <c:pt idx="504">
                  <c:v>0.17586401818200206</c:v>
                </c:pt>
                <c:pt idx="505">
                  <c:v>0.17555439063461445</c:v>
                </c:pt>
                <c:pt idx="506">
                  <c:v>0.17524598862106144</c:v>
                </c:pt>
                <c:pt idx="507">
                  <c:v>0.17493880516486948</c:v>
                </c:pt>
                <c:pt idx="508">
                  <c:v>0.17463283334241733</c:v>
                </c:pt>
                <c:pt idx="509">
                  <c:v>0.17432806628243605</c:v>
                </c:pt>
                <c:pt idx="510">
                  <c:v>0.17402449716551541</c:v>
                </c:pt>
                <c:pt idx="511">
                  <c:v>0.17372211922361561</c:v>
                </c:pt>
                <c:pt idx="512">
                  <c:v>0.1734209257395842</c:v>
                </c:pt>
                <c:pt idx="513">
                  <c:v>0.17312091004667901</c:v>
                </c:pt>
                <c:pt idx="514">
                  <c:v>0.17282206552809593</c:v>
                </c:pt>
                <c:pt idx="515">
                  <c:v>0.1725243856165023</c:v>
                </c:pt>
                <c:pt idx="516">
                  <c:v>0.17222786379357544</c:v>
                </c:pt>
                <c:pt idx="517">
                  <c:v>0.17193249358954629</c:v>
                </c:pt>
                <c:pt idx="518">
                  <c:v>0.17163826858274805</c:v>
                </c:pt>
                <c:pt idx="519">
                  <c:v>0.17134518239917026</c:v>
                </c:pt>
                <c:pt idx="520">
                  <c:v>0.17105322871201717</c:v>
                </c:pt>
                <c:pt idx="521">
                  <c:v>0.17076240124127168</c:v>
                </c:pt>
                <c:pt idx="522">
                  <c:v>0.17047269375326363</c:v>
                </c:pt>
                <c:pt idx="523">
                  <c:v>0.17018410006024307</c:v>
                </c:pt>
                <c:pt idx="524">
                  <c:v>0.16989661401995826</c:v>
                </c:pt>
                <c:pt idx="525">
                  <c:v>0.16961022953523816</c:v>
                </c:pt>
                <c:pt idx="526">
                  <c:v>0.16932494055357966</c:v>
                </c:pt>
                <c:pt idx="527">
                  <c:v>0.1690407410667393</c:v>
                </c:pt>
                <c:pt idx="528">
                  <c:v>0.16875762511032938</c:v>
                </c:pt>
                <c:pt idx="529">
                  <c:v>0.16847558676341859</c:v>
                </c:pt>
                <c:pt idx="530">
                  <c:v>0.16819462014813691</c:v>
                </c:pt>
                <c:pt idx="531">
                  <c:v>0.16791471942928493</c:v>
                </c:pt>
                <c:pt idx="532">
                  <c:v>0.16763587881394729</c:v>
                </c:pt>
                <c:pt idx="533">
                  <c:v>0.16735809255111028</c:v>
                </c:pt>
                <c:pt idx="534">
                  <c:v>0.16708135493128393</c:v>
                </c:pt>
                <c:pt idx="535">
                  <c:v>0.16680566028612756</c:v>
                </c:pt>
                <c:pt idx="536">
                  <c:v>0.16653100298808002</c:v>
                </c:pt>
                <c:pt idx="537">
                  <c:v>0.1662573774499935</c:v>
                </c:pt>
                <c:pt idx="538">
                  <c:v>0.16598477812477144</c:v>
                </c:pt>
                <c:pt idx="539">
                  <c:v>0.16571319950501032</c:v>
                </c:pt>
                <c:pt idx="540">
                  <c:v>0.16544263612264509</c:v>
                </c:pt>
                <c:pt idx="541">
                  <c:v>0.16517308254859883</c:v>
                </c:pt>
                <c:pt idx="542">
                  <c:v>0.16490453339243566</c:v>
                </c:pt>
                <c:pt idx="543">
                  <c:v>0.16463698330201762</c:v>
                </c:pt>
                <c:pt idx="544">
                  <c:v>0.16437042696316528</c:v>
                </c:pt>
                <c:pt idx="545">
                  <c:v>0.1641048590993216</c:v>
                </c:pt>
                <c:pt idx="546">
                  <c:v>0.16384027447121977</c:v>
                </c:pt>
                <c:pt idx="547">
                  <c:v>0.16357666787655428</c:v>
                </c:pt>
                <c:pt idx="548">
                  <c:v>0.16331403414965556</c:v>
                </c:pt>
                <c:pt idx="549">
                  <c:v>0.16305236816116808</c:v>
                </c:pt>
                <c:pt idx="550">
                  <c:v>0.16279166481773183</c:v>
                </c:pt>
                <c:pt idx="551">
                  <c:v>0.16253191906166692</c:v>
                </c:pt>
                <c:pt idx="552">
                  <c:v>0.16227312587066209</c:v>
                </c:pt>
                <c:pt idx="553">
                  <c:v>0.16201528025746559</c:v>
                </c:pt>
                <c:pt idx="554">
                  <c:v>0.16175837726958026</c:v>
                </c:pt>
                <c:pt idx="555">
                  <c:v>0.16150241198896098</c:v>
                </c:pt>
                <c:pt idx="556">
                  <c:v>0.16124737953171567</c:v>
                </c:pt>
                <c:pt idx="557">
                  <c:v>0.16099327504780955</c:v>
                </c:pt>
                <c:pt idx="558">
                  <c:v>0.16074009372077197</c:v>
                </c:pt>
                <c:pt idx="559">
                  <c:v>0.16048783076740666</c:v>
                </c:pt>
                <c:pt idx="560">
                  <c:v>0.16023648143750507</c:v>
                </c:pt>
                <c:pt idx="561">
                  <c:v>0.15998604101356217</c:v>
                </c:pt>
                <c:pt idx="562">
                  <c:v>0.1597365048104957</c:v>
                </c:pt>
                <c:pt idx="563">
                  <c:v>0.15948786817536806</c:v>
                </c:pt>
                <c:pt idx="564">
                  <c:v>0.15924012648711103</c:v>
                </c:pt>
                <c:pt idx="565">
                  <c:v>0.15899327515625356</c:v>
                </c:pt>
                <c:pt idx="566">
                  <c:v>0.15874730962465186</c:v>
                </c:pt>
                <c:pt idx="567">
                  <c:v>0.15850222536522296</c:v>
                </c:pt>
                <c:pt idx="568">
                  <c:v>0.15825801788168017</c:v>
                </c:pt>
                <c:pt idx="569">
                  <c:v>0.15801468270827199</c:v>
                </c:pt>
                <c:pt idx="570">
                  <c:v>0.15777221540952319</c:v>
                </c:pt>
                <c:pt idx="571">
                  <c:v>0.15753061157997858</c:v>
                </c:pt>
                <c:pt idx="572">
                  <c:v>0.15728986684394972</c:v>
                </c:pt>
                <c:pt idx="573">
                  <c:v>0.15704997685526356</c:v>
                </c:pt>
                <c:pt idx="574">
                  <c:v>0.1568109372970144</c:v>
                </c:pt>
                <c:pt idx="575">
                  <c:v>0.1565727438813177</c:v>
                </c:pt>
                <c:pt idx="576">
                  <c:v>0.15633539234906657</c:v>
                </c:pt>
                <c:pt idx="577">
                  <c:v>0.15609887846969103</c:v>
                </c:pt>
                <c:pt idx="578">
                  <c:v>0.15586319804091911</c:v>
                </c:pt>
                <c:pt idx="579">
                  <c:v>0.15562834688854071</c:v>
                </c:pt>
                <c:pt idx="580">
                  <c:v>0.15539432086617391</c:v>
                </c:pt>
                <c:pt idx="581">
                  <c:v>0.15516111585503328</c:v>
                </c:pt>
                <c:pt idx="582">
                  <c:v>0.15492872776370079</c:v>
                </c:pt>
                <c:pt idx="583">
                  <c:v>0.15469715252789873</c:v>
                </c:pt>
                <c:pt idx="584">
                  <c:v>0.1544663861102652</c:v>
                </c:pt>
                <c:pt idx="585">
                  <c:v>0.15423642450013164</c:v>
                </c:pt>
                <c:pt idx="586">
                  <c:v>0.15400726371330251</c:v>
                </c:pt>
                <c:pt idx="587">
                  <c:v>0.15377889979183718</c:v>
                </c:pt>
                <c:pt idx="588">
                  <c:v>0.15355132880383424</c:v>
                </c:pt>
                <c:pt idx="589">
                  <c:v>0.15332454684321753</c:v>
                </c:pt>
                <c:pt idx="590">
                  <c:v>0.15309855002952449</c:v>
                </c:pt>
                <c:pt idx="591">
                  <c:v>0.15287333450769658</c:v>
                </c:pt>
                <c:pt idx="592">
                  <c:v>0.15264889644787163</c:v>
                </c:pt>
                <c:pt idx="593">
                  <c:v>0.15242523204517863</c:v>
                </c:pt>
                <c:pt idx="594">
                  <c:v>0.1522023375195338</c:v>
                </c:pt>
                <c:pt idx="595">
                  <c:v>0.15198020911543936</c:v>
                </c:pt>
                <c:pt idx="596">
                  <c:v>0.15175884310178386</c:v>
                </c:pt>
                <c:pt idx="597">
                  <c:v>0.15153823577164457</c:v>
                </c:pt>
                <c:pt idx="598">
                  <c:v>0.15131838344209184</c:v>
                </c:pt>
                <c:pt idx="599">
                  <c:v>0.15109928245399515</c:v>
                </c:pt>
                <c:pt idx="600">
                  <c:v>0.15088092917183138</c:v>
                </c:pt>
                <c:pt idx="601">
                  <c:v>0.15066331998349453</c:v>
                </c:pt>
                <c:pt idx="602">
                  <c:v>0.15044645130010761</c:v>
                </c:pt>
                <c:pt idx="603">
                  <c:v>0.15023031955583627</c:v>
                </c:pt>
                <c:pt idx="604">
                  <c:v>0.15001492120770388</c:v>
                </c:pt>
                <c:pt idx="605">
                  <c:v>0.14980025273540909</c:v>
                </c:pt>
                <c:pt idx="606">
                  <c:v>0.1495863106411443</c:v>
                </c:pt>
                <c:pt idx="607">
                  <c:v>0.14937309144941655</c:v>
                </c:pt>
                <c:pt idx="608">
                  <c:v>0.14916059170686977</c:v>
                </c:pt>
                <c:pt idx="609">
                  <c:v>0.14894880798210886</c:v>
                </c:pt>
                <c:pt idx="610">
                  <c:v>0.14873773686552522</c:v>
                </c:pt>
                <c:pt idx="611">
                  <c:v>0.14852737496912446</c:v>
                </c:pt>
                <c:pt idx="612">
                  <c:v>0.14831771892635501</c:v>
                </c:pt>
                <c:pt idx="613">
                  <c:v>0.14810876539193904</c:v>
                </c:pt>
                <c:pt idx="614">
                  <c:v>0.14790051104170451</c:v>
                </c:pt>
                <c:pt idx="615">
                  <c:v>0.14769295257241905</c:v>
                </c:pt>
                <c:pt idx="616">
                  <c:v>0.14748608670162539</c:v>
                </c:pt>
                <c:pt idx="617">
                  <c:v>0.14727991016747813</c:v>
                </c:pt>
                <c:pt idx="618">
                  <c:v>0.14707441972858243</c:v>
                </c:pt>
                <c:pt idx="619">
                  <c:v>0.14686961216383387</c:v>
                </c:pt>
                <c:pt idx="620">
                  <c:v>0.14666548427225978</c:v>
                </c:pt>
                <c:pt idx="621">
                  <c:v>0.14646203287286258</c:v>
                </c:pt>
                <c:pt idx="622">
                  <c:v>0.14625925480446375</c:v>
                </c:pt>
                <c:pt idx="623">
                  <c:v>0.14605714692555019</c:v>
                </c:pt>
                <c:pt idx="624">
                  <c:v>0.1458557061141211</c:v>
                </c:pt>
                <c:pt idx="625">
                  <c:v>0.14565492926753709</c:v>
                </c:pt>
                <c:pt idx="626">
                  <c:v>0.14545481330237006</c:v>
                </c:pt>
                <c:pt idx="627">
                  <c:v>0.14525535515425486</c:v>
                </c:pt>
                <c:pt idx="628">
                  <c:v>0.14505655177774213</c:v>
                </c:pt>
                <c:pt idx="629">
                  <c:v>0.14485840014615278</c:v>
                </c:pt>
                <c:pt idx="630">
                  <c:v>0.14466089725143316</c:v>
                </c:pt>
                <c:pt idx="631">
                  <c:v>0.14446404010401259</c:v>
                </c:pt>
                <c:pt idx="632">
                  <c:v>0.14426782573266106</c:v>
                </c:pt>
                <c:pt idx="633">
                  <c:v>0.14407225118434921</c:v>
                </c:pt>
                <c:pt idx="634">
                  <c:v>0.14387731352410899</c:v>
                </c:pt>
                <c:pt idx="635">
                  <c:v>0.14368300983489571</c:v>
                </c:pt>
                <c:pt idx="636">
                  <c:v>0.14348933721745169</c:v>
                </c:pt>
                <c:pt idx="637">
                  <c:v>0.14329629279017067</c:v>
                </c:pt>
                <c:pt idx="638">
                  <c:v>0.14310387368896377</c:v>
                </c:pt>
                <c:pt idx="639">
                  <c:v>0.14291207706712653</c:v>
                </c:pt>
                <c:pt idx="640">
                  <c:v>0.14272090009520724</c:v>
                </c:pt>
                <c:pt idx="641">
                  <c:v>0.14253033996087658</c:v>
                </c:pt>
                <c:pt idx="642">
                  <c:v>0.14234039386879793</c:v>
                </c:pt>
                <c:pt idx="643">
                  <c:v>0.14215105904049963</c:v>
                </c:pt>
                <c:pt idx="644">
                  <c:v>0.14196233271424769</c:v>
                </c:pt>
                <c:pt idx="645">
                  <c:v>0.14177421214492011</c:v>
                </c:pt>
                <c:pt idx="646">
                  <c:v>0.14158669460388212</c:v>
                </c:pt>
                <c:pt idx="647">
                  <c:v>0.14139977737886253</c:v>
                </c:pt>
                <c:pt idx="648">
                  <c:v>0.14121345777383132</c:v>
                </c:pt>
                <c:pt idx="649">
                  <c:v>0.14102773310887823</c:v>
                </c:pt>
                <c:pt idx="650">
                  <c:v>0.14084260072009244</c:v>
                </c:pt>
                <c:pt idx="651">
                  <c:v>0.14065805795944344</c:v>
                </c:pt>
                <c:pt idx="652">
                  <c:v>0.14047410219466275</c:v>
                </c:pt>
                <c:pt idx="653">
                  <c:v>0.14029073080912685</c:v>
                </c:pt>
                <c:pt idx="654">
                  <c:v>0.14010794120174122</c:v>
                </c:pt>
                <c:pt idx="655">
                  <c:v>0.13992573078682519</c:v>
                </c:pt>
                <c:pt idx="656">
                  <c:v>0.13974409699399792</c:v>
                </c:pt>
                <c:pt idx="657">
                  <c:v>0.13956303726806563</c:v>
                </c:pt>
                <c:pt idx="658">
                  <c:v>0.13938254906890915</c:v>
                </c:pt>
                <c:pt idx="659">
                  <c:v>0.13920262987137352</c:v>
                </c:pt>
                <c:pt idx="660">
                  <c:v>0.13902327716515739</c:v>
                </c:pt>
                <c:pt idx="661">
                  <c:v>0.13884448845470429</c:v>
                </c:pt>
                <c:pt idx="662">
                  <c:v>0.13866626125909448</c:v>
                </c:pt>
                <c:pt idx="663">
                  <c:v>0.13848859311193767</c:v>
                </c:pt>
                <c:pt idx="664">
                  <c:v>0.13831148156126702</c:v>
                </c:pt>
                <c:pt idx="665">
                  <c:v>0.13813492416943363</c:v>
                </c:pt>
                <c:pt idx="666">
                  <c:v>0.13795891851300238</c:v>
                </c:pt>
                <c:pt idx="667">
                  <c:v>0.13778346218264839</c:v>
                </c:pt>
                <c:pt idx="668">
                  <c:v>0.13760855278305439</c:v>
                </c:pt>
                <c:pt idx="669">
                  <c:v>0.13743418793280934</c:v>
                </c:pt>
                <c:pt idx="670">
                  <c:v>0.13726036526430729</c:v>
                </c:pt>
                <c:pt idx="671">
                  <c:v>0.13708708242364778</c:v>
                </c:pt>
                <c:pt idx="672">
                  <c:v>0.13691433707053674</c:v>
                </c:pt>
                <c:pt idx="673">
                  <c:v>0.13674212687818818</c:v>
                </c:pt>
                <c:pt idx="674">
                  <c:v>0.13657044953322711</c:v>
                </c:pt>
                <c:pt idx="675">
                  <c:v>0.13639930273559284</c:v>
                </c:pt>
                <c:pt idx="676">
                  <c:v>0.13622868419844339</c:v>
                </c:pt>
                <c:pt idx="677">
                  <c:v>0.13605859164806083</c:v>
                </c:pt>
                <c:pt idx="678">
                  <c:v>0.13588902282375698</c:v>
                </c:pt>
                <c:pt idx="679">
                  <c:v>0.1357199754777805</c:v>
                </c:pt>
                <c:pt idx="680">
                  <c:v>0.13555144737522426</c:v>
                </c:pt>
                <c:pt idx="681">
                  <c:v>0.13538343629393373</c:v>
                </c:pt>
                <c:pt idx="682">
                  <c:v>0.13521594002441645</c:v>
                </c:pt>
                <c:pt idx="683">
                  <c:v>0.13504895636975156</c:v>
                </c:pt>
                <c:pt idx="684">
                  <c:v>0.13488248314550075</c:v>
                </c:pt>
                <c:pt idx="685">
                  <c:v>0.13471651817961974</c:v>
                </c:pt>
                <c:pt idx="686">
                  <c:v>0.13455105931237038</c:v>
                </c:pt>
                <c:pt idx="687">
                  <c:v>0.13438610439623377</c:v>
                </c:pt>
                <c:pt idx="688">
                  <c:v>0.13422165129582384</c:v>
                </c:pt>
                <c:pt idx="689">
                  <c:v>0.13405769788780175</c:v>
                </c:pt>
                <c:pt idx="690">
                  <c:v>0.13389424206079131</c:v>
                </c:pt>
                <c:pt idx="691">
                  <c:v>0.13373128171529453</c:v>
                </c:pt>
                <c:pt idx="692">
                  <c:v>0.13356881476360841</c:v>
                </c:pt>
                <c:pt idx="693">
                  <c:v>0.13340683912974219</c:v>
                </c:pt>
                <c:pt idx="694">
                  <c:v>0.13324535274933522</c:v>
                </c:pt>
                <c:pt idx="695">
                  <c:v>0.13308435356957585</c:v>
                </c:pt>
                <c:pt idx="696">
                  <c:v>0.13292383954912054</c:v>
                </c:pt>
                <c:pt idx="697">
                  <c:v>0.13276380865801407</c:v>
                </c:pt>
                <c:pt idx="698">
                  <c:v>0.13260425887761013</c:v>
                </c:pt>
                <c:pt idx="699">
                  <c:v>0.13244518820049267</c:v>
                </c:pt>
                <c:pt idx="700">
                  <c:v>0.13228659463039807</c:v>
                </c:pt>
                <c:pt idx="701">
                  <c:v>0.13212847618213758</c:v>
                </c:pt>
                <c:pt idx="702">
                  <c:v>0.13197083088152073</c:v>
                </c:pt>
                <c:pt idx="703">
                  <c:v>0.13181365676527931</c:v>
                </c:pt>
                <c:pt idx="704">
                  <c:v>0.13165695188099186</c:v>
                </c:pt>
                <c:pt idx="705">
                  <c:v>0.13150071428700894</c:v>
                </c:pt>
                <c:pt idx="706">
                  <c:v>0.13134494205237887</c:v>
                </c:pt>
                <c:pt idx="707">
                  <c:v>0.13118963325677419</c:v>
                </c:pt>
                <c:pt idx="708">
                  <c:v>0.13103478599041868</c:v>
                </c:pt>
                <c:pt idx="709">
                  <c:v>0.13088039835401502</c:v>
                </c:pt>
                <c:pt idx="710">
                  <c:v>0.13072646845867306</c:v>
                </c:pt>
                <c:pt idx="711">
                  <c:v>0.13057299442583845</c:v>
                </c:pt>
                <c:pt idx="712">
                  <c:v>0.13041997438722222</c:v>
                </c:pt>
                <c:pt idx="713">
                  <c:v>0.13026740648473073</c:v>
                </c:pt>
                <c:pt idx="714">
                  <c:v>0.13011528887039617</c:v>
                </c:pt>
                <c:pt idx="715">
                  <c:v>0.12996361970630771</c:v>
                </c:pt>
                <c:pt idx="716">
                  <c:v>0.1298123971645431</c:v>
                </c:pt>
                <c:pt idx="717">
                  <c:v>0.12966161942710105</c:v>
                </c:pt>
                <c:pt idx="718">
                  <c:v>0.12951128468583395</c:v>
                </c:pt>
                <c:pt idx="719">
                  <c:v>0.12936139114238107</c:v>
                </c:pt>
                <c:pt idx="720">
                  <c:v>0.12921193700810268</c:v>
                </c:pt>
                <c:pt idx="721">
                  <c:v>0.12906292050401422</c:v>
                </c:pt>
                <c:pt idx="722">
                  <c:v>0.12891433986072143</c:v>
                </c:pt>
                <c:pt idx="723">
                  <c:v>0.12876619331835565</c:v>
                </c:pt>
                <c:pt idx="724">
                  <c:v>0.12861847912650998</c:v>
                </c:pt>
                <c:pt idx="725">
                  <c:v>0.12847119554417552</c:v>
                </c:pt>
                <c:pt idx="726">
                  <c:v>0.12832434083967872</c:v>
                </c:pt>
                <c:pt idx="727">
                  <c:v>0.12817791329061859</c:v>
                </c:pt>
                <c:pt idx="728">
                  <c:v>0.12803191118380486</c:v>
                </c:pt>
                <c:pt idx="729">
                  <c:v>0.12788633281519651</c:v>
                </c:pt>
                <c:pt idx="730">
                  <c:v>0.12774117648984074</c:v>
                </c:pt>
                <c:pt idx="731">
                  <c:v>0.12759644052181238</c:v>
                </c:pt>
                <c:pt idx="732">
                  <c:v>0.12745212323415406</c:v>
                </c:pt>
                <c:pt idx="733">
                  <c:v>0.12730822295881647</c:v>
                </c:pt>
                <c:pt idx="734">
                  <c:v>0.12716473803659942</c:v>
                </c:pt>
                <c:pt idx="735">
                  <c:v>0.12702166681709312</c:v>
                </c:pt>
                <c:pt idx="736">
                  <c:v>0.12687900765862017</c:v>
                </c:pt>
                <c:pt idx="737">
                  <c:v>0.12673675892817782</c:v>
                </c:pt>
                <c:pt idx="738">
                  <c:v>0.12659491900138065</c:v>
                </c:pt>
                <c:pt idx="739">
                  <c:v>0.12645348626240407</c:v>
                </c:pt>
                <c:pt idx="740">
                  <c:v>0.12631245910392769</c:v>
                </c:pt>
                <c:pt idx="741">
                  <c:v>0.12617183592707962</c:v>
                </c:pt>
                <c:pt idx="742">
                  <c:v>0.126031615141381</c:v>
                </c:pt>
                <c:pt idx="743">
                  <c:v>0.12589179516469107</c:v>
                </c:pt>
                <c:pt idx="744">
                  <c:v>0.1257523744231524</c:v>
                </c:pt>
                <c:pt idx="745">
                  <c:v>0.12561335135113694</c:v>
                </c:pt>
                <c:pt idx="746">
                  <c:v>0.12547472439119231</c:v>
                </c:pt>
                <c:pt idx="747">
                  <c:v>0.12533649199398833</c:v>
                </c:pt>
                <c:pt idx="748">
                  <c:v>0.12519865261826429</c:v>
                </c:pt>
                <c:pt idx="749">
                  <c:v>0.1250612047307765</c:v>
                </c:pt>
                <c:pt idx="750">
                  <c:v>0.12492414680624606</c:v>
                </c:pt>
                <c:pt idx="751">
                  <c:v>0.1247874773273074</c:v>
                </c:pt>
                <c:pt idx="752">
                  <c:v>0.12465119478445692</c:v>
                </c:pt>
                <c:pt idx="753">
                  <c:v>0.12451529767600218</c:v>
                </c:pt>
                <c:pt idx="754">
                  <c:v>0.12437978450801139</c:v>
                </c:pt>
                <c:pt idx="755">
                  <c:v>0.12424465379426343</c:v>
                </c:pt>
                <c:pt idx="756">
                  <c:v>0.12410990405619805</c:v>
                </c:pt>
                <c:pt idx="757">
                  <c:v>0.12397553382286669</c:v>
                </c:pt>
                <c:pt idx="758">
                  <c:v>0.12384154163088347</c:v>
                </c:pt>
                <c:pt idx="759">
                  <c:v>0.12370792602437675</c:v>
                </c:pt>
                <c:pt idx="760">
                  <c:v>0.12357468555494079</c:v>
                </c:pt>
                <c:pt idx="761">
                  <c:v>0.12344181878158815</c:v>
                </c:pt>
                <c:pt idx="762">
                  <c:v>0.12330932427070215</c:v>
                </c:pt>
                <c:pt idx="763">
                  <c:v>0.1231772005959898</c:v>
                </c:pt>
                <c:pt idx="764">
                  <c:v>0.12304544633843512</c:v>
                </c:pt>
                <c:pt idx="765">
                  <c:v>0.12291406008625282</c:v>
                </c:pt>
                <c:pt idx="766">
                  <c:v>0.12278304043484224</c:v>
                </c:pt>
                <c:pt idx="767">
                  <c:v>0.1226523859867417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E8-42AE-BB9E-68E22299EA82}"/>
            </c:ext>
          </c:extLst>
        </c:ser>
        <c:ser>
          <c:idx val="2"/>
          <c:order val="2"/>
          <c:tx>
            <c:strRef>
              <c:f>Constraints!$D$20</c:f>
              <c:strCache>
                <c:ptCount val="1"/>
                <c:pt idx="0">
                  <c:v>T/WTO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Constraints!$D$22:$D$789</c:f>
              <c:numCache>
                <c:formatCode>0.0000</c:formatCode>
                <c:ptCount val="768"/>
                <c:pt idx="0">
                  <c:v>0.25402071424571193</c:v>
                </c:pt>
                <c:pt idx="1">
                  <c:v>0.25429299995799753</c:v>
                </c:pt>
                <c:pt idx="2">
                  <c:v>0.25456528567028314</c:v>
                </c:pt>
                <c:pt idx="3">
                  <c:v>0.25483757138256874</c:v>
                </c:pt>
                <c:pt idx="4">
                  <c:v>0.25510985709485434</c:v>
                </c:pt>
                <c:pt idx="5">
                  <c:v>0.25538214280713989</c:v>
                </c:pt>
                <c:pt idx="6">
                  <c:v>0.25565442851942555</c:v>
                </c:pt>
                <c:pt idx="7">
                  <c:v>0.25592671423171109</c:v>
                </c:pt>
                <c:pt idx="8">
                  <c:v>0.2561989999439967</c:v>
                </c:pt>
                <c:pt idx="9">
                  <c:v>0.2564712856562823</c:v>
                </c:pt>
                <c:pt idx="10">
                  <c:v>0.2567435713685679</c:v>
                </c:pt>
                <c:pt idx="11">
                  <c:v>0.2570158570808535</c:v>
                </c:pt>
                <c:pt idx="12">
                  <c:v>0.25728814279313911</c:v>
                </c:pt>
                <c:pt idx="13">
                  <c:v>0.25756042850542471</c:v>
                </c:pt>
                <c:pt idx="14">
                  <c:v>0.25783271421771031</c:v>
                </c:pt>
                <c:pt idx="15">
                  <c:v>0.25810499992999592</c:v>
                </c:pt>
                <c:pt idx="16">
                  <c:v>0.25837728564228146</c:v>
                </c:pt>
                <c:pt idx="17">
                  <c:v>0.25864957135456706</c:v>
                </c:pt>
                <c:pt idx="18">
                  <c:v>0.25892185706685267</c:v>
                </c:pt>
                <c:pt idx="19">
                  <c:v>0.25919414277913827</c:v>
                </c:pt>
                <c:pt idx="20">
                  <c:v>0.25946642849142387</c:v>
                </c:pt>
                <c:pt idx="21">
                  <c:v>0.25973871420370948</c:v>
                </c:pt>
                <c:pt idx="22">
                  <c:v>0.26001099991599508</c:v>
                </c:pt>
                <c:pt idx="23">
                  <c:v>0.26028328562828068</c:v>
                </c:pt>
                <c:pt idx="24">
                  <c:v>0.26055557134056628</c:v>
                </c:pt>
                <c:pt idx="25">
                  <c:v>0.26082785705285183</c:v>
                </c:pt>
                <c:pt idx="26">
                  <c:v>0.26110014276513743</c:v>
                </c:pt>
                <c:pt idx="27">
                  <c:v>0.26137242847742304</c:v>
                </c:pt>
                <c:pt idx="28">
                  <c:v>0.26164471418970864</c:v>
                </c:pt>
                <c:pt idx="29">
                  <c:v>0.26191699990199424</c:v>
                </c:pt>
                <c:pt idx="30">
                  <c:v>0.26218928561427984</c:v>
                </c:pt>
                <c:pt idx="31">
                  <c:v>0.26246157132656545</c:v>
                </c:pt>
                <c:pt idx="32">
                  <c:v>0.26273385703885105</c:v>
                </c:pt>
                <c:pt idx="33">
                  <c:v>0.26300614275113665</c:v>
                </c:pt>
                <c:pt idx="34">
                  <c:v>0.2632784284634222</c:v>
                </c:pt>
                <c:pt idx="35">
                  <c:v>0.26355071417570786</c:v>
                </c:pt>
                <c:pt idx="36">
                  <c:v>0.2638229998879934</c:v>
                </c:pt>
                <c:pt idx="37">
                  <c:v>0.26409528560027901</c:v>
                </c:pt>
                <c:pt idx="38">
                  <c:v>0.26436757131256461</c:v>
                </c:pt>
                <c:pt idx="39">
                  <c:v>0.26463985702485021</c:v>
                </c:pt>
                <c:pt idx="40">
                  <c:v>0.26491214273713581</c:v>
                </c:pt>
                <c:pt idx="41">
                  <c:v>0.26518442844942142</c:v>
                </c:pt>
                <c:pt idx="42">
                  <c:v>0.26545671416170702</c:v>
                </c:pt>
                <c:pt idx="43">
                  <c:v>0.26572899987399262</c:v>
                </c:pt>
                <c:pt idx="44">
                  <c:v>0.26600128558627822</c:v>
                </c:pt>
                <c:pt idx="45">
                  <c:v>0.26627357129856377</c:v>
                </c:pt>
                <c:pt idx="46">
                  <c:v>0.26654585701084937</c:v>
                </c:pt>
                <c:pt idx="47">
                  <c:v>0.26681814272313498</c:v>
                </c:pt>
                <c:pt idx="48">
                  <c:v>0.26709042843542058</c:v>
                </c:pt>
                <c:pt idx="49">
                  <c:v>0.26736271414770618</c:v>
                </c:pt>
                <c:pt idx="50">
                  <c:v>0.26763499985999178</c:v>
                </c:pt>
                <c:pt idx="51">
                  <c:v>0.26790728557227739</c:v>
                </c:pt>
                <c:pt idx="52">
                  <c:v>0.26817957128456299</c:v>
                </c:pt>
                <c:pt idx="53">
                  <c:v>0.26845185699684859</c:v>
                </c:pt>
                <c:pt idx="54">
                  <c:v>0.26872414270913414</c:v>
                </c:pt>
                <c:pt idx="55">
                  <c:v>0.26899642842141974</c:v>
                </c:pt>
                <c:pt idx="56">
                  <c:v>0.26926871413370534</c:v>
                </c:pt>
                <c:pt idx="57">
                  <c:v>0.26954099984599095</c:v>
                </c:pt>
                <c:pt idx="58">
                  <c:v>0.26981328555827655</c:v>
                </c:pt>
                <c:pt idx="59">
                  <c:v>0.27008557127056215</c:v>
                </c:pt>
                <c:pt idx="60">
                  <c:v>0.27035785698284776</c:v>
                </c:pt>
                <c:pt idx="61">
                  <c:v>0.27063014269513336</c:v>
                </c:pt>
                <c:pt idx="62">
                  <c:v>0.27090242840741896</c:v>
                </c:pt>
                <c:pt idx="63">
                  <c:v>0.27117471411970456</c:v>
                </c:pt>
                <c:pt idx="64">
                  <c:v>0.27144699983199011</c:v>
                </c:pt>
                <c:pt idx="65">
                  <c:v>0.27171928554427571</c:v>
                </c:pt>
                <c:pt idx="66">
                  <c:v>0.27199157125656132</c:v>
                </c:pt>
                <c:pt idx="67">
                  <c:v>0.27226385696884692</c:v>
                </c:pt>
                <c:pt idx="68">
                  <c:v>0.27253614268113252</c:v>
                </c:pt>
                <c:pt idx="69">
                  <c:v>0.27280842839341812</c:v>
                </c:pt>
                <c:pt idx="70">
                  <c:v>0.27308071410570373</c:v>
                </c:pt>
                <c:pt idx="71">
                  <c:v>0.27335299981798933</c:v>
                </c:pt>
                <c:pt idx="72">
                  <c:v>0.27362528553027493</c:v>
                </c:pt>
                <c:pt idx="73">
                  <c:v>0.27389757124256053</c:v>
                </c:pt>
                <c:pt idx="74">
                  <c:v>0.27416985695484608</c:v>
                </c:pt>
                <c:pt idx="75">
                  <c:v>0.27444214266713168</c:v>
                </c:pt>
                <c:pt idx="76">
                  <c:v>0.27471442837941729</c:v>
                </c:pt>
                <c:pt idx="77">
                  <c:v>0.27498671409170289</c:v>
                </c:pt>
                <c:pt idx="78">
                  <c:v>0.27525899980398849</c:v>
                </c:pt>
                <c:pt idx="79">
                  <c:v>0.27553128551627409</c:v>
                </c:pt>
                <c:pt idx="80">
                  <c:v>0.2758035712285597</c:v>
                </c:pt>
                <c:pt idx="81">
                  <c:v>0.2760758569408453</c:v>
                </c:pt>
                <c:pt idx="82">
                  <c:v>0.2763481426531309</c:v>
                </c:pt>
                <c:pt idx="83">
                  <c:v>0.27662042836541645</c:v>
                </c:pt>
                <c:pt idx="84">
                  <c:v>0.27689271407770205</c:v>
                </c:pt>
                <c:pt idx="85">
                  <c:v>0.27716499978998765</c:v>
                </c:pt>
                <c:pt idx="86">
                  <c:v>0.27743728550227326</c:v>
                </c:pt>
                <c:pt idx="87">
                  <c:v>0.27770957121455886</c:v>
                </c:pt>
                <c:pt idx="88">
                  <c:v>0.27798185692684446</c:v>
                </c:pt>
                <c:pt idx="89">
                  <c:v>0.27825414263913006</c:v>
                </c:pt>
                <c:pt idx="90">
                  <c:v>0.27852642835141567</c:v>
                </c:pt>
                <c:pt idx="91">
                  <c:v>0.27879871406370127</c:v>
                </c:pt>
                <c:pt idx="92">
                  <c:v>0.27907099977598682</c:v>
                </c:pt>
                <c:pt idx="93">
                  <c:v>0.27934328548827242</c:v>
                </c:pt>
                <c:pt idx="94">
                  <c:v>0.27961557120055802</c:v>
                </c:pt>
                <c:pt idx="95">
                  <c:v>0.27988785691284362</c:v>
                </c:pt>
                <c:pt idx="96">
                  <c:v>0.28016014262512923</c:v>
                </c:pt>
                <c:pt idx="97">
                  <c:v>0.28043242833741483</c:v>
                </c:pt>
                <c:pt idx="98">
                  <c:v>0.28070471404970043</c:v>
                </c:pt>
                <c:pt idx="99">
                  <c:v>0.28097699976198603</c:v>
                </c:pt>
                <c:pt idx="100">
                  <c:v>0.28124928547427164</c:v>
                </c:pt>
                <c:pt idx="101">
                  <c:v>0.28152157118655724</c:v>
                </c:pt>
                <c:pt idx="102">
                  <c:v>0.28179385689884284</c:v>
                </c:pt>
                <c:pt idx="103">
                  <c:v>0.28206614261112839</c:v>
                </c:pt>
                <c:pt idx="104">
                  <c:v>0.28233842832341399</c:v>
                </c:pt>
                <c:pt idx="105">
                  <c:v>0.2826107140356996</c:v>
                </c:pt>
                <c:pt idx="106">
                  <c:v>0.2828829997479852</c:v>
                </c:pt>
                <c:pt idx="107">
                  <c:v>0.2831552854602708</c:v>
                </c:pt>
                <c:pt idx="108">
                  <c:v>0.2834275711725564</c:v>
                </c:pt>
                <c:pt idx="109">
                  <c:v>0.28369985688484201</c:v>
                </c:pt>
                <c:pt idx="110">
                  <c:v>0.28397214259712761</c:v>
                </c:pt>
                <c:pt idx="111">
                  <c:v>0.28424442830941321</c:v>
                </c:pt>
                <c:pt idx="112">
                  <c:v>0.28451671402169876</c:v>
                </c:pt>
                <c:pt idx="113">
                  <c:v>0.28478899973398436</c:v>
                </c:pt>
                <c:pt idx="114">
                  <c:v>0.28506128544626996</c:v>
                </c:pt>
                <c:pt idx="115">
                  <c:v>0.28533357115855557</c:v>
                </c:pt>
                <c:pt idx="116">
                  <c:v>0.28560585687084117</c:v>
                </c:pt>
                <c:pt idx="117">
                  <c:v>0.28587814258312677</c:v>
                </c:pt>
                <c:pt idx="118">
                  <c:v>0.28615042829541237</c:v>
                </c:pt>
                <c:pt idx="119">
                  <c:v>0.28642271400769798</c:v>
                </c:pt>
                <c:pt idx="120">
                  <c:v>0.28669499971998358</c:v>
                </c:pt>
                <c:pt idx="121">
                  <c:v>0.28696728543226913</c:v>
                </c:pt>
                <c:pt idx="122">
                  <c:v>0.28723957114455473</c:v>
                </c:pt>
                <c:pt idx="123">
                  <c:v>0.28751185685684033</c:v>
                </c:pt>
                <c:pt idx="124">
                  <c:v>0.28778414256912593</c:v>
                </c:pt>
                <c:pt idx="125">
                  <c:v>0.28805642828141154</c:v>
                </c:pt>
                <c:pt idx="126">
                  <c:v>0.28832871399369714</c:v>
                </c:pt>
                <c:pt idx="127">
                  <c:v>0.28860099970598274</c:v>
                </c:pt>
                <c:pt idx="128">
                  <c:v>0.28887328541826834</c:v>
                </c:pt>
                <c:pt idx="129">
                  <c:v>0.28914557113055395</c:v>
                </c:pt>
                <c:pt idx="130">
                  <c:v>0.28941785684283955</c:v>
                </c:pt>
                <c:pt idx="131">
                  <c:v>0.28969014255512515</c:v>
                </c:pt>
                <c:pt idx="132">
                  <c:v>0.2899624282674107</c:v>
                </c:pt>
                <c:pt idx="133">
                  <c:v>0.2902347139796963</c:v>
                </c:pt>
                <c:pt idx="134">
                  <c:v>0.2905069996919819</c:v>
                </c:pt>
                <c:pt idx="135">
                  <c:v>0.29077928540426751</c:v>
                </c:pt>
                <c:pt idx="136">
                  <c:v>0.29105157111655311</c:v>
                </c:pt>
                <c:pt idx="137">
                  <c:v>0.29132385682883871</c:v>
                </c:pt>
                <c:pt idx="138">
                  <c:v>0.29159614254112431</c:v>
                </c:pt>
                <c:pt idx="139">
                  <c:v>0.29186842825340992</c:v>
                </c:pt>
                <c:pt idx="140">
                  <c:v>0.29214071396569552</c:v>
                </c:pt>
                <c:pt idx="141">
                  <c:v>0.29241299967798107</c:v>
                </c:pt>
                <c:pt idx="142">
                  <c:v>0.29268528539026667</c:v>
                </c:pt>
                <c:pt idx="143">
                  <c:v>0.29295757110255227</c:v>
                </c:pt>
                <c:pt idx="144">
                  <c:v>0.29322985681483787</c:v>
                </c:pt>
                <c:pt idx="145">
                  <c:v>0.29350214252712348</c:v>
                </c:pt>
                <c:pt idx="146">
                  <c:v>0.29377442823940908</c:v>
                </c:pt>
                <c:pt idx="147">
                  <c:v>0.29404671395169468</c:v>
                </c:pt>
                <c:pt idx="148">
                  <c:v>0.29431899966398029</c:v>
                </c:pt>
                <c:pt idx="149">
                  <c:v>0.29459128537626589</c:v>
                </c:pt>
                <c:pt idx="150">
                  <c:v>0.29486357108855143</c:v>
                </c:pt>
                <c:pt idx="151">
                  <c:v>0.29513585680083704</c:v>
                </c:pt>
                <c:pt idx="152">
                  <c:v>0.29540814251312264</c:v>
                </c:pt>
                <c:pt idx="153">
                  <c:v>0.29568042822540824</c:v>
                </c:pt>
                <c:pt idx="154">
                  <c:v>0.29595271393769385</c:v>
                </c:pt>
                <c:pt idx="155">
                  <c:v>0.29622499964997945</c:v>
                </c:pt>
                <c:pt idx="156">
                  <c:v>0.29649728536226505</c:v>
                </c:pt>
                <c:pt idx="157">
                  <c:v>0.29676957107455065</c:v>
                </c:pt>
                <c:pt idx="158">
                  <c:v>0.29704185678683626</c:v>
                </c:pt>
                <c:pt idx="159">
                  <c:v>0.29731414249912186</c:v>
                </c:pt>
                <c:pt idx="160">
                  <c:v>0.29758642821140746</c:v>
                </c:pt>
                <c:pt idx="161">
                  <c:v>0.29785871392369301</c:v>
                </c:pt>
                <c:pt idx="162">
                  <c:v>0.29813099963597861</c:v>
                </c:pt>
                <c:pt idx="163">
                  <c:v>0.29840328534826421</c:v>
                </c:pt>
                <c:pt idx="164">
                  <c:v>0.29867557106054982</c:v>
                </c:pt>
                <c:pt idx="165">
                  <c:v>0.29894785677283542</c:v>
                </c:pt>
                <c:pt idx="166">
                  <c:v>0.29922014248512102</c:v>
                </c:pt>
                <c:pt idx="167">
                  <c:v>0.29949242819740662</c:v>
                </c:pt>
                <c:pt idx="168">
                  <c:v>0.29976471390969223</c:v>
                </c:pt>
                <c:pt idx="169">
                  <c:v>0.30003699962197783</c:v>
                </c:pt>
                <c:pt idx="170">
                  <c:v>0.30030928533426338</c:v>
                </c:pt>
                <c:pt idx="171">
                  <c:v>0.30058157104654898</c:v>
                </c:pt>
                <c:pt idx="172">
                  <c:v>0.30085385675883458</c:v>
                </c:pt>
                <c:pt idx="173">
                  <c:v>0.30112614247112018</c:v>
                </c:pt>
                <c:pt idx="174">
                  <c:v>0.30139842818340579</c:v>
                </c:pt>
                <c:pt idx="175">
                  <c:v>0.30167071389569139</c:v>
                </c:pt>
                <c:pt idx="176">
                  <c:v>0.30194299960797699</c:v>
                </c:pt>
                <c:pt idx="177">
                  <c:v>0.30221528532026259</c:v>
                </c:pt>
                <c:pt idx="178">
                  <c:v>0.3024875710325482</c:v>
                </c:pt>
                <c:pt idx="179">
                  <c:v>0.30275985674483374</c:v>
                </c:pt>
                <c:pt idx="180">
                  <c:v>0.30303214245711935</c:v>
                </c:pt>
                <c:pt idx="181">
                  <c:v>0.30330442816940495</c:v>
                </c:pt>
                <c:pt idx="182">
                  <c:v>0.30357671388169055</c:v>
                </c:pt>
                <c:pt idx="183">
                  <c:v>0.30384899959397615</c:v>
                </c:pt>
                <c:pt idx="184">
                  <c:v>0.30412128530626176</c:v>
                </c:pt>
                <c:pt idx="185">
                  <c:v>0.30439357101854736</c:v>
                </c:pt>
                <c:pt idx="186">
                  <c:v>0.30466585673083296</c:v>
                </c:pt>
                <c:pt idx="187">
                  <c:v>0.30493814244311856</c:v>
                </c:pt>
                <c:pt idx="188">
                  <c:v>0.30521042815540417</c:v>
                </c:pt>
                <c:pt idx="189">
                  <c:v>0.30548271386768977</c:v>
                </c:pt>
                <c:pt idx="190">
                  <c:v>0.30575499957997532</c:v>
                </c:pt>
                <c:pt idx="191">
                  <c:v>0.30602728529226092</c:v>
                </c:pt>
                <c:pt idx="192">
                  <c:v>0.30629957100454652</c:v>
                </c:pt>
                <c:pt idx="193">
                  <c:v>0.30657185671683213</c:v>
                </c:pt>
                <c:pt idx="194">
                  <c:v>0.30684414242911773</c:v>
                </c:pt>
                <c:pt idx="195">
                  <c:v>0.30711642814140333</c:v>
                </c:pt>
                <c:pt idx="196">
                  <c:v>0.30738871385368893</c:v>
                </c:pt>
                <c:pt idx="197">
                  <c:v>0.30766099956597454</c:v>
                </c:pt>
                <c:pt idx="198">
                  <c:v>0.30793328527826014</c:v>
                </c:pt>
                <c:pt idx="199">
                  <c:v>0.30820557099054569</c:v>
                </c:pt>
                <c:pt idx="200">
                  <c:v>0.30847785670283129</c:v>
                </c:pt>
                <c:pt idx="201">
                  <c:v>0.30875014241511689</c:v>
                </c:pt>
                <c:pt idx="202">
                  <c:v>0.30902242812740249</c:v>
                </c:pt>
                <c:pt idx="203">
                  <c:v>0.3092947138396881</c:v>
                </c:pt>
                <c:pt idx="204">
                  <c:v>0.3095669995519737</c:v>
                </c:pt>
                <c:pt idx="205">
                  <c:v>0.3098392852642593</c:v>
                </c:pt>
                <c:pt idx="206">
                  <c:v>0.3101115709765449</c:v>
                </c:pt>
                <c:pt idx="207">
                  <c:v>0.31038385668883051</c:v>
                </c:pt>
                <c:pt idx="208">
                  <c:v>0.31065614240111605</c:v>
                </c:pt>
                <c:pt idx="209">
                  <c:v>0.31092842811340166</c:v>
                </c:pt>
                <c:pt idx="210">
                  <c:v>0.31120071382568726</c:v>
                </c:pt>
                <c:pt idx="211">
                  <c:v>0.31147299953797286</c:v>
                </c:pt>
                <c:pt idx="212">
                  <c:v>0.31174528525025846</c:v>
                </c:pt>
                <c:pt idx="213">
                  <c:v>0.31201757096254407</c:v>
                </c:pt>
                <c:pt idx="214">
                  <c:v>0.31228985667482967</c:v>
                </c:pt>
                <c:pt idx="215">
                  <c:v>0.31256214238711527</c:v>
                </c:pt>
                <c:pt idx="216">
                  <c:v>0.31283442809940087</c:v>
                </c:pt>
                <c:pt idx="217">
                  <c:v>0.31310671381168648</c:v>
                </c:pt>
                <c:pt idx="218">
                  <c:v>0.31337899952397202</c:v>
                </c:pt>
                <c:pt idx="219">
                  <c:v>0.31365128523625763</c:v>
                </c:pt>
                <c:pt idx="220">
                  <c:v>0.31392357094854323</c:v>
                </c:pt>
                <c:pt idx="221">
                  <c:v>0.31419585666082883</c:v>
                </c:pt>
                <c:pt idx="222">
                  <c:v>0.31446814237311443</c:v>
                </c:pt>
                <c:pt idx="223">
                  <c:v>0.31474042808540004</c:v>
                </c:pt>
                <c:pt idx="224">
                  <c:v>0.31501271379768564</c:v>
                </c:pt>
                <c:pt idx="225">
                  <c:v>0.31528499950997124</c:v>
                </c:pt>
                <c:pt idx="226">
                  <c:v>0.31555728522225684</c:v>
                </c:pt>
                <c:pt idx="227">
                  <c:v>0.31582957093454245</c:v>
                </c:pt>
                <c:pt idx="228">
                  <c:v>0.31610185664682799</c:v>
                </c:pt>
                <c:pt idx="229">
                  <c:v>0.3163741423591136</c:v>
                </c:pt>
                <c:pt idx="230">
                  <c:v>0.3166464280713992</c:v>
                </c:pt>
                <c:pt idx="231">
                  <c:v>0.3169187137836848</c:v>
                </c:pt>
                <c:pt idx="232">
                  <c:v>0.3171909994959704</c:v>
                </c:pt>
                <c:pt idx="233">
                  <c:v>0.31746328520825601</c:v>
                </c:pt>
                <c:pt idx="234">
                  <c:v>0.31773557092054161</c:v>
                </c:pt>
                <c:pt idx="235">
                  <c:v>0.31800785663282721</c:v>
                </c:pt>
                <c:pt idx="236">
                  <c:v>0.31828014234511282</c:v>
                </c:pt>
                <c:pt idx="237">
                  <c:v>0.31855242805739842</c:v>
                </c:pt>
                <c:pt idx="238">
                  <c:v>0.31882471376968397</c:v>
                </c:pt>
                <c:pt idx="239">
                  <c:v>0.31909699948196957</c:v>
                </c:pt>
                <c:pt idx="240">
                  <c:v>0.31936928519425517</c:v>
                </c:pt>
                <c:pt idx="241">
                  <c:v>0.31964157090654077</c:v>
                </c:pt>
                <c:pt idx="242">
                  <c:v>0.31991385661882638</c:v>
                </c:pt>
                <c:pt idx="243">
                  <c:v>0.32018614233111198</c:v>
                </c:pt>
                <c:pt idx="244">
                  <c:v>0.32045842804339758</c:v>
                </c:pt>
                <c:pt idx="245">
                  <c:v>0.32073071375568318</c:v>
                </c:pt>
                <c:pt idx="246">
                  <c:v>0.32100299946796879</c:v>
                </c:pt>
                <c:pt idx="247">
                  <c:v>0.32127528518025433</c:v>
                </c:pt>
                <c:pt idx="248">
                  <c:v>0.32154757089253994</c:v>
                </c:pt>
                <c:pt idx="249">
                  <c:v>0.32181985660482554</c:v>
                </c:pt>
                <c:pt idx="250">
                  <c:v>0.32209214231711114</c:v>
                </c:pt>
                <c:pt idx="251">
                  <c:v>0.32236442802939674</c:v>
                </c:pt>
                <c:pt idx="252">
                  <c:v>0.32263671374168235</c:v>
                </c:pt>
                <c:pt idx="253">
                  <c:v>0.32290899945396795</c:v>
                </c:pt>
                <c:pt idx="254">
                  <c:v>0.32318128516625355</c:v>
                </c:pt>
                <c:pt idx="255">
                  <c:v>0.32345357087853915</c:v>
                </c:pt>
                <c:pt idx="256">
                  <c:v>0.32372585659082476</c:v>
                </c:pt>
                <c:pt idx="257">
                  <c:v>0.3239981423031103</c:v>
                </c:pt>
                <c:pt idx="258">
                  <c:v>0.32427042801539591</c:v>
                </c:pt>
                <c:pt idx="259">
                  <c:v>0.32454271372768151</c:v>
                </c:pt>
                <c:pt idx="260">
                  <c:v>0.32481499943996711</c:v>
                </c:pt>
                <c:pt idx="261">
                  <c:v>0.32508728515225271</c:v>
                </c:pt>
                <c:pt idx="262">
                  <c:v>0.32535957086453832</c:v>
                </c:pt>
                <c:pt idx="263">
                  <c:v>0.32563185657682392</c:v>
                </c:pt>
                <c:pt idx="264">
                  <c:v>0.32590414228910952</c:v>
                </c:pt>
                <c:pt idx="265">
                  <c:v>0.32617642800139512</c:v>
                </c:pt>
                <c:pt idx="266">
                  <c:v>0.32644871371368073</c:v>
                </c:pt>
                <c:pt idx="267">
                  <c:v>0.32672099942596627</c:v>
                </c:pt>
                <c:pt idx="268">
                  <c:v>0.32699328513825188</c:v>
                </c:pt>
                <c:pt idx="269">
                  <c:v>0.32726557085053748</c:v>
                </c:pt>
                <c:pt idx="270">
                  <c:v>0.32753785656282308</c:v>
                </c:pt>
                <c:pt idx="271">
                  <c:v>0.32781014227510868</c:v>
                </c:pt>
                <c:pt idx="272">
                  <c:v>0.32808242798739429</c:v>
                </c:pt>
                <c:pt idx="273">
                  <c:v>0.32835471369967989</c:v>
                </c:pt>
                <c:pt idx="274">
                  <c:v>0.32862699941196549</c:v>
                </c:pt>
                <c:pt idx="275">
                  <c:v>0.3288992851242511</c:v>
                </c:pt>
                <c:pt idx="276">
                  <c:v>0.32917157083653664</c:v>
                </c:pt>
                <c:pt idx="277">
                  <c:v>0.32944385654882224</c:v>
                </c:pt>
                <c:pt idx="278">
                  <c:v>0.32971614226110785</c:v>
                </c:pt>
                <c:pt idx="279">
                  <c:v>0.32998842797339345</c:v>
                </c:pt>
                <c:pt idx="280">
                  <c:v>0.33026071368567905</c:v>
                </c:pt>
                <c:pt idx="281">
                  <c:v>0.33053299939796466</c:v>
                </c:pt>
                <c:pt idx="282">
                  <c:v>0.33080528511025026</c:v>
                </c:pt>
                <c:pt idx="283">
                  <c:v>0.33107757082253586</c:v>
                </c:pt>
                <c:pt idx="284">
                  <c:v>0.33134985653482146</c:v>
                </c:pt>
                <c:pt idx="285">
                  <c:v>0.33162214224710707</c:v>
                </c:pt>
                <c:pt idx="286">
                  <c:v>0.33189442795939261</c:v>
                </c:pt>
                <c:pt idx="287">
                  <c:v>0.33216671367167822</c:v>
                </c:pt>
                <c:pt idx="288">
                  <c:v>0.33243899938396382</c:v>
                </c:pt>
                <c:pt idx="289">
                  <c:v>0.33271128509624942</c:v>
                </c:pt>
                <c:pt idx="290">
                  <c:v>0.33298357080853502</c:v>
                </c:pt>
                <c:pt idx="291">
                  <c:v>0.33325585652082063</c:v>
                </c:pt>
                <c:pt idx="292">
                  <c:v>0.33352814223310623</c:v>
                </c:pt>
                <c:pt idx="293">
                  <c:v>0.33380042794539183</c:v>
                </c:pt>
                <c:pt idx="294">
                  <c:v>0.33407271365767743</c:v>
                </c:pt>
                <c:pt idx="295">
                  <c:v>0.33434499936996304</c:v>
                </c:pt>
                <c:pt idx="296">
                  <c:v>0.33461728508224858</c:v>
                </c:pt>
                <c:pt idx="297">
                  <c:v>0.33488957079453419</c:v>
                </c:pt>
                <c:pt idx="298">
                  <c:v>0.33516185650681979</c:v>
                </c:pt>
                <c:pt idx="299">
                  <c:v>0.33543414221910539</c:v>
                </c:pt>
                <c:pt idx="300">
                  <c:v>0.33570642793139099</c:v>
                </c:pt>
                <c:pt idx="301">
                  <c:v>0.3359787136436766</c:v>
                </c:pt>
                <c:pt idx="302">
                  <c:v>0.3362509993559622</c:v>
                </c:pt>
                <c:pt idx="303">
                  <c:v>0.3365232850682478</c:v>
                </c:pt>
                <c:pt idx="304">
                  <c:v>0.3367955707805334</c:v>
                </c:pt>
                <c:pt idx="305">
                  <c:v>0.33706785649281895</c:v>
                </c:pt>
                <c:pt idx="306">
                  <c:v>0.33734014220510455</c:v>
                </c:pt>
                <c:pt idx="307">
                  <c:v>0.33761242791739016</c:v>
                </c:pt>
                <c:pt idx="308">
                  <c:v>0.33788471362967576</c:v>
                </c:pt>
                <c:pt idx="309">
                  <c:v>0.33815699934196136</c:v>
                </c:pt>
                <c:pt idx="310">
                  <c:v>0.33842928505424696</c:v>
                </c:pt>
                <c:pt idx="311">
                  <c:v>0.33870157076653257</c:v>
                </c:pt>
                <c:pt idx="312">
                  <c:v>0.33897385647881817</c:v>
                </c:pt>
                <c:pt idx="313">
                  <c:v>0.33924614219110377</c:v>
                </c:pt>
                <c:pt idx="314">
                  <c:v>0.33951842790338937</c:v>
                </c:pt>
                <c:pt idx="315">
                  <c:v>0.33979071361567492</c:v>
                </c:pt>
                <c:pt idx="316">
                  <c:v>0.34006299932796052</c:v>
                </c:pt>
                <c:pt idx="317">
                  <c:v>0.34033528504024613</c:v>
                </c:pt>
                <c:pt idx="318">
                  <c:v>0.34060757075253173</c:v>
                </c:pt>
                <c:pt idx="319">
                  <c:v>0.34087985646481733</c:v>
                </c:pt>
                <c:pt idx="320">
                  <c:v>0.34115214217710293</c:v>
                </c:pt>
                <c:pt idx="321">
                  <c:v>0.34142442788938854</c:v>
                </c:pt>
                <c:pt idx="322">
                  <c:v>0.34169671360167414</c:v>
                </c:pt>
                <c:pt idx="323">
                  <c:v>0.34196899931395974</c:v>
                </c:pt>
                <c:pt idx="324">
                  <c:v>0.34224128502624535</c:v>
                </c:pt>
                <c:pt idx="325">
                  <c:v>0.34251357073853089</c:v>
                </c:pt>
                <c:pt idx="326">
                  <c:v>0.3427858564508165</c:v>
                </c:pt>
                <c:pt idx="327">
                  <c:v>0.3430581421631021</c:v>
                </c:pt>
                <c:pt idx="328">
                  <c:v>0.3433304278753877</c:v>
                </c:pt>
                <c:pt idx="329">
                  <c:v>0.3436027135876733</c:v>
                </c:pt>
                <c:pt idx="330">
                  <c:v>0.34387499929995891</c:v>
                </c:pt>
                <c:pt idx="331">
                  <c:v>0.34414728501224451</c:v>
                </c:pt>
                <c:pt idx="332">
                  <c:v>0.34441957072453011</c:v>
                </c:pt>
                <c:pt idx="333">
                  <c:v>0.34469185643681571</c:v>
                </c:pt>
                <c:pt idx="334">
                  <c:v>0.34496414214910126</c:v>
                </c:pt>
                <c:pt idx="335">
                  <c:v>0.34523642786138686</c:v>
                </c:pt>
                <c:pt idx="336">
                  <c:v>0.34550871357367247</c:v>
                </c:pt>
                <c:pt idx="337">
                  <c:v>0.34578099928595807</c:v>
                </c:pt>
                <c:pt idx="338">
                  <c:v>0.34605328499824367</c:v>
                </c:pt>
                <c:pt idx="339">
                  <c:v>0.34632557071052927</c:v>
                </c:pt>
                <c:pt idx="340">
                  <c:v>0.34659785642281488</c:v>
                </c:pt>
                <c:pt idx="341">
                  <c:v>0.34687014213510048</c:v>
                </c:pt>
                <c:pt idx="342">
                  <c:v>0.34714242784738608</c:v>
                </c:pt>
                <c:pt idx="343">
                  <c:v>0.34741471355967168</c:v>
                </c:pt>
                <c:pt idx="344">
                  <c:v>0.34768699927195723</c:v>
                </c:pt>
                <c:pt idx="345">
                  <c:v>0.34795928498424283</c:v>
                </c:pt>
                <c:pt idx="346">
                  <c:v>0.34823157069652844</c:v>
                </c:pt>
                <c:pt idx="347">
                  <c:v>0.34850385640881404</c:v>
                </c:pt>
                <c:pt idx="348">
                  <c:v>0.34877614212109964</c:v>
                </c:pt>
                <c:pt idx="349">
                  <c:v>0.34904842783338524</c:v>
                </c:pt>
                <c:pt idx="350">
                  <c:v>0.34932071354567085</c:v>
                </c:pt>
                <c:pt idx="351">
                  <c:v>0.34959299925795645</c:v>
                </c:pt>
                <c:pt idx="352">
                  <c:v>0.34986528497024205</c:v>
                </c:pt>
                <c:pt idx="353">
                  <c:v>0.35013757068252765</c:v>
                </c:pt>
                <c:pt idx="354">
                  <c:v>0.3504098563948132</c:v>
                </c:pt>
                <c:pt idx="355">
                  <c:v>0.3506821421070988</c:v>
                </c:pt>
                <c:pt idx="356">
                  <c:v>0.35095442781938441</c:v>
                </c:pt>
                <c:pt idx="357">
                  <c:v>0.35122671353167001</c:v>
                </c:pt>
                <c:pt idx="358">
                  <c:v>0.35149899924395561</c:v>
                </c:pt>
                <c:pt idx="359">
                  <c:v>0.35177128495624121</c:v>
                </c:pt>
                <c:pt idx="360">
                  <c:v>0.35204357066852682</c:v>
                </c:pt>
                <c:pt idx="361">
                  <c:v>0.35231585638081242</c:v>
                </c:pt>
                <c:pt idx="362">
                  <c:v>0.35258814209309802</c:v>
                </c:pt>
                <c:pt idx="363">
                  <c:v>0.35286042780538357</c:v>
                </c:pt>
                <c:pt idx="364">
                  <c:v>0.35313271351766917</c:v>
                </c:pt>
                <c:pt idx="365">
                  <c:v>0.35340499922995477</c:v>
                </c:pt>
                <c:pt idx="366">
                  <c:v>0.35367728494224038</c:v>
                </c:pt>
                <c:pt idx="367">
                  <c:v>0.35394957065452598</c:v>
                </c:pt>
                <c:pt idx="368">
                  <c:v>0.35422185636681158</c:v>
                </c:pt>
                <c:pt idx="369">
                  <c:v>0.35449414207909719</c:v>
                </c:pt>
                <c:pt idx="370">
                  <c:v>0.35476642779138279</c:v>
                </c:pt>
                <c:pt idx="371">
                  <c:v>0.35503871350366839</c:v>
                </c:pt>
                <c:pt idx="372">
                  <c:v>0.35531099921595399</c:v>
                </c:pt>
                <c:pt idx="373">
                  <c:v>0.35558328492823954</c:v>
                </c:pt>
                <c:pt idx="374">
                  <c:v>0.35585557064052514</c:v>
                </c:pt>
                <c:pt idx="375">
                  <c:v>0.35612785635281075</c:v>
                </c:pt>
                <c:pt idx="376">
                  <c:v>0.35640014206509635</c:v>
                </c:pt>
                <c:pt idx="377">
                  <c:v>0.35667242777738195</c:v>
                </c:pt>
                <c:pt idx="378">
                  <c:v>0.35694471348966755</c:v>
                </c:pt>
                <c:pt idx="379">
                  <c:v>0.35721699920195316</c:v>
                </c:pt>
                <c:pt idx="380">
                  <c:v>0.35748928491423876</c:v>
                </c:pt>
                <c:pt idx="381">
                  <c:v>0.35776157062652436</c:v>
                </c:pt>
                <c:pt idx="382">
                  <c:v>0.35803385633880996</c:v>
                </c:pt>
                <c:pt idx="383">
                  <c:v>0.35830614205109551</c:v>
                </c:pt>
                <c:pt idx="384">
                  <c:v>0.35857842776338111</c:v>
                </c:pt>
                <c:pt idx="385">
                  <c:v>0.35885071347566672</c:v>
                </c:pt>
                <c:pt idx="386">
                  <c:v>0.35912299918795232</c:v>
                </c:pt>
                <c:pt idx="387">
                  <c:v>0.35939528490023792</c:v>
                </c:pt>
                <c:pt idx="388">
                  <c:v>0.35966757061252352</c:v>
                </c:pt>
                <c:pt idx="389">
                  <c:v>0.35993985632480913</c:v>
                </c:pt>
                <c:pt idx="390">
                  <c:v>0.36021214203709473</c:v>
                </c:pt>
                <c:pt idx="391">
                  <c:v>0.36048442774938033</c:v>
                </c:pt>
                <c:pt idx="392">
                  <c:v>0.36075671346166588</c:v>
                </c:pt>
                <c:pt idx="393">
                  <c:v>0.36102899917395148</c:v>
                </c:pt>
                <c:pt idx="394">
                  <c:v>0.36130128488623708</c:v>
                </c:pt>
                <c:pt idx="395">
                  <c:v>0.36157357059852269</c:v>
                </c:pt>
                <c:pt idx="396">
                  <c:v>0.36184585631080829</c:v>
                </c:pt>
                <c:pt idx="397">
                  <c:v>0.36211814202309389</c:v>
                </c:pt>
                <c:pt idx="398">
                  <c:v>0.36239042773537949</c:v>
                </c:pt>
                <c:pt idx="399">
                  <c:v>0.3626627134476651</c:v>
                </c:pt>
                <c:pt idx="400">
                  <c:v>0.36293499915995064</c:v>
                </c:pt>
                <c:pt idx="401">
                  <c:v>0.3632072848722363</c:v>
                </c:pt>
                <c:pt idx="402">
                  <c:v>0.36347957058452185</c:v>
                </c:pt>
                <c:pt idx="403">
                  <c:v>0.36375185629680751</c:v>
                </c:pt>
                <c:pt idx="404">
                  <c:v>0.36402414200909305</c:v>
                </c:pt>
                <c:pt idx="405">
                  <c:v>0.36429642772137866</c:v>
                </c:pt>
                <c:pt idx="406">
                  <c:v>0.36456871343366426</c:v>
                </c:pt>
                <c:pt idx="407">
                  <c:v>0.36484099914594986</c:v>
                </c:pt>
                <c:pt idx="408">
                  <c:v>0.36511328485823547</c:v>
                </c:pt>
                <c:pt idx="409">
                  <c:v>0.36538557057052101</c:v>
                </c:pt>
                <c:pt idx="410">
                  <c:v>0.36565785628280667</c:v>
                </c:pt>
                <c:pt idx="411">
                  <c:v>0.36593014199509222</c:v>
                </c:pt>
                <c:pt idx="412">
                  <c:v>0.36620242770737788</c:v>
                </c:pt>
                <c:pt idx="413">
                  <c:v>0.36647471341966342</c:v>
                </c:pt>
                <c:pt idx="414">
                  <c:v>0.36674699913194903</c:v>
                </c:pt>
                <c:pt idx="415">
                  <c:v>0.36701928484423463</c:v>
                </c:pt>
                <c:pt idx="416">
                  <c:v>0.36729157055652023</c:v>
                </c:pt>
                <c:pt idx="417">
                  <c:v>0.36756385626880583</c:v>
                </c:pt>
                <c:pt idx="418">
                  <c:v>0.36783614198109144</c:v>
                </c:pt>
                <c:pt idx="419">
                  <c:v>0.36810842769337704</c:v>
                </c:pt>
                <c:pt idx="420">
                  <c:v>0.36838071340566259</c:v>
                </c:pt>
                <c:pt idx="421">
                  <c:v>0.36865299911794824</c:v>
                </c:pt>
                <c:pt idx="422">
                  <c:v>0.36892528483023379</c:v>
                </c:pt>
                <c:pt idx="423">
                  <c:v>0.36919757054251945</c:v>
                </c:pt>
                <c:pt idx="424">
                  <c:v>0.369469856254805</c:v>
                </c:pt>
                <c:pt idx="425">
                  <c:v>0.3697421419670906</c:v>
                </c:pt>
                <c:pt idx="426">
                  <c:v>0.3700144276793762</c:v>
                </c:pt>
                <c:pt idx="427">
                  <c:v>0.3702867133916618</c:v>
                </c:pt>
                <c:pt idx="428">
                  <c:v>0.37055899910394741</c:v>
                </c:pt>
                <c:pt idx="429">
                  <c:v>0.37083128481623295</c:v>
                </c:pt>
                <c:pt idx="430">
                  <c:v>0.37110357052851861</c:v>
                </c:pt>
                <c:pt idx="431">
                  <c:v>0.37137585624080416</c:v>
                </c:pt>
                <c:pt idx="432">
                  <c:v>0.37164814195308982</c:v>
                </c:pt>
                <c:pt idx="433">
                  <c:v>0.37192042766537536</c:v>
                </c:pt>
                <c:pt idx="434">
                  <c:v>0.37219271337766097</c:v>
                </c:pt>
                <c:pt idx="435">
                  <c:v>0.37246499908994657</c:v>
                </c:pt>
                <c:pt idx="436">
                  <c:v>0.37273728480223217</c:v>
                </c:pt>
                <c:pt idx="437">
                  <c:v>0.37300957051451777</c:v>
                </c:pt>
                <c:pt idx="438">
                  <c:v>0.37328185622680332</c:v>
                </c:pt>
                <c:pt idx="439">
                  <c:v>0.37355414193908898</c:v>
                </c:pt>
                <c:pt idx="440">
                  <c:v>0.37382642765137453</c:v>
                </c:pt>
                <c:pt idx="441">
                  <c:v>0.37409871336366018</c:v>
                </c:pt>
                <c:pt idx="442">
                  <c:v>0.37437099907594573</c:v>
                </c:pt>
                <c:pt idx="443">
                  <c:v>0.37464328478823133</c:v>
                </c:pt>
                <c:pt idx="444">
                  <c:v>0.37491557050051694</c:v>
                </c:pt>
                <c:pt idx="445">
                  <c:v>0.37518785621280254</c:v>
                </c:pt>
                <c:pt idx="446">
                  <c:v>0.37546014192508814</c:v>
                </c:pt>
                <c:pt idx="447">
                  <c:v>0.37573242763737369</c:v>
                </c:pt>
                <c:pt idx="448">
                  <c:v>0.37600471334965935</c:v>
                </c:pt>
                <c:pt idx="449">
                  <c:v>0.37627699906194489</c:v>
                </c:pt>
                <c:pt idx="450">
                  <c:v>0.37654928477423055</c:v>
                </c:pt>
                <c:pt idx="451">
                  <c:v>0.3768215704865161</c:v>
                </c:pt>
                <c:pt idx="452">
                  <c:v>0.3770938561988017</c:v>
                </c:pt>
                <c:pt idx="453">
                  <c:v>0.3773661419110873</c:v>
                </c:pt>
                <c:pt idx="454">
                  <c:v>0.37763842762337291</c:v>
                </c:pt>
                <c:pt idx="455">
                  <c:v>0.37791071333565851</c:v>
                </c:pt>
                <c:pt idx="456">
                  <c:v>0.37818299904794406</c:v>
                </c:pt>
                <c:pt idx="457">
                  <c:v>0.37845528476022972</c:v>
                </c:pt>
                <c:pt idx="458">
                  <c:v>0.37872757047251526</c:v>
                </c:pt>
                <c:pt idx="459">
                  <c:v>0.37899985618480092</c:v>
                </c:pt>
                <c:pt idx="460">
                  <c:v>0.37927214189708647</c:v>
                </c:pt>
                <c:pt idx="461">
                  <c:v>0.37954442760937207</c:v>
                </c:pt>
                <c:pt idx="462">
                  <c:v>0.37981671332165767</c:v>
                </c:pt>
                <c:pt idx="463">
                  <c:v>0.38008899903394328</c:v>
                </c:pt>
                <c:pt idx="464">
                  <c:v>0.38036128474622888</c:v>
                </c:pt>
                <c:pt idx="465">
                  <c:v>0.38063357045851448</c:v>
                </c:pt>
                <c:pt idx="466">
                  <c:v>0.38090585617080008</c:v>
                </c:pt>
                <c:pt idx="467">
                  <c:v>0.38117814188308563</c:v>
                </c:pt>
                <c:pt idx="468">
                  <c:v>0.38145042759537129</c:v>
                </c:pt>
                <c:pt idx="469">
                  <c:v>0.38172271330765684</c:v>
                </c:pt>
                <c:pt idx="470">
                  <c:v>0.38199499901994249</c:v>
                </c:pt>
                <c:pt idx="471">
                  <c:v>0.38226728473222804</c:v>
                </c:pt>
                <c:pt idx="472">
                  <c:v>0.38253957044451364</c:v>
                </c:pt>
                <c:pt idx="473">
                  <c:v>0.38281185615679925</c:v>
                </c:pt>
                <c:pt idx="474">
                  <c:v>0.38308414186908485</c:v>
                </c:pt>
                <c:pt idx="475">
                  <c:v>0.38335642758137045</c:v>
                </c:pt>
                <c:pt idx="476">
                  <c:v>0.383628713293656</c:v>
                </c:pt>
                <c:pt idx="477">
                  <c:v>0.38390099900594166</c:v>
                </c:pt>
                <c:pt idx="478">
                  <c:v>0.3841732847182272</c:v>
                </c:pt>
                <c:pt idx="479">
                  <c:v>0.38444557043051286</c:v>
                </c:pt>
                <c:pt idx="480">
                  <c:v>0.38471785614279841</c:v>
                </c:pt>
                <c:pt idx="481">
                  <c:v>0.38499014185508401</c:v>
                </c:pt>
                <c:pt idx="482">
                  <c:v>0.38526242756736961</c:v>
                </c:pt>
                <c:pt idx="483">
                  <c:v>0.38553471327965522</c:v>
                </c:pt>
                <c:pt idx="484">
                  <c:v>0.38580699899194082</c:v>
                </c:pt>
                <c:pt idx="485">
                  <c:v>0.38607928470422637</c:v>
                </c:pt>
                <c:pt idx="486">
                  <c:v>0.38635157041651202</c:v>
                </c:pt>
                <c:pt idx="487">
                  <c:v>0.38662385612879757</c:v>
                </c:pt>
                <c:pt idx="488">
                  <c:v>0.38689614184108323</c:v>
                </c:pt>
                <c:pt idx="489">
                  <c:v>0.38716842755336878</c:v>
                </c:pt>
                <c:pt idx="490">
                  <c:v>0.38744071326565438</c:v>
                </c:pt>
                <c:pt idx="491">
                  <c:v>0.38771299897793998</c:v>
                </c:pt>
                <c:pt idx="492">
                  <c:v>0.38798528469022558</c:v>
                </c:pt>
                <c:pt idx="493">
                  <c:v>0.38825757040251119</c:v>
                </c:pt>
                <c:pt idx="494">
                  <c:v>0.38852985611479679</c:v>
                </c:pt>
                <c:pt idx="495">
                  <c:v>0.38880214182708239</c:v>
                </c:pt>
                <c:pt idx="496">
                  <c:v>0.38907442753936794</c:v>
                </c:pt>
                <c:pt idx="497">
                  <c:v>0.3893467132516536</c:v>
                </c:pt>
                <c:pt idx="498">
                  <c:v>0.38961899896393914</c:v>
                </c:pt>
                <c:pt idx="499">
                  <c:v>0.3898912846762248</c:v>
                </c:pt>
                <c:pt idx="500">
                  <c:v>0.39016357038851035</c:v>
                </c:pt>
                <c:pt idx="501">
                  <c:v>0.39043585610079595</c:v>
                </c:pt>
                <c:pt idx="502">
                  <c:v>0.39070814181308156</c:v>
                </c:pt>
                <c:pt idx="503">
                  <c:v>0.39098042752536716</c:v>
                </c:pt>
                <c:pt idx="504">
                  <c:v>0.39125271323765276</c:v>
                </c:pt>
                <c:pt idx="505">
                  <c:v>0.39152499894993831</c:v>
                </c:pt>
                <c:pt idx="506">
                  <c:v>0.39179728466222397</c:v>
                </c:pt>
                <c:pt idx="507">
                  <c:v>0.39206957037450951</c:v>
                </c:pt>
                <c:pt idx="508">
                  <c:v>0.39234185608679517</c:v>
                </c:pt>
                <c:pt idx="509">
                  <c:v>0.39261414179908072</c:v>
                </c:pt>
                <c:pt idx="510">
                  <c:v>0.39288642751136632</c:v>
                </c:pt>
                <c:pt idx="511">
                  <c:v>0.39315871322365192</c:v>
                </c:pt>
                <c:pt idx="512">
                  <c:v>0.39343099893593753</c:v>
                </c:pt>
                <c:pt idx="513">
                  <c:v>0.39370328464822313</c:v>
                </c:pt>
                <c:pt idx="514">
                  <c:v>0.39397557036050868</c:v>
                </c:pt>
                <c:pt idx="515">
                  <c:v>0.39424785607279433</c:v>
                </c:pt>
                <c:pt idx="516">
                  <c:v>0.39452014178507988</c:v>
                </c:pt>
                <c:pt idx="517">
                  <c:v>0.39479242749736554</c:v>
                </c:pt>
                <c:pt idx="518">
                  <c:v>0.39506471320965109</c:v>
                </c:pt>
                <c:pt idx="519">
                  <c:v>0.39533699892193669</c:v>
                </c:pt>
                <c:pt idx="520">
                  <c:v>0.39560928463422229</c:v>
                </c:pt>
                <c:pt idx="521">
                  <c:v>0.39588157034650789</c:v>
                </c:pt>
                <c:pt idx="522">
                  <c:v>0.3961538560587935</c:v>
                </c:pt>
                <c:pt idx="523">
                  <c:v>0.3964261417710791</c:v>
                </c:pt>
                <c:pt idx="524">
                  <c:v>0.3966984274833647</c:v>
                </c:pt>
                <c:pt idx="525">
                  <c:v>0.39697071319565025</c:v>
                </c:pt>
                <c:pt idx="526">
                  <c:v>0.39724299890793591</c:v>
                </c:pt>
                <c:pt idx="527">
                  <c:v>0.39751528462022145</c:v>
                </c:pt>
                <c:pt idx="528">
                  <c:v>0.39778757033250711</c:v>
                </c:pt>
                <c:pt idx="529">
                  <c:v>0.39805985604479266</c:v>
                </c:pt>
                <c:pt idx="530">
                  <c:v>0.39833214175707826</c:v>
                </c:pt>
                <c:pt idx="531">
                  <c:v>0.39860442746936386</c:v>
                </c:pt>
                <c:pt idx="532">
                  <c:v>0.39887671318164947</c:v>
                </c:pt>
                <c:pt idx="533">
                  <c:v>0.39914899889393507</c:v>
                </c:pt>
                <c:pt idx="534">
                  <c:v>0.39942128460622062</c:v>
                </c:pt>
                <c:pt idx="535">
                  <c:v>0.39969357031850627</c:v>
                </c:pt>
                <c:pt idx="536">
                  <c:v>0.39996585603079182</c:v>
                </c:pt>
                <c:pt idx="537">
                  <c:v>0.40023814174307748</c:v>
                </c:pt>
                <c:pt idx="538">
                  <c:v>0.40051042745536303</c:v>
                </c:pt>
                <c:pt idx="539">
                  <c:v>0.40078271316764863</c:v>
                </c:pt>
                <c:pt idx="540">
                  <c:v>0.40105499887993423</c:v>
                </c:pt>
                <c:pt idx="541">
                  <c:v>0.40132728459221984</c:v>
                </c:pt>
                <c:pt idx="542">
                  <c:v>0.40159957030450544</c:v>
                </c:pt>
                <c:pt idx="543">
                  <c:v>0.40187185601679098</c:v>
                </c:pt>
                <c:pt idx="544">
                  <c:v>0.40214414172907664</c:v>
                </c:pt>
                <c:pt idx="545">
                  <c:v>0.40241642744136219</c:v>
                </c:pt>
                <c:pt idx="546">
                  <c:v>0.40268871315364785</c:v>
                </c:pt>
                <c:pt idx="547">
                  <c:v>0.4029609988659334</c:v>
                </c:pt>
                <c:pt idx="548">
                  <c:v>0.403233284578219</c:v>
                </c:pt>
                <c:pt idx="549">
                  <c:v>0.4035055702905046</c:v>
                </c:pt>
                <c:pt idx="550">
                  <c:v>0.4037778560027902</c:v>
                </c:pt>
                <c:pt idx="551">
                  <c:v>0.40405014171507581</c:v>
                </c:pt>
                <c:pt idx="552">
                  <c:v>0.40432242742736141</c:v>
                </c:pt>
                <c:pt idx="553">
                  <c:v>0.40459471313964701</c:v>
                </c:pt>
                <c:pt idx="554">
                  <c:v>0.40486699885193256</c:v>
                </c:pt>
                <c:pt idx="555">
                  <c:v>0.40513928456421822</c:v>
                </c:pt>
                <c:pt idx="556">
                  <c:v>0.40541157027650376</c:v>
                </c:pt>
                <c:pt idx="557">
                  <c:v>0.40568385598878942</c:v>
                </c:pt>
                <c:pt idx="558">
                  <c:v>0.40595614170107497</c:v>
                </c:pt>
                <c:pt idx="559">
                  <c:v>0.40622842741336057</c:v>
                </c:pt>
                <c:pt idx="560">
                  <c:v>0.40650071312564617</c:v>
                </c:pt>
                <c:pt idx="561">
                  <c:v>0.40677299883793178</c:v>
                </c:pt>
                <c:pt idx="562">
                  <c:v>0.40704528455021738</c:v>
                </c:pt>
                <c:pt idx="563">
                  <c:v>0.40731757026250293</c:v>
                </c:pt>
                <c:pt idx="564">
                  <c:v>0.40758985597478858</c:v>
                </c:pt>
                <c:pt idx="565">
                  <c:v>0.40786214168707413</c:v>
                </c:pt>
                <c:pt idx="566">
                  <c:v>0.40813442739935979</c:v>
                </c:pt>
                <c:pt idx="567">
                  <c:v>0.40840671311164534</c:v>
                </c:pt>
                <c:pt idx="568">
                  <c:v>0.40867899882393094</c:v>
                </c:pt>
                <c:pt idx="569">
                  <c:v>0.40895128453621654</c:v>
                </c:pt>
                <c:pt idx="570">
                  <c:v>0.40922357024850214</c:v>
                </c:pt>
                <c:pt idx="571">
                  <c:v>0.40949585596078775</c:v>
                </c:pt>
                <c:pt idx="572">
                  <c:v>0.40976814167307329</c:v>
                </c:pt>
                <c:pt idx="573">
                  <c:v>0.41004042738535895</c:v>
                </c:pt>
                <c:pt idx="574">
                  <c:v>0.4103127130976445</c:v>
                </c:pt>
                <c:pt idx="575">
                  <c:v>0.41058499880993016</c:v>
                </c:pt>
                <c:pt idx="576">
                  <c:v>0.4108572845222157</c:v>
                </c:pt>
                <c:pt idx="577">
                  <c:v>0.41112957023450131</c:v>
                </c:pt>
                <c:pt idx="578">
                  <c:v>0.41140185594678691</c:v>
                </c:pt>
                <c:pt idx="579">
                  <c:v>0.41167414165907251</c:v>
                </c:pt>
                <c:pt idx="580">
                  <c:v>0.41194642737135811</c:v>
                </c:pt>
                <c:pt idx="581">
                  <c:v>0.41221871308364372</c:v>
                </c:pt>
                <c:pt idx="582">
                  <c:v>0.41249099879592932</c:v>
                </c:pt>
                <c:pt idx="583">
                  <c:v>0.41276328450821487</c:v>
                </c:pt>
                <c:pt idx="584">
                  <c:v>0.41303557022050053</c:v>
                </c:pt>
                <c:pt idx="585">
                  <c:v>0.41330785593278607</c:v>
                </c:pt>
                <c:pt idx="586">
                  <c:v>0.41358014164507173</c:v>
                </c:pt>
                <c:pt idx="587">
                  <c:v>0.41385242735735728</c:v>
                </c:pt>
                <c:pt idx="588">
                  <c:v>0.41412471306964288</c:v>
                </c:pt>
                <c:pt idx="589">
                  <c:v>0.41439699878192848</c:v>
                </c:pt>
                <c:pt idx="590">
                  <c:v>0.41466928449421409</c:v>
                </c:pt>
                <c:pt idx="591">
                  <c:v>0.41494157020649969</c:v>
                </c:pt>
                <c:pt idx="592">
                  <c:v>0.41521385591878524</c:v>
                </c:pt>
                <c:pt idx="593">
                  <c:v>0.41548614163107089</c:v>
                </c:pt>
                <c:pt idx="594">
                  <c:v>0.41575842734335644</c:v>
                </c:pt>
                <c:pt idx="595">
                  <c:v>0.4160307130556421</c:v>
                </c:pt>
                <c:pt idx="596">
                  <c:v>0.41630299876792765</c:v>
                </c:pt>
                <c:pt idx="597">
                  <c:v>0.41657528448021325</c:v>
                </c:pt>
                <c:pt idx="598">
                  <c:v>0.41684757019249885</c:v>
                </c:pt>
                <c:pt idx="599">
                  <c:v>0.41711985590478445</c:v>
                </c:pt>
                <c:pt idx="600">
                  <c:v>0.41739214161707006</c:v>
                </c:pt>
                <c:pt idx="601">
                  <c:v>0.4176644273293556</c:v>
                </c:pt>
                <c:pt idx="602">
                  <c:v>0.41793671304164126</c:v>
                </c:pt>
                <c:pt idx="603">
                  <c:v>0.41820899875392681</c:v>
                </c:pt>
                <c:pt idx="604">
                  <c:v>0.41848128446621247</c:v>
                </c:pt>
                <c:pt idx="605">
                  <c:v>0.41875357017849801</c:v>
                </c:pt>
                <c:pt idx="606">
                  <c:v>0.41902585589078362</c:v>
                </c:pt>
                <c:pt idx="607">
                  <c:v>0.41929814160306922</c:v>
                </c:pt>
                <c:pt idx="608">
                  <c:v>0.41957042731535482</c:v>
                </c:pt>
                <c:pt idx="609">
                  <c:v>0.41984271302764042</c:v>
                </c:pt>
                <c:pt idx="610">
                  <c:v>0.42011499873992603</c:v>
                </c:pt>
                <c:pt idx="611">
                  <c:v>0.42038728445221163</c:v>
                </c:pt>
                <c:pt idx="612">
                  <c:v>0.42065957016449718</c:v>
                </c:pt>
                <c:pt idx="613">
                  <c:v>0.42093185587678283</c:v>
                </c:pt>
                <c:pt idx="614">
                  <c:v>0.42120414158906838</c:v>
                </c:pt>
                <c:pt idx="615">
                  <c:v>0.42147642730135404</c:v>
                </c:pt>
                <c:pt idx="616">
                  <c:v>0.42174871301363959</c:v>
                </c:pt>
                <c:pt idx="617">
                  <c:v>0.42202099872592519</c:v>
                </c:pt>
                <c:pt idx="618">
                  <c:v>0.42229328443821079</c:v>
                </c:pt>
                <c:pt idx="619">
                  <c:v>0.42256557015049639</c:v>
                </c:pt>
                <c:pt idx="620">
                  <c:v>0.422837855862782</c:v>
                </c:pt>
                <c:pt idx="621">
                  <c:v>0.42311014157506754</c:v>
                </c:pt>
                <c:pt idx="622">
                  <c:v>0.4233824272873532</c:v>
                </c:pt>
                <c:pt idx="623">
                  <c:v>0.42365471299963875</c:v>
                </c:pt>
                <c:pt idx="624">
                  <c:v>0.42392699871192441</c:v>
                </c:pt>
                <c:pt idx="625">
                  <c:v>0.42419928442420995</c:v>
                </c:pt>
                <c:pt idx="626">
                  <c:v>0.42447157013649556</c:v>
                </c:pt>
                <c:pt idx="627">
                  <c:v>0.42474385584878116</c:v>
                </c:pt>
                <c:pt idx="628">
                  <c:v>0.42501614156106676</c:v>
                </c:pt>
                <c:pt idx="629">
                  <c:v>0.42528842727335237</c:v>
                </c:pt>
                <c:pt idx="630">
                  <c:v>0.42556071298563791</c:v>
                </c:pt>
                <c:pt idx="631">
                  <c:v>0.42583299869792357</c:v>
                </c:pt>
                <c:pt idx="632">
                  <c:v>0.42610528441020912</c:v>
                </c:pt>
                <c:pt idx="633">
                  <c:v>0.42637757012249478</c:v>
                </c:pt>
                <c:pt idx="634">
                  <c:v>0.42664985583478032</c:v>
                </c:pt>
                <c:pt idx="635">
                  <c:v>0.42692214154706593</c:v>
                </c:pt>
                <c:pt idx="636">
                  <c:v>0.42719442725935153</c:v>
                </c:pt>
                <c:pt idx="637">
                  <c:v>0.42746671297163713</c:v>
                </c:pt>
                <c:pt idx="638">
                  <c:v>0.42773899868392273</c:v>
                </c:pt>
                <c:pt idx="639">
                  <c:v>0.42801128439620834</c:v>
                </c:pt>
                <c:pt idx="640">
                  <c:v>0.42828357010849394</c:v>
                </c:pt>
                <c:pt idx="641">
                  <c:v>0.42855585582077949</c:v>
                </c:pt>
                <c:pt idx="642">
                  <c:v>0.42882814153306514</c:v>
                </c:pt>
                <c:pt idx="643">
                  <c:v>0.42910042724535069</c:v>
                </c:pt>
                <c:pt idx="644">
                  <c:v>0.42937271295763635</c:v>
                </c:pt>
                <c:pt idx="645">
                  <c:v>0.4296449986699219</c:v>
                </c:pt>
                <c:pt idx="646">
                  <c:v>0.4299172843822075</c:v>
                </c:pt>
                <c:pt idx="647">
                  <c:v>0.4301895700944931</c:v>
                </c:pt>
                <c:pt idx="648">
                  <c:v>0.4304618558067787</c:v>
                </c:pt>
                <c:pt idx="649">
                  <c:v>0.43073414151906431</c:v>
                </c:pt>
                <c:pt idx="650">
                  <c:v>0.43100642723134985</c:v>
                </c:pt>
                <c:pt idx="651">
                  <c:v>0.43127871294363551</c:v>
                </c:pt>
                <c:pt idx="652">
                  <c:v>0.43155099865592106</c:v>
                </c:pt>
                <c:pt idx="653">
                  <c:v>0.43182328436820672</c:v>
                </c:pt>
                <c:pt idx="654">
                  <c:v>0.43209557008049226</c:v>
                </c:pt>
                <c:pt idx="655">
                  <c:v>0.43236785579277787</c:v>
                </c:pt>
                <c:pt idx="656">
                  <c:v>0.43264014150506347</c:v>
                </c:pt>
                <c:pt idx="657">
                  <c:v>0.43291242721734907</c:v>
                </c:pt>
                <c:pt idx="658">
                  <c:v>0.43318471292963467</c:v>
                </c:pt>
                <c:pt idx="659">
                  <c:v>0.43345699864192022</c:v>
                </c:pt>
                <c:pt idx="660">
                  <c:v>0.43372928435420588</c:v>
                </c:pt>
                <c:pt idx="661">
                  <c:v>0.43400157006649143</c:v>
                </c:pt>
                <c:pt idx="662">
                  <c:v>0.43427385577877708</c:v>
                </c:pt>
                <c:pt idx="663">
                  <c:v>0.43454614149106263</c:v>
                </c:pt>
                <c:pt idx="664">
                  <c:v>0.43481842720334823</c:v>
                </c:pt>
                <c:pt idx="665">
                  <c:v>0.43509071291563384</c:v>
                </c:pt>
                <c:pt idx="666">
                  <c:v>0.43536299862791944</c:v>
                </c:pt>
                <c:pt idx="667">
                  <c:v>0.43563528434020504</c:v>
                </c:pt>
                <c:pt idx="668">
                  <c:v>0.43590757005249064</c:v>
                </c:pt>
                <c:pt idx="669">
                  <c:v>0.43617985576477625</c:v>
                </c:pt>
                <c:pt idx="670">
                  <c:v>0.43645214147706179</c:v>
                </c:pt>
                <c:pt idx="671">
                  <c:v>0.43672442718934745</c:v>
                </c:pt>
                <c:pt idx="672">
                  <c:v>0.436996712901633</c:v>
                </c:pt>
                <c:pt idx="673">
                  <c:v>0.43726899861391866</c:v>
                </c:pt>
                <c:pt idx="674">
                  <c:v>0.43754128432620421</c:v>
                </c:pt>
                <c:pt idx="675">
                  <c:v>0.43781357003848981</c:v>
                </c:pt>
                <c:pt idx="676">
                  <c:v>0.43808585575077541</c:v>
                </c:pt>
                <c:pt idx="677">
                  <c:v>0.43835814146306101</c:v>
                </c:pt>
                <c:pt idx="678">
                  <c:v>0.43863042717534662</c:v>
                </c:pt>
                <c:pt idx="679">
                  <c:v>0.43890271288763216</c:v>
                </c:pt>
                <c:pt idx="680">
                  <c:v>0.43917499859991782</c:v>
                </c:pt>
                <c:pt idx="681">
                  <c:v>0.43944728431220337</c:v>
                </c:pt>
                <c:pt idx="682">
                  <c:v>0.43971957002448903</c:v>
                </c:pt>
                <c:pt idx="683">
                  <c:v>0.43999185573677457</c:v>
                </c:pt>
                <c:pt idx="684">
                  <c:v>0.44026414144906018</c:v>
                </c:pt>
                <c:pt idx="685">
                  <c:v>0.44053642716134578</c:v>
                </c:pt>
                <c:pt idx="686">
                  <c:v>0.44080871287363138</c:v>
                </c:pt>
                <c:pt idx="687">
                  <c:v>0.44108099858591698</c:v>
                </c:pt>
                <c:pt idx="688">
                  <c:v>0.44135328429820253</c:v>
                </c:pt>
                <c:pt idx="689">
                  <c:v>0.44162557001048819</c:v>
                </c:pt>
                <c:pt idx="690">
                  <c:v>0.44189785572277374</c:v>
                </c:pt>
                <c:pt idx="691">
                  <c:v>0.44217014143505939</c:v>
                </c:pt>
                <c:pt idx="692">
                  <c:v>0.44244242714734494</c:v>
                </c:pt>
                <c:pt idx="693">
                  <c:v>0.44271471285963054</c:v>
                </c:pt>
                <c:pt idx="694">
                  <c:v>0.44298699857191615</c:v>
                </c:pt>
                <c:pt idx="695">
                  <c:v>0.44325928428420175</c:v>
                </c:pt>
                <c:pt idx="696">
                  <c:v>0.44353156999648735</c:v>
                </c:pt>
                <c:pt idx="697">
                  <c:v>0.44380385570877295</c:v>
                </c:pt>
                <c:pt idx="698">
                  <c:v>0.44407614142105856</c:v>
                </c:pt>
                <c:pt idx="699">
                  <c:v>0.4443484271333441</c:v>
                </c:pt>
                <c:pt idx="700">
                  <c:v>0.44462071284562976</c:v>
                </c:pt>
                <c:pt idx="701">
                  <c:v>0.44489299855791531</c:v>
                </c:pt>
                <c:pt idx="702">
                  <c:v>0.44516528427020097</c:v>
                </c:pt>
                <c:pt idx="703">
                  <c:v>0.44543756998248651</c:v>
                </c:pt>
                <c:pt idx="704">
                  <c:v>0.44570985569477212</c:v>
                </c:pt>
                <c:pt idx="705">
                  <c:v>0.44598214140705772</c:v>
                </c:pt>
                <c:pt idx="706">
                  <c:v>0.44625442711934332</c:v>
                </c:pt>
                <c:pt idx="707">
                  <c:v>0.44652671283162892</c:v>
                </c:pt>
                <c:pt idx="708">
                  <c:v>0.44679899854391447</c:v>
                </c:pt>
                <c:pt idx="709">
                  <c:v>0.44707128425620013</c:v>
                </c:pt>
                <c:pt idx="710">
                  <c:v>0.44734356996848568</c:v>
                </c:pt>
                <c:pt idx="711">
                  <c:v>0.44761585568077134</c:v>
                </c:pt>
                <c:pt idx="712">
                  <c:v>0.44788814139305688</c:v>
                </c:pt>
                <c:pt idx="713">
                  <c:v>0.44816042710534248</c:v>
                </c:pt>
                <c:pt idx="714">
                  <c:v>0.44843271281762809</c:v>
                </c:pt>
                <c:pt idx="715">
                  <c:v>0.44870499852991369</c:v>
                </c:pt>
                <c:pt idx="716">
                  <c:v>0.44897728424219929</c:v>
                </c:pt>
                <c:pt idx="717">
                  <c:v>0.44924956995448484</c:v>
                </c:pt>
                <c:pt idx="718">
                  <c:v>0.4495218556667705</c:v>
                </c:pt>
                <c:pt idx="719">
                  <c:v>0.44979414137905604</c:v>
                </c:pt>
                <c:pt idx="720">
                  <c:v>0.4500664270913417</c:v>
                </c:pt>
                <c:pt idx="721">
                  <c:v>0.45033871280362725</c:v>
                </c:pt>
                <c:pt idx="722">
                  <c:v>0.45061099851591285</c:v>
                </c:pt>
                <c:pt idx="723">
                  <c:v>0.45088328422819846</c:v>
                </c:pt>
                <c:pt idx="724">
                  <c:v>0.45115556994048406</c:v>
                </c:pt>
                <c:pt idx="725">
                  <c:v>0.45142785565276966</c:v>
                </c:pt>
                <c:pt idx="726">
                  <c:v>0.45170014136505526</c:v>
                </c:pt>
                <c:pt idx="727">
                  <c:v>0.45197242707734087</c:v>
                </c:pt>
                <c:pt idx="728">
                  <c:v>0.45224471278962641</c:v>
                </c:pt>
                <c:pt idx="729">
                  <c:v>0.45251699850191207</c:v>
                </c:pt>
                <c:pt idx="730">
                  <c:v>0.45278928421419762</c:v>
                </c:pt>
                <c:pt idx="731">
                  <c:v>0.45306156992648328</c:v>
                </c:pt>
                <c:pt idx="732">
                  <c:v>0.45333385563876882</c:v>
                </c:pt>
                <c:pt idx="733">
                  <c:v>0.45360614135105443</c:v>
                </c:pt>
                <c:pt idx="734">
                  <c:v>0.45387842706334003</c:v>
                </c:pt>
                <c:pt idx="735">
                  <c:v>0.45415071277562563</c:v>
                </c:pt>
                <c:pt idx="736">
                  <c:v>0.45442299848791123</c:v>
                </c:pt>
                <c:pt idx="737">
                  <c:v>0.45469528420019678</c:v>
                </c:pt>
                <c:pt idx="738">
                  <c:v>0.45496756991248244</c:v>
                </c:pt>
                <c:pt idx="739">
                  <c:v>0.45523985562476799</c:v>
                </c:pt>
                <c:pt idx="740">
                  <c:v>0.45551214133705364</c:v>
                </c:pt>
                <c:pt idx="741">
                  <c:v>0.45578442704933919</c:v>
                </c:pt>
                <c:pt idx="742">
                  <c:v>0.45605671276162479</c:v>
                </c:pt>
                <c:pt idx="743">
                  <c:v>0.4563289984739104</c:v>
                </c:pt>
                <c:pt idx="744">
                  <c:v>0.456601284186196</c:v>
                </c:pt>
                <c:pt idx="745">
                  <c:v>0.4568735698984816</c:v>
                </c:pt>
                <c:pt idx="746">
                  <c:v>0.45714585561076715</c:v>
                </c:pt>
                <c:pt idx="747">
                  <c:v>0.45741814132305281</c:v>
                </c:pt>
                <c:pt idx="748">
                  <c:v>0.45769042703533835</c:v>
                </c:pt>
                <c:pt idx="749">
                  <c:v>0.45796271274762401</c:v>
                </c:pt>
                <c:pt idx="750">
                  <c:v>0.45823499845990956</c:v>
                </c:pt>
                <c:pt idx="751">
                  <c:v>0.45850728417219516</c:v>
                </c:pt>
                <c:pt idx="752">
                  <c:v>0.45877956988448076</c:v>
                </c:pt>
                <c:pt idx="753">
                  <c:v>0.45905185559676637</c:v>
                </c:pt>
                <c:pt idx="754">
                  <c:v>0.45932414130905197</c:v>
                </c:pt>
                <c:pt idx="755">
                  <c:v>0.45959642702133757</c:v>
                </c:pt>
                <c:pt idx="756">
                  <c:v>0.45986871273362318</c:v>
                </c:pt>
                <c:pt idx="757">
                  <c:v>0.46014099844590872</c:v>
                </c:pt>
                <c:pt idx="758">
                  <c:v>0.46041328415819438</c:v>
                </c:pt>
                <c:pt idx="759">
                  <c:v>0.46068556987047993</c:v>
                </c:pt>
                <c:pt idx="760">
                  <c:v>0.46095785558276559</c:v>
                </c:pt>
                <c:pt idx="761">
                  <c:v>0.46123014129505113</c:v>
                </c:pt>
                <c:pt idx="762">
                  <c:v>0.46150242700733674</c:v>
                </c:pt>
                <c:pt idx="763">
                  <c:v>0.46177471271962234</c:v>
                </c:pt>
                <c:pt idx="764">
                  <c:v>0.46204699843190794</c:v>
                </c:pt>
                <c:pt idx="765">
                  <c:v>0.46231928414419354</c:v>
                </c:pt>
                <c:pt idx="766">
                  <c:v>0.46259156985647909</c:v>
                </c:pt>
                <c:pt idx="767">
                  <c:v>0.46286385556876475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E2-4AA7-B8B1-96AA7A65EF06}"/>
            </c:ext>
          </c:extLst>
        </c:ser>
        <c:ser>
          <c:idx val="3"/>
          <c:order val="3"/>
          <c:tx>
            <c:v>T/W_dsgn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Constraints!$E$22:$E$789</c:f>
              <c:numCache>
                <c:formatCode>0.0000</c:formatCode>
                <c:ptCount val="768"/>
                <c:pt idx="0">
                  <c:v>2.8403046265358181</c:v>
                </c:pt>
                <c:pt idx="1">
                  <c:v>2.7050862874285984</c:v>
                </c:pt>
                <c:pt idx="2">
                  <c:v>2.5821621199592508</c:v>
                </c:pt>
                <c:pt idx="3">
                  <c:v>2.4699285365228349</c:v>
                </c:pt>
                <c:pt idx="4">
                  <c:v>2.3670492141152346</c:v>
                </c:pt>
                <c:pt idx="5">
                  <c:v>2.2724016414129924</c:v>
                </c:pt>
                <c:pt idx="6">
                  <c:v>2.185036001142413</c:v>
                </c:pt>
                <c:pt idx="7">
                  <c:v>2.1041431896999772</c:v>
                </c:pt>
                <c:pt idx="8">
                  <c:v>2.0290296897112423</c:v>
                </c:pt>
                <c:pt idx="9">
                  <c:v>1.9590976413706529</c:v>
                </c:pt>
                <c:pt idx="10">
                  <c:v>1.8938288995133936</c:v>
                </c:pt>
                <c:pt idx="11">
                  <c:v>1.8327721764152722</c:v>
                </c:pt>
                <c:pt idx="12">
                  <c:v>1.7755325953176191</c:v>
                </c:pt>
                <c:pt idx="13">
                  <c:v>1.7217631433113005</c:v>
                </c:pt>
                <c:pt idx="14">
                  <c:v>1.6711576325353168</c:v>
                </c:pt>
                <c:pt idx="15">
                  <c:v>1.6234448680270677</c:v>
                </c:pt>
                <c:pt idx="16">
                  <c:v>1.5783837875975748</c:v>
                </c:pt>
                <c:pt idx="17">
                  <c:v>1.5357593898350481</c:v>
                </c:pt>
                <c:pt idx="18">
                  <c:v>1.4953793050552522</c:v>
                </c:pt>
                <c:pt idx="19">
                  <c:v>1.4570708937979782</c:v>
                </c:pt>
                <c:pt idx="20">
                  <c:v>1.4206787805490366</c:v>
                </c:pt>
                <c:pt idx="21">
                  <c:v>1.3860627483809878</c:v>
                </c:pt>
                <c:pt idx="22">
                  <c:v>1.3530959343594831</c:v>
                </c:pt>
                <c:pt idx="23">
                  <c:v>1.3216632767533676</c:v>
                </c:pt>
                <c:pt idx="24">
                  <c:v>1.2916601739888656</c:v>
                </c:pt>
                <c:pt idx="25">
                  <c:v>1.262991322409869</c:v>
                </c:pt>
                <c:pt idx="26">
                  <c:v>1.2355697056347139</c:v>
                </c:pt>
                <c:pt idx="27">
                  <c:v>1.2093157129312413</c:v>
                </c:pt>
                <c:pt idx="28">
                  <c:v>1.1841563677949705</c:v>
                </c:pt>
                <c:pt idx="29">
                  <c:v>1.1600246509870928</c:v>
                </c:pt>
                <c:pt idx="30">
                  <c:v>1.1368589048079056</c:v>
                </c:pt>
                <c:pt idx="31">
                  <c:v>1.1146023074557203</c:v>
                </c:pt>
                <c:pt idx="32">
                  <c:v>1.0932024080366722</c:v>
                </c:pt>
                <c:pt idx="33">
                  <c:v>1.0726107142149226</c:v>
                </c:pt>
                <c:pt idx="34">
                  <c:v>1.0527823256795106</c:v>
                </c:pt>
                <c:pt idx="35">
                  <c:v>1.0336756075966365</c:v>
                </c:pt>
                <c:pt idx="36">
                  <c:v>1.0152518990491994</c:v>
                </c:pt>
                <c:pt idx="37">
                  <c:v>0.99747525216691391</c:v>
                </c:pt>
                <c:pt idx="38">
                  <c:v>0.98031219824296123</c:v>
                </c:pt>
                <c:pt idx="39">
                  <c:v>0.96373153763539243</c:v>
                </c:pt>
                <c:pt idx="40">
                  <c:v>0.94770415067838809</c:v>
                </c:pt>
                <c:pt idx="41">
                  <c:v>0.93220282719241265</c:v>
                </c:pt>
                <c:pt idx="42">
                  <c:v>0.91720211249338368</c:v>
                </c:pt>
                <c:pt idx="43">
                  <c:v>0.90267816806763723</c:v>
                </c:pt>
                <c:pt idx="44">
                  <c:v>0.8886086453086135</c:v>
                </c:pt>
                <c:pt idx="45">
                  <c:v>0.87497257090861713</c:v>
                </c:pt>
                <c:pt idx="46">
                  <c:v>0.86175024266951061</c:v>
                </c:pt>
                <c:pt idx="47">
                  <c:v>0.84892313464379143</c:v>
                </c:pt>
                <c:pt idx="48">
                  <c:v>0.83647381064557513</c:v>
                </c:pt>
                <c:pt idx="49">
                  <c:v>0.82438584528236125</c:v>
                </c:pt>
                <c:pt idx="50">
                  <c:v>0.81264375175550685</c:v>
                </c:pt>
                <c:pt idx="51">
                  <c:v>0.80123291576206723</c:v>
                </c:pt>
                <c:pt idx="52">
                  <c:v>0.79013953490481692</c:v>
                </c:pt>
                <c:pt idx="53">
                  <c:v>0.77935056308226847</c:v>
                </c:pt>
                <c:pt idx="54">
                  <c:v>0.76885365938760986</c:v>
                </c:pt>
                <c:pt idx="55">
                  <c:v>0.75863714109572522</c:v>
                </c:pt>
                <c:pt idx="56">
                  <c:v>0.74868994036176828</c:v>
                </c:pt>
                <c:pt idx="57">
                  <c:v>0.7390015642938722</c:v>
                </c:pt>
                <c:pt idx="58">
                  <c:v>0.72956205809718766</c:v>
                </c:pt>
                <c:pt idx="59">
                  <c:v>0.7203619710171123</c:v>
                </c:pt>
                <c:pt idx="60">
                  <c:v>0.71139232483677317</c:v>
                </c:pt>
                <c:pt idx="61">
                  <c:v>0.70264458470803171</c:v>
                </c:pt>
                <c:pt idx="62">
                  <c:v>0.69411063211680524</c:v>
                </c:pt>
                <c:pt idx="63">
                  <c:v>0.68578273980270155</c:v>
                </c:pt>
                <c:pt idx="64">
                  <c:v>0.67765354847010917</c:v>
                </c:pt>
                <c:pt idx="65">
                  <c:v>0.66971604514321015</c:v>
                </c:pt>
                <c:pt idx="66">
                  <c:v>0.66196354303110794</c:v>
                </c:pt>
                <c:pt idx="67">
                  <c:v>0.6543896627815684</c:v>
                </c:pt>
                <c:pt idx="68">
                  <c:v>0.64698831501291321</c:v>
                </c:pt>
                <c:pt idx="69">
                  <c:v>0.63975368402353938</c:v>
                </c:pt>
                <c:pt idx="70">
                  <c:v>0.63268021258747131</c:v>
                </c:pt>
                <c:pt idx="71">
                  <c:v>0.62576258775240168</c:v>
                </c:pt>
                <c:pt idx="72">
                  <c:v>0.61899572756395016</c:v>
                </c:pt>
                <c:pt idx="73">
                  <c:v>0.61237476864641982</c:v>
                </c:pt>
                <c:pt idx="74">
                  <c:v>0.60589505457627024</c:v>
                </c:pt>
                <c:pt idx="75">
                  <c:v>0.59955212498990007</c:v>
                </c:pt>
                <c:pt idx="76">
                  <c:v>0.59334170537219111</c:v>
                </c:pt>
                <c:pt idx="77">
                  <c:v>0.58725969747669005</c:v>
                </c:pt>
                <c:pt idx="78">
                  <c:v>0.5813021703323088</c:v>
                </c:pt>
                <c:pt idx="79">
                  <c:v>0.57546535179507419</c:v>
                </c:pt>
                <c:pt idx="80">
                  <c:v>0.56974562060677147</c:v>
                </c:pt>
                <c:pt idx="81">
                  <c:v>0.56413949892535342</c:v>
                </c:pt>
                <c:pt idx="82">
                  <c:v>0.5586436452947352</c:v>
                </c:pt>
                <c:pt idx="83">
                  <c:v>0.55325484802411684</c:v>
                </c:pt>
                <c:pt idx="84">
                  <c:v>0.54797001894926756</c:v>
                </c:pt>
                <c:pt idx="85">
                  <c:v>0.54278618755030805</c:v>
                </c:pt>
                <c:pt idx="86">
                  <c:v>0.53770049540244902</c:v>
                </c:pt>
                <c:pt idx="87">
                  <c:v>0.53271019093790284</c:v>
                </c:pt>
                <c:pt idx="88">
                  <c:v>0.52781262449879951</c:v>
                </c:pt>
                <c:pt idx="89">
                  <c:v>0.52300524366242063</c:v>
                </c:pt>
                <c:pt idx="90">
                  <c:v>0.51828558882141873</c:v>
                </c:pt>
                <c:pt idx="91">
                  <c:v>0.51365128900294643</c:v>
                </c:pt>
                <c:pt idx="92">
                  <c:v>0.50910005791175672</c:v>
                </c:pt>
                <c:pt idx="93">
                  <c:v>0.50462969018340897</c:v>
                </c:pt>
                <c:pt idx="94">
                  <c:v>0.50023805783467024</c:v>
                </c:pt>
                <c:pt idx="95">
                  <c:v>0.49592310689911612</c:v>
                </c:pt>
                <c:pt idx="96">
                  <c:v>0.49168285423675029</c:v>
                </c:pt>
                <c:pt idx="97">
                  <c:v>0.48751538450723475</c:v>
                </c:pt>
                <c:pt idx="98">
                  <c:v>0.48341884729702223</c:v>
                </c:pt>
                <c:pt idx="99">
                  <c:v>0.47939145439134057</c:v>
                </c:pt>
                <c:pt idx="100">
                  <c:v>0.47543147718257645</c:v>
                </c:pt>
                <c:pt idx="101">
                  <c:v>0.47153724420717003</c:v>
                </c:pt>
                <c:pt idx="102">
                  <c:v>0.46770713880364512</c:v>
                </c:pt>
                <c:pt idx="103">
                  <c:v>0.46393959688488279</c:v>
                </c:pt>
                <c:pt idx="104">
                  <c:v>0.46023310481818702</c:v>
                </c:pt>
                <c:pt idx="105">
                  <c:v>0.45658619740710837</c:v>
                </c:pt>
                <c:pt idx="106">
                  <c:v>0.45299745596937019</c:v>
                </c:pt>
                <c:pt idx="107">
                  <c:v>0.44946550650560224</c:v>
                </c:pt>
                <c:pt idx="108">
                  <c:v>0.44598901795391466</c:v>
                </c:pt>
                <c:pt idx="109">
                  <c:v>0.44256670052565422</c:v>
                </c:pt>
                <c:pt idx="110">
                  <c:v>0.43919730411797286</c:v>
                </c:pt>
                <c:pt idx="111">
                  <c:v>0.43587961679910131</c:v>
                </c:pt>
                <c:pt idx="112">
                  <c:v>0.432612463362476</c:v>
                </c:pt>
                <c:pt idx="113">
                  <c:v>0.42939470394609108</c:v>
                </c:pt>
                <c:pt idx="114">
                  <c:v>0.4262252327136728</c:v>
                </c:pt>
                <c:pt idx="115">
                  <c:v>0.42310297659446616</c:v>
                </c:pt>
                <c:pt idx="116">
                  <c:v>0.42002689407862098</c:v>
                </c:pt>
                <c:pt idx="117">
                  <c:v>0.41699597406533362</c:v>
                </c:pt>
                <c:pt idx="118">
                  <c:v>0.41400923476107038</c:v>
                </c:pt>
                <c:pt idx="119">
                  <c:v>0.41106572262534863</c:v>
                </c:pt>
                <c:pt idx="120">
                  <c:v>0.40816451136169957</c:v>
                </c:pt>
                <c:pt idx="121">
                  <c:v>0.40530470095156856</c:v>
                </c:pt>
                <c:pt idx="122">
                  <c:v>0.40248541672903615</c:v>
                </c:pt>
                <c:pt idx="123">
                  <c:v>0.3997058084943626</c:v>
                </c:pt>
                <c:pt idx="124">
                  <c:v>0.39696504966446733</c:v>
                </c:pt>
                <c:pt idx="125">
                  <c:v>0.39426233645856207</c:v>
                </c:pt>
                <c:pt idx="126">
                  <c:v>0.39159688711724949</c:v>
                </c:pt>
                <c:pt idx="127">
                  <c:v>0.38896794115349737</c:v>
                </c:pt>
                <c:pt idx="128">
                  <c:v>0.38637475863397658</c:v>
                </c:pt>
                <c:pt idx="129">
                  <c:v>0.38381661948934026</c:v>
                </c:pt>
                <c:pt idx="130">
                  <c:v>0.38129282285209065</c:v>
                </c:pt>
                <c:pt idx="131">
                  <c:v>0.37880268642075654</c:v>
                </c:pt>
                <c:pt idx="132">
                  <c:v>0.37634554584916857</c:v>
                </c:pt>
                <c:pt idx="133">
                  <c:v>0.37392075415968468</c:v>
                </c:pt>
                <c:pt idx="134">
                  <c:v>0.37152768117927687</c:v>
                </c:pt>
                <c:pt idx="135">
                  <c:v>0.36916571299744672</c:v>
                </c:pt>
                <c:pt idx="136">
                  <c:v>0.36683425144499099</c:v>
                </c:pt>
                <c:pt idx="137">
                  <c:v>0.36453271359268596</c:v>
                </c:pt>
                <c:pt idx="138">
                  <c:v>0.3622605312690097</c:v>
                </c:pt>
                <c:pt idx="139">
                  <c:v>0.3600171505960636</c:v>
                </c:pt>
                <c:pt idx="140">
                  <c:v>0.35780203154289653</c:v>
                </c:pt>
                <c:pt idx="141">
                  <c:v>0.35561464749547511</c:v>
                </c:pt>
                <c:pt idx="142">
                  <c:v>0.35345448484258213</c:v>
                </c:pt>
                <c:pt idx="143">
                  <c:v>0.35132104257695618</c:v>
                </c:pt>
                <c:pt idx="144">
                  <c:v>0.34921383191102523</c:v>
                </c:pt>
                <c:pt idx="145">
                  <c:v>0.34713237590661317</c:v>
                </c:pt>
                <c:pt idx="146">
                  <c:v>0.34507620911802978</c:v>
                </c:pt>
                <c:pt idx="147">
                  <c:v>0.34304487724798483</c:v>
                </c:pt>
                <c:pt idx="148">
                  <c:v>0.34103793681578998</c:v>
                </c:pt>
                <c:pt idx="149">
                  <c:v>0.33905495483734155</c:v>
                </c:pt>
                <c:pt idx="150">
                  <c:v>0.3370955085163968</c:v>
                </c:pt>
                <c:pt idx="151">
                  <c:v>0.33515918494668384</c:v>
                </c:pt>
                <c:pt idx="152">
                  <c:v>0.33324558082440209</c:v>
                </c:pt>
                <c:pt idx="153">
                  <c:v>0.33135430217069439</c:v>
                </c:pt>
                <c:pt idx="154">
                  <c:v>0.32948496406368871</c:v>
                </c:pt>
                <c:pt idx="155">
                  <c:v>0.32763719037972733</c:v>
                </c:pt>
                <c:pt idx="156">
                  <c:v>0.3258106135434175</c:v>
                </c:pt>
                <c:pt idx="157">
                  <c:v>0.32400487428615482</c:v>
                </c:pt>
                <c:pt idx="158">
                  <c:v>0.32221962141278698</c:v>
                </c:pt>
                <c:pt idx="159">
                  <c:v>0.32045451157609778</c:v>
                </c:pt>
                <c:pt idx="160">
                  <c:v>0.31870920905880928</c:v>
                </c:pt>
                <c:pt idx="161">
                  <c:v>0.31698338556280969</c:v>
                </c:pt>
                <c:pt idx="162">
                  <c:v>0.31527672000533086</c:v>
                </c:pt>
                <c:pt idx="163">
                  <c:v>0.31358889832180648</c:v>
                </c:pt>
                <c:pt idx="164">
                  <c:v>0.31191961327516149</c:v>
                </c:pt>
                <c:pt idx="165">
                  <c:v>0.31026856427128424</c:v>
                </c:pt>
                <c:pt idx="166">
                  <c:v>0.30863545718045271</c:v>
                </c:pt>
                <c:pt idx="167">
                  <c:v>0.30702000416448955</c:v>
                </c:pt>
                <c:pt idx="168">
                  <c:v>0.3054219235094342</c:v>
                </c:pt>
                <c:pt idx="169">
                  <c:v>0.3038409394635263</c:v>
                </c:pt>
                <c:pt idx="170">
                  <c:v>0.30227678208030551</c:v>
                </c:pt>
                <c:pt idx="171">
                  <c:v>0.3007291870666407</c:v>
                </c:pt>
                <c:pt idx="172">
                  <c:v>0.29919789563550742</c:v>
                </c:pt>
                <c:pt idx="173">
                  <c:v>0.29768265436334318</c:v>
                </c:pt>
                <c:pt idx="174">
                  <c:v>0.29618321505181328</c:v>
                </c:pt>
                <c:pt idx="175">
                  <c:v>0.29469933459383113</c:v>
                </c:pt>
                <c:pt idx="176">
                  <c:v>0.29323077484367899</c:v>
                </c:pt>
                <c:pt idx="177">
                  <c:v>0.29177730249108558</c:v>
                </c:pt>
                <c:pt idx="178">
                  <c:v>0.29033868893911807</c:v>
                </c:pt>
                <c:pt idx="179">
                  <c:v>0.28891471018575693</c:v>
                </c:pt>
                <c:pt idx="180">
                  <c:v>0.28750514670902311</c:v>
                </c:pt>
                <c:pt idx="181">
                  <c:v>0.28610978335553411</c:v>
                </c:pt>
                <c:pt idx="182">
                  <c:v>0.28472840923237047</c:v>
                </c:pt>
                <c:pt idx="183">
                  <c:v>0.28336081760213822</c:v>
                </c:pt>
                <c:pt idx="184">
                  <c:v>0.28200680578111775</c:v>
                </c:pt>
                <c:pt idx="185">
                  <c:v>0.28066617504039376</c:v>
                </c:pt>
                <c:pt idx="186">
                  <c:v>0.27933873050986491</c:v>
                </c:pt>
                <c:pt idx="187">
                  <c:v>0.27802428108503552</c:v>
                </c:pt>
                <c:pt idx="188">
                  <c:v>0.27672263933649666</c:v>
                </c:pt>
                <c:pt idx="189">
                  <c:v>0.27543362142200462</c:v>
                </c:pt>
                <c:pt idx="190">
                  <c:v>0.2741570470010733</c:v>
                </c:pt>
                <c:pt idx="191">
                  <c:v>0.27289273915199308</c:v>
                </c:pt>
                <c:pt idx="192">
                  <c:v>0.27164052429120017</c:v>
                </c:pt>
                <c:pt idx="193">
                  <c:v>0.27040023209491582</c:v>
                </c:pt>
                <c:pt idx="194">
                  <c:v>0.26917169542298336</c:v>
                </c:pt>
                <c:pt idx="195">
                  <c:v>0.26795475024483056</c:v>
                </c:pt>
                <c:pt idx="196">
                  <c:v>0.26674923556748809</c:v>
                </c:pt>
                <c:pt idx="197">
                  <c:v>0.26555499336559929</c:v>
                </c:pt>
                <c:pt idx="198">
                  <c:v>0.26437186851335504</c:v>
                </c:pt>
                <c:pt idx="199">
                  <c:v>0.26319970871829446</c:v>
                </c:pt>
                <c:pt idx="200">
                  <c:v>0.26203836445691048</c:v>
                </c:pt>
                <c:pt idx="201">
                  <c:v>0.26088768891200409</c:v>
                </c:pt>
                <c:pt idx="202">
                  <c:v>0.25974753791173066</c:v>
                </c:pt>
                <c:pt idx="203">
                  <c:v>0.25861776987028817</c:v>
                </c:pt>
                <c:pt idx="204">
                  <c:v>0.2574982457301922</c:v>
                </c:pt>
                <c:pt idx="205">
                  <c:v>0.25638882890609155</c:v>
                </c:pt>
                <c:pt idx="206">
                  <c:v>0.25528938523007472</c:v>
                </c:pt>
                <c:pt idx="207">
                  <c:v>0.25419978289842249</c:v>
                </c:pt>
                <c:pt idx="208">
                  <c:v>0.25311989241976174</c:v>
                </c:pt>
                <c:pt idx="209">
                  <c:v>0.25204958656457721</c:v>
                </c:pt>
                <c:pt idx="210">
                  <c:v>0.25098874031604101</c:v>
                </c:pt>
                <c:pt idx="211">
                  <c:v>0.24993723082211872</c:v>
                </c:pt>
                <c:pt idx="212">
                  <c:v>0.24889493734891449</c:v>
                </c:pt>
                <c:pt idx="213">
                  <c:v>0.24786174123521731</c:v>
                </c:pt>
                <c:pt idx="214">
                  <c:v>0.24683752584821309</c:v>
                </c:pt>
                <c:pt idx="215">
                  <c:v>0.24582217654032687</c:v>
                </c:pt>
                <c:pt idx="216">
                  <c:v>0.24481558060716321</c:v>
                </c:pt>
                <c:pt idx="217">
                  <c:v>0.24381762724651035</c:v>
                </c:pt>
                <c:pt idx="218">
                  <c:v>0.24282820751837875</c:v>
                </c:pt>
                <c:pt idx="219">
                  <c:v>0.24184721430604211</c:v>
                </c:pt>
                <c:pt idx="220">
                  <c:v>0.24087454227805308</c:v>
                </c:pt>
                <c:pt idx="221">
                  <c:v>0.23991008785120396</c:v>
                </c:pt>
                <c:pt idx="222">
                  <c:v>0.23895374915440623</c:v>
                </c:pt>
                <c:pt idx="223">
                  <c:v>0.23800542599346175</c:v>
                </c:pt>
                <c:pt idx="224">
                  <c:v>0.23706501981670014</c:v>
                </c:pt>
                <c:pt idx="225">
                  <c:v>0.236132433681458</c:v>
                </c:pt>
                <c:pt idx="226">
                  <c:v>0.23520757222137534</c:v>
                </c:pt>
                <c:pt idx="227">
                  <c:v>0.23429034161448661</c:v>
                </c:pt>
                <c:pt idx="228">
                  <c:v>0.23338064955208385</c:v>
                </c:pt>
                <c:pt idx="229">
                  <c:v>0.23247840520832985</c:v>
                </c:pt>
                <c:pt idx="230">
                  <c:v>0.23158351921060091</c:v>
                </c:pt>
                <c:pt idx="231">
                  <c:v>0.23069590361053807</c:v>
                </c:pt>
                <c:pt idx="232">
                  <c:v>0.22981547185578818</c:v>
                </c:pt>
                <c:pt idx="233">
                  <c:v>0.22894213876241479</c:v>
                </c:pt>
                <c:pt idx="234">
                  <c:v>0.2280758204879606</c:v>
                </c:pt>
                <c:pt idx="235">
                  <c:v>0.22721643450514428</c:v>
                </c:pt>
                <c:pt idx="236">
                  <c:v>0.22636389957617314</c:v>
                </c:pt>
                <c:pt idx="237">
                  <c:v>0.22551813572765605</c:v>
                </c:pt>
                <c:pt idx="238">
                  <c:v>0.22467906422609932</c:v>
                </c:pt>
                <c:pt idx="239">
                  <c:v>0.22384660755397062</c:v>
                </c:pt>
                <c:pt idx="240">
                  <c:v>0.223020689386315</c:v>
                </c:pt>
                <c:pt idx="241">
                  <c:v>0.22220123456790858</c:v>
                </c:pt>
                <c:pt idx="242">
                  <c:v>0.22138816909093562</c:v>
                </c:pt>
                <c:pt idx="243">
                  <c:v>0.22058142007317438</c:v>
                </c:pt>
                <c:pt idx="244">
                  <c:v>0.21978091573667932</c:v>
                </c:pt>
                <c:pt idx="245">
                  <c:v>0.21898658538694549</c:v>
                </c:pt>
                <c:pt idx="246">
                  <c:v>0.21819835939254326</c:v>
                </c:pt>
                <c:pt idx="247">
                  <c:v>0.21741616916521053</c:v>
                </c:pt>
                <c:pt idx="248">
                  <c:v>0.21663994714039048</c:v>
                </c:pt>
                <c:pt idx="249">
                  <c:v>0.21586962675820381</c:v>
                </c:pt>
                <c:pt idx="250">
                  <c:v>0.21510514244484352</c:v>
                </c:pt>
                <c:pt idx="251">
                  <c:v>0.2143464295943816</c:v>
                </c:pt>
                <c:pt idx="252">
                  <c:v>0.2135934245509773</c:v>
                </c:pt>
                <c:pt idx="253">
                  <c:v>0.21284606459147609</c:v>
                </c:pt>
                <c:pt idx="254">
                  <c:v>0.21210428790839</c:v>
                </c:pt>
                <c:pt idx="255">
                  <c:v>0.21136803359324907</c:v>
                </c:pt>
                <c:pt idx="256">
                  <c:v>0.21063724162031477</c:v>
                </c:pt>
                <c:pt idx="257">
                  <c:v>0.20991185283064617</c:v>
                </c:pt>
                <c:pt idx="258">
                  <c:v>0.20919180891651026</c:v>
                </c:pt>
                <c:pt idx="259">
                  <c:v>0.20847705240612707</c:v>
                </c:pt>
                <c:pt idx="260">
                  <c:v>0.20776752664874212</c:v>
                </c:pt>
                <c:pt idx="261">
                  <c:v>0.20706317580001732</c:v>
                </c:pt>
                <c:pt idx="262">
                  <c:v>0.20636394480773296</c:v>
                </c:pt>
                <c:pt idx="263">
                  <c:v>0.20566977939779243</c:v>
                </c:pt>
                <c:pt idx="264">
                  <c:v>0.20498062606052314</c:v>
                </c:pt>
                <c:pt idx="265">
                  <c:v>0.20429643203726536</c:v>
                </c:pt>
                <c:pt idx="266">
                  <c:v>0.20361714530724273</c:v>
                </c:pt>
                <c:pt idx="267">
                  <c:v>0.20294271457470717</c:v>
                </c:pt>
                <c:pt idx="268">
                  <c:v>0.20227308925635148</c:v>
                </c:pt>
                <c:pt idx="269">
                  <c:v>0.20160821946898358</c:v>
                </c:pt>
                <c:pt idx="270">
                  <c:v>0.20094805601745522</c:v>
                </c:pt>
                <c:pt idx="271">
                  <c:v>0.20029255038284025</c:v>
                </c:pt>
                <c:pt idx="272">
                  <c:v>0.19964165471085532</c:v>
                </c:pt>
                <c:pt idx="273">
                  <c:v>0.1989953218005179</c:v>
                </c:pt>
                <c:pt idx="274">
                  <c:v>0.19835350509303559</c:v>
                </c:pt>
                <c:pt idx="275">
                  <c:v>0.19771615866092182</c:v>
                </c:pt>
                <c:pt idx="276">
                  <c:v>0.19708323719733159</c:v>
                </c:pt>
                <c:pt idx="277">
                  <c:v>0.19645469600561313</c:v>
                </c:pt>
                <c:pt idx="278">
                  <c:v>0.19583049098906979</c:v>
                </c:pt>
                <c:pt idx="279">
                  <c:v>0.1952105786409272</c:v>
                </c:pt>
                <c:pt idx="280">
                  <c:v>0.19459491603450138</c:v>
                </c:pt>
                <c:pt idx="281">
                  <c:v>0.19398346081356257</c:v>
                </c:pt>
                <c:pt idx="282">
                  <c:v>0.19337617118289072</c:v>
                </c:pt>
                <c:pt idx="283">
                  <c:v>0.19277300589901783</c:v>
                </c:pt>
                <c:pt idx="284">
                  <c:v>0.1921739242611531</c:v>
                </c:pt>
                <c:pt idx="285">
                  <c:v>0.19157888610228668</c:v>
                </c:pt>
                <c:pt idx="286">
                  <c:v>0.19098785178046751</c:v>
                </c:pt>
                <c:pt idx="287">
                  <c:v>0.19040078217025222</c:v>
                </c:pt>
                <c:pt idx="288">
                  <c:v>0.18981763865431997</c:v>
                </c:pt>
                <c:pt idx="289">
                  <c:v>0.18923838311525049</c:v>
                </c:pt>
                <c:pt idx="290">
                  <c:v>0.18866297792746128</c:v>
                </c:pt>
                <c:pt idx="291">
                  <c:v>0.18809138594930011</c:v>
                </c:pt>
                <c:pt idx="292">
                  <c:v>0.18752357051528978</c:v>
                </c:pt>
                <c:pt idx="293">
                  <c:v>0.18695949542852153</c:v>
                </c:pt>
                <c:pt idx="294">
                  <c:v>0.18639912495319366</c:v>
                </c:pt>
                <c:pt idx="295">
                  <c:v>0.18584242380729243</c:v>
                </c:pt>
                <c:pt idx="296">
                  <c:v>0.18528935715541189</c:v>
                </c:pt>
                <c:pt idx="297">
                  <c:v>0.18473989060170962</c:v>
                </c:pt>
                <c:pt idx="298">
                  <c:v>0.18419399018299523</c:v>
                </c:pt>
                <c:pt idx="299">
                  <c:v>0.18365162236194904</c:v>
                </c:pt>
                <c:pt idx="300">
                  <c:v>0.18311275402046803</c:v>
                </c:pt>
                <c:pt idx="301">
                  <c:v>0.18257735245313558</c:v>
                </c:pt>
                <c:pt idx="302">
                  <c:v>0.18204538536081372</c:v>
                </c:pt>
                <c:pt idx="303">
                  <c:v>0.18151682084435378</c:v>
                </c:pt>
                <c:pt idx="304">
                  <c:v>0.18099162739842359</c:v>
                </c:pt>
                <c:pt idx="305">
                  <c:v>0.18046977390544913</c:v>
                </c:pt>
                <c:pt idx="306">
                  <c:v>0.179951229629667</c:v>
                </c:pt>
                <c:pt idx="307">
                  <c:v>0.17943596421128638</c:v>
                </c:pt>
                <c:pt idx="308">
                  <c:v>0.17892394766075792</c:v>
                </c:pt>
                <c:pt idx="309">
                  <c:v>0.17841515035314678</c:v>
                </c:pt>
                <c:pt idx="310">
                  <c:v>0.17790954302260825</c:v>
                </c:pt>
                <c:pt idx="311">
                  <c:v>0.17740709675696342</c:v>
                </c:pt>
                <c:pt idx="312">
                  <c:v>0.17690778299237292</c:v>
                </c:pt>
                <c:pt idx="313">
                  <c:v>0.17641157350810652</c:v>
                </c:pt>
                <c:pt idx="314">
                  <c:v>0.17591844042140681</c:v>
                </c:pt>
                <c:pt idx="315">
                  <c:v>0.17542835618244482</c:v>
                </c:pt>
                <c:pt idx="316">
                  <c:v>0.17494129356936577</c:v>
                </c:pt>
                <c:pt idx="317">
                  <c:v>0.17445722568342292</c:v>
                </c:pt>
                <c:pt idx="318">
                  <c:v>0.17397612594419792</c:v>
                </c:pt>
                <c:pt idx="319">
                  <c:v>0.17349796808490561</c:v>
                </c:pt>
                <c:pt idx="320">
                  <c:v>0.17302272614778194</c:v>
                </c:pt>
                <c:pt idx="321">
                  <c:v>0.17255037447955265</c:v>
                </c:pt>
                <c:pt idx="322">
                  <c:v>0.17208088772698182</c:v>
                </c:pt>
                <c:pt idx="323">
                  <c:v>0.17161424083249815</c:v>
                </c:pt>
                <c:pt idx="324">
                  <c:v>0.17115040902989731</c:v>
                </c:pt>
                <c:pt idx="325">
                  <c:v>0.17068936784011954</c:v>
                </c:pt>
                <c:pt idx="326">
                  <c:v>0.17023109306709983</c:v>
                </c:pt>
                <c:pt idx="327">
                  <c:v>0.16977556079369044</c:v>
                </c:pt>
                <c:pt idx="328">
                  <c:v>0.16932274737765338</c:v>
                </c:pt>
                <c:pt idx="329">
                  <c:v>0.1688726294477218</c:v>
                </c:pt>
                <c:pt idx="330">
                  <c:v>0.16842518389972908</c:v>
                </c:pt>
                <c:pt idx="331">
                  <c:v>0.16798038789280398</c:v>
                </c:pt>
                <c:pt idx="332">
                  <c:v>0.16753821884563053</c:v>
                </c:pt>
                <c:pt idx="333">
                  <c:v>0.1670986544327718</c:v>
                </c:pt>
                <c:pt idx="334">
                  <c:v>0.16666167258105558</c:v>
                </c:pt>
                <c:pt idx="335">
                  <c:v>0.16622725146602157</c:v>
                </c:pt>
                <c:pt idx="336">
                  <c:v>0.16579536950842799</c:v>
                </c:pt>
                <c:pt idx="337">
                  <c:v>0.16536600537081747</c:v>
                </c:pt>
                <c:pt idx="338">
                  <c:v>0.16493913795413978</c:v>
                </c:pt>
                <c:pt idx="339">
                  <c:v>0.16451474639443173</c:v>
                </c:pt>
                <c:pt idx="340">
                  <c:v>0.1640928100595519</c:v>
                </c:pt>
                <c:pt idx="341">
                  <c:v>0.16367330854596981</c:v>
                </c:pt>
                <c:pt idx="342">
                  <c:v>0.16325622167560849</c:v>
                </c:pt>
                <c:pt idx="343">
                  <c:v>0.16284152949273883</c:v>
                </c:pt>
                <c:pt idx="344">
                  <c:v>0.16242921226092544</c:v>
                </c:pt>
                <c:pt idx="345">
                  <c:v>0.16201925046002261</c:v>
                </c:pt>
                <c:pt idx="346">
                  <c:v>0.16161162478321964</c:v>
                </c:pt>
                <c:pt idx="347">
                  <c:v>0.16120631613413425</c:v>
                </c:pt>
                <c:pt idx="348">
                  <c:v>0.16080330562395351</c:v>
                </c:pt>
                <c:pt idx="349">
                  <c:v>0.16040257456862128</c:v>
                </c:pt>
                <c:pt idx="350">
                  <c:v>0.16000410448607125</c:v>
                </c:pt>
                <c:pt idx="351">
                  <c:v>0.1596078770935046</c:v>
                </c:pt>
                <c:pt idx="352">
                  <c:v>0.15921387430471184</c:v>
                </c:pt>
                <c:pt idx="353">
                  <c:v>0.15882207822743735</c:v>
                </c:pt>
                <c:pt idx="354">
                  <c:v>0.15843247116078665</c:v>
                </c:pt>
                <c:pt idx="355">
                  <c:v>0.15804503559267472</c:v>
                </c:pt>
                <c:pt idx="356">
                  <c:v>0.15765975419731537</c:v>
                </c:pt>
                <c:pt idx="357">
                  <c:v>0.15727660983275035</c:v>
                </c:pt>
                <c:pt idx="358">
                  <c:v>0.15689558553841779</c:v>
                </c:pt>
                <c:pt idx="359">
                  <c:v>0.15651666453275911</c:v>
                </c:pt>
                <c:pt idx="360">
                  <c:v>0.15613983021086378</c:v>
                </c:pt>
                <c:pt idx="361">
                  <c:v>0.15576506614215091</c:v>
                </c:pt>
                <c:pt idx="362">
                  <c:v>0.15539235606808771</c:v>
                </c:pt>
                <c:pt idx="363">
                  <c:v>0.15502168389994322</c:v>
                </c:pt>
                <c:pt idx="364">
                  <c:v>0.15465303371657746</c:v>
                </c:pt>
                <c:pt idx="365">
                  <c:v>0.15428638976226489</c:v>
                </c:pt>
                <c:pt idx="366">
                  <c:v>0.1539217364445517</c:v>
                </c:pt>
                <c:pt idx="367">
                  <c:v>0.15355905833214648</c:v>
                </c:pt>
                <c:pt idx="368">
                  <c:v>0.15319834015284314</c:v>
                </c:pt>
                <c:pt idx="369">
                  <c:v>0.15283956679147645</c:v>
                </c:pt>
                <c:pt idx="370">
                  <c:v>0.15248272328790843</c:v>
                </c:pt>
                <c:pt idx="371">
                  <c:v>0.15212779483504599</c:v>
                </c:pt>
                <c:pt idx="372">
                  <c:v>0.15177476677688875</c:v>
                </c:pt>
                <c:pt idx="373">
                  <c:v>0.15142362460660705</c:v>
                </c:pt>
                <c:pt idx="374">
                  <c:v>0.15107435396464838</c:v>
                </c:pt>
                <c:pt idx="375">
                  <c:v>0.15072694063687372</c:v>
                </c:pt>
                <c:pt idx="376">
                  <c:v>0.15038137055272102</c:v>
                </c:pt>
                <c:pt idx="377">
                  <c:v>0.1500376297833971</c:v>
                </c:pt>
                <c:pt idx="378">
                  <c:v>0.14969570454009681</c:v>
                </c:pt>
                <c:pt idx="379">
                  <c:v>0.14935558117224851</c:v>
                </c:pt>
                <c:pt idx="380">
                  <c:v>0.14901724616578629</c:v>
                </c:pt>
                <c:pt idx="381">
                  <c:v>0.14868068614144794</c:v>
                </c:pt>
                <c:pt idx="382">
                  <c:v>0.14834588785309819</c:v>
                </c:pt>
                <c:pt idx="383">
                  <c:v>0.14801283818607708</c:v>
                </c:pt>
                <c:pt idx="384">
                  <c:v>0.14768152415557273</c:v>
                </c:pt>
                <c:pt idx="385">
                  <c:v>0.14735193290501841</c:v>
                </c:pt>
                <c:pt idx="386">
                  <c:v>0.14702405170451299</c:v>
                </c:pt>
                <c:pt idx="387">
                  <c:v>0.1466978679492649</c:v>
                </c:pt>
                <c:pt idx="388">
                  <c:v>0.1463733691580591</c:v>
                </c:pt>
                <c:pt idx="389">
                  <c:v>0.14605054297174611</c:v>
                </c:pt>
                <c:pt idx="390">
                  <c:v>0.14572937715175349</c:v>
                </c:pt>
                <c:pt idx="391">
                  <c:v>0.14540985957861913</c:v>
                </c:pt>
                <c:pt idx="392">
                  <c:v>0.14509197825054543</c:v>
                </c:pt>
                <c:pt idx="393">
                  <c:v>0.14477572128197513</c:v>
                </c:pt>
                <c:pt idx="394">
                  <c:v>0.14446107690218712</c:v>
                </c:pt>
                <c:pt idx="395">
                  <c:v>0.14414803345391319</c:v>
                </c:pt>
                <c:pt idx="396">
                  <c:v>0.14383657939197406</c:v>
                </c:pt>
                <c:pt idx="397">
                  <c:v>0.14352670328193565</c:v>
                </c:pt>
                <c:pt idx="398">
                  <c:v>0.14321839379878443</c:v>
                </c:pt>
                <c:pt idx="399">
                  <c:v>0.14291163972562132</c:v>
                </c:pt>
                <c:pt idx="400">
                  <c:v>0.1426064299523751</c:v>
                </c:pt>
                <c:pt idx="401">
                  <c:v>0.14230275347453319</c:v>
                </c:pt>
                <c:pt idx="402">
                  <c:v>0.14200059939189139</c:v>
                </c:pt>
                <c:pt idx="403">
                  <c:v>0.14169995690732051</c:v>
                </c:pt>
                <c:pt idx="404">
                  <c:v>0.14140081532555129</c:v>
                </c:pt>
                <c:pt idx="405">
                  <c:v>0.14110316405197565</c:v>
                </c:pt>
                <c:pt idx="406">
                  <c:v>0.14080699259146551</c:v>
                </c:pt>
                <c:pt idx="407">
                  <c:v>0.14051229054720774</c:v>
                </c:pt>
                <c:pt idx="408">
                  <c:v>0.14021904761955567</c:v>
                </c:pt>
                <c:pt idx="409">
                  <c:v>0.13992725360489675</c:v>
                </c:pt>
                <c:pt idx="410">
                  <c:v>0.13963689839453564</c:v>
                </c:pt>
                <c:pt idx="411">
                  <c:v>0.13934797197359322</c:v>
                </c:pt>
                <c:pt idx="412">
                  <c:v>0.13906046441992076</c:v>
                </c:pt>
                <c:pt idx="413">
                  <c:v>0.13877436590302913</c:v>
                </c:pt>
                <c:pt idx="414">
                  <c:v>0.13848966668303272</c:v>
                </c:pt>
                <c:pt idx="415">
                  <c:v>0.1382063571096081</c:v>
                </c:pt>
                <c:pt idx="416">
                  <c:v>0.13792442762096699</c:v>
                </c:pt>
                <c:pt idx="417">
                  <c:v>0.13764386874284304</c:v>
                </c:pt>
                <c:pt idx="418">
                  <c:v>0.13736467108749306</c:v>
                </c:pt>
                <c:pt idx="419">
                  <c:v>0.13708682535271127</c:v>
                </c:pt>
                <c:pt idx="420">
                  <c:v>0.13681032232085746</c:v>
                </c:pt>
                <c:pt idx="421">
                  <c:v>0.13653515285789813</c:v>
                </c:pt>
                <c:pt idx="422">
                  <c:v>0.13626130791246063</c:v>
                </c:pt>
                <c:pt idx="423">
                  <c:v>0.13598877851490032</c:v>
                </c:pt>
                <c:pt idx="424">
                  <c:v>0.13571755577638028</c:v>
                </c:pt>
                <c:pt idx="425">
                  <c:v>0.13544763088796313</c:v>
                </c:pt>
                <c:pt idx="426">
                  <c:v>0.1351789951197154</c:v>
                </c:pt>
                <c:pt idx="427">
                  <c:v>0.13491163981982393</c:v>
                </c:pt>
                <c:pt idx="428">
                  <c:v>0.1346455564137238</c:v>
                </c:pt>
                <c:pt idx="429">
                  <c:v>0.13438073640323828</c:v>
                </c:pt>
                <c:pt idx="430">
                  <c:v>0.13411717136572987</c:v>
                </c:pt>
                <c:pt idx="431">
                  <c:v>0.13385485295326305</c:v>
                </c:pt>
                <c:pt idx="432">
                  <c:v>0.13359377289177782</c:v>
                </c:pt>
                <c:pt idx="433">
                  <c:v>0.1333339229802743</c:v>
                </c:pt>
                <c:pt idx="434">
                  <c:v>0.13307529509000809</c:v>
                </c:pt>
                <c:pt idx="435">
                  <c:v>0.13281788116369633</c:v>
                </c:pt>
                <c:pt idx="436">
                  <c:v>0.13256167321473405</c:v>
                </c:pt>
                <c:pt idx="437">
                  <c:v>0.13230666332642096</c:v>
                </c:pt>
                <c:pt idx="438">
                  <c:v>0.13205284365119818</c:v>
                </c:pt>
                <c:pt idx="439">
                  <c:v>0.13180020640989523</c:v>
                </c:pt>
                <c:pt idx="440">
                  <c:v>0.13154874389098647</c:v>
                </c:pt>
                <c:pt idx="441">
                  <c:v>0.13129844844985769</c:v>
                </c:pt>
                <c:pt idx="442">
                  <c:v>0.13104931250808169</c:v>
                </c:pt>
                <c:pt idx="443">
                  <c:v>0.13080132855270377</c:v>
                </c:pt>
                <c:pt idx="444">
                  <c:v>0.13055448913553594</c:v>
                </c:pt>
                <c:pt idx="445">
                  <c:v>0.13030878687246078</c:v>
                </c:pt>
                <c:pt idx="446">
                  <c:v>0.13006421444274374</c:v>
                </c:pt>
                <c:pt idx="447">
                  <c:v>0.1298207645883547</c:v>
                </c:pt>
                <c:pt idx="448">
                  <c:v>0.129578430113298</c:v>
                </c:pt>
                <c:pt idx="449">
                  <c:v>0.12933720388295095</c:v>
                </c:pt>
                <c:pt idx="450">
                  <c:v>0.12909707882341126</c:v>
                </c:pt>
                <c:pt idx="451">
                  <c:v>0.12885804792085206</c:v>
                </c:pt>
                <c:pt idx="452">
                  <c:v>0.12862010422088579</c:v>
                </c:pt>
                <c:pt idx="453">
                  <c:v>0.12838324082793576</c:v>
                </c:pt>
                <c:pt idx="454">
                  <c:v>0.12814745090461574</c:v>
                </c:pt>
                <c:pt idx="455">
                  <c:v>0.12791272767111761</c:v>
                </c:pt>
                <c:pt idx="456">
                  <c:v>0.1276790644046063</c:v>
                </c:pt>
                <c:pt idx="457">
                  <c:v>0.12744645443862285</c:v>
                </c:pt>
                <c:pt idx="458">
                  <c:v>0.12721489116249438</c:v>
                </c:pt>
                <c:pt idx="459">
                  <c:v>0.12698436802075214</c:v>
                </c:pt>
                <c:pt idx="460">
                  <c:v>0.12675487851255623</c:v>
                </c:pt>
                <c:pt idx="461">
                  <c:v>0.12652641619112776</c:v>
                </c:pt>
                <c:pt idx="462">
                  <c:v>0.12629897466318804</c:v>
                </c:pt>
                <c:pt idx="463">
                  <c:v>0.12607254758840492</c:v>
                </c:pt>
                <c:pt idx="464">
                  <c:v>0.12584712867884554</c:v>
                </c:pt>
                <c:pt idx="465">
                  <c:v>0.12562271169843642</c:v>
                </c:pt>
                <c:pt idx="466">
                  <c:v>0.12539929046242967</c:v>
                </c:pt>
                <c:pt idx="467">
                  <c:v>0.12517685883687624</c:v>
                </c:pt>
                <c:pt idx="468">
                  <c:v>0.12495541073810526</c:v>
                </c:pt>
                <c:pt idx="469">
                  <c:v>0.12473494013221013</c:v>
                </c:pt>
                <c:pt idx="470">
                  <c:v>0.12451544103454057</c:v>
                </c:pt>
                <c:pt idx="471">
                  <c:v>0.12429690750920108</c:v>
                </c:pt>
                <c:pt idx="472">
                  <c:v>0.1240793336685556</c:v>
                </c:pt>
                <c:pt idx="473">
                  <c:v>0.12386271367273774</c:v>
                </c:pt>
                <c:pt idx="474">
                  <c:v>0.12364704172916761</c:v>
                </c:pt>
                <c:pt idx="475">
                  <c:v>0.12343231209207402</c:v>
                </c:pt>
                <c:pt idx="476">
                  <c:v>0.12321851906202261</c:v>
                </c:pt>
                <c:pt idx="477">
                  <c:v>0.12300565698544977</c:v>
                </c:pt>
                <c:pt idx="478">
                  <c:v>0.12279372025420197</c:v>
                </c:pt>
                <c:pt idx="479">
                  <c:v>0.12258270330508095</c:v>
                </c:pt>
                <c:pt idx="480">
                  <c:v>0.12237260061939388</c:v>
                </c:pt>
                <c:pt idx="481">
                  <c:v>0.12216340672250943</c:v>
                </c:pt>
                <c:pt idx="482">
                  <c:v>0.12195511618341884</c:v>
                </c:pt>
                <c:pt idx="483">
                  <c:v>0.12174772361430222</c:v>
                </c:pt>
                <c:pt idx="484">
                  <c:v>0.12154122367010026</c:v>
                </c:pt>
                <c:pt idx="485">
                  <c:v>0.12133561104809068</c:v>
                </c:pt>
                <c:pt idx="486">
                  <c:v>0.12113088048746994</c:v>
                </c:pt>
                <c:pt idx="487">
                  <c:v>0.1209270267689399</c:v>
                </c:pt>
                <c:pt idx="488">
                  <c:v>0.12072404471429922</c:v>
                </c:pt>
                <c:pt idx="489">
                  <c:v>0.12052192918603974</c:v>
                </c:pt>
                <c:pt idx="490">
                  <c:v>0.12032067508694742</c:v>
                </c:pt>
                <c:pt idx="491">
                  <c:v>0.12012027735970821</c:v>
                </c:pt>
                <c:pt idx="492">
                  <c:v>0.11992073098651825</c:v>
                </c:pt>
                <c:pt idx="493">
                  <c:v>0.11972203098869888</c:v>
                </c:pt>
                <c:pt idx="494">
                  <c:v>0.11952417242631608</c:v>
                </c:pt>
                <c:pt idx="495">
                  <c:v>0.11932715039780414</c:v>
                </c:pt>
                <c:pt idx="496">
                  <c:v>0.11913096003959407</c:v>
                </c:pt>
                <c:pt idx="497">
                  <c:v>0.11893559652574603</c:v>
                </c:pt>
                <c:pt idx="498">
                  <c:v>0.1187410550675861</c:v>
                </c:pt>
                <c:pt idx="499">
                  <c:v>0.11854733091334728</c:v>
                </c:pt>
                <c:pt idx="500">
                  <c:v>0.11835441934781467</c:v>
                </c:pt>
                <c:pt idx="501">
                  <c:v>0.11816231569197455</c:v>
                </c:pt>
                <c:pt idx="502">
                  <c:v>0.11797101530266782</c:v>
                </c:pt>
                <c:pt idx="503">
                  <c:v>0.11778051357224706</c:v>
                </c:pt>
                <c:pt idx="504">
                  <c:v>0.11759080592823772</c:v>
                </c:pt>
                <c:pt idx="505">
                  <c:v>0.11740188783300316</c:v>
                </c:pt>
                <c:pt idx="506">
                  <c:v>0.11721375478341348</c:v>
                </c:pt>
                <c:pt idx="507">
                  <c:v>0.11702640231051815</c:v>
                </c:pt>
                <c:pt idx="508">
                  <c:v>0.11683982597922232</c:v>
                </c:pt>
                <c:pt idx="509">
                  <c:v>0.11665402138796681</c:v>
                </c:pt>
                <c:pt idx="510">
                  <c:v>0.11646898416841177</c:v>
                </c:pt>
                <c:pt idx="511">
                  <c:v>0.11628470998512387</c:v>
                </c:pt>
                <c:pt idx="512">
                  <c:v>0.11610119453526703</c:v>
                </c:pt>
                <c:pt idx="513">
                  <c:v>0.1159184335482966</c:v>
                </c:pt>
                <c:pt idx="514">
                  <c:v>0.11573642278565704</c:v>
                </c:pt>
                <c:pt idx="515">
                  <c:v>0.11555515804048293</c:v>
                </c:pt>
                <c:pt idx="516">
                  <c:v>0.11537463513730338</c:v>
                </c:pt>
                <c:pt idx="517">
                  <c:v>0.11519484993174973</c:v>
                </c:pt>
                <c:pt idx="518">
                  <c:v>0.11501579831026644</c:v>
                </c:pt>
                <c:pt idx="519">
                  <c:v>0.11483747618982527</c:v>
                </c:pt>
                <c:pt idx="520">
                  <c:v>0.11465987951764267</c:v>
                </c:pt>
                <c:pt idx="521">
                  <c:v>0.11448300427090018</c:v>
                </c:pt>
                <c:pt idx="522">
                  <c:v>0.11430684645646808</c:v>
                </c:pt>
                <c:pt idx="523">
                  <c:v>0.11413140211063194</c:v>
                </c:pt>
                <c:pt idx="524">
                  <c:v>0.1139566672988223</c:v>
                </c:pt>
                <c:pt idx="525">
                  <c:v>0.11378263811534726</c:v>
                </c:pt>
                <c:pt idx="526">
                  <c:v>0.11360931068312807</c:v>
                </c:pt>
                <c:pt idx="527">
                  <c:v>0.11343668115343754</c:v>
                </c:pt>
                <c:pt idx="528">
                  <c:v>0.11326474570564139</c:v>
                </c:pt>
                <c:pt idx="529">
                  <c:v>0.11309350054694241</c:v>
                </c:pt>
                <c:pt idx="530">
                  <c:v>0.1129229419121273</c:v>
                </c:pt>
                <c:pt idx="531">
                  <c:v>0.11275306606331652</c:v>
                </c:pt>
                <c:pt idx="532">
                  <c:v>0.11258386928971653</c:v>
                </c:pt>
                <c:pt idx="533">
                  <c:v>0.11241534790737499</c:v>
                </c:pt>
                <c:pt idx="534">
                  <c:v>0.11224749825893859</c:v>
                </c:pt>
                <c:pt idx="535">
                  <c:v>0.1120803167134132</c:v>
                </c:pt>
                <c:pt idx="536">
                  <c:v>0.11191379966592702</c:v>
                </c:pt>
                <c:pt idx="537">
                  <c:v>0.11174794353749597</c:v>
                </c:pt>
                <c:pt idx="538">
                  <c:v>0.1115827447747918</c:v>
                </c:pt>
                <c:pt idx="539">
                  <c:v>0.11141819984991258</c:v>
                </c:pt>
                <c:pt idx="540">
                  <c:v>0.11125430526015569</c:v>
                </c:pt>
                <c:pt idx="541">
                  <c:v>0.11109105752779319</c:v>
                </c:pt>
                <c:pt idx="542">
                  <c:v>0.11092845319984967</c:v>
                </c:pt>
                <c:pt idx="543">
                  <c:v>0.11076648884788243</c:v>
                </c:pt>
                <c:pt idx="544">
                  <c:v>0.11060516106776387</c:v>
                </c:pt>
                <c:pt idx="545">
                  <c:v>0.11044446647946651</c:v>
                </c:pt>
                <c:pt idx="546">
                  <c:v>0.11028440172684997</c:v>
                </c:pt>
                <c:pt idx="547">
                  <c:v>0.11012496347745032</c:v>
                </c:pt>
                <c:pt idx="548">
                  <c:v>0.1099661484222717</c:v>
                </c:pt>
                <c:pt idx="549">
                  <c:v>0.10980795327558007</c:v>
                </c:pt>
                <c:pt idx="550">
                  <c:v>0.10965037477469919</c:v>
                </c:pt>
                <c:pt idx="551">
                  <c:v>0.10949340967980867</c:v>
                </c:pt>
                <c:pt idx="552">
                  <c:v>0.10933705477374424</c:v>
                </c:pt>
                <c:pt idx="553">
                  <c:v>0.1091813068618</c:v>
                </c:pt>
                <c:pt idx="554">
                  <c:v>0.10902616277153283</c:v>
                </c:pt>
                <c:pt idx="555">
                  <c:v>0.10887161935256874</c:v>
                </c:pt>
                <c:pt idx="556">
                  <c:v>0.10871767347641137</c:v>
                </c:pt>
                <c:pt idx="557">
                  <c:v>0.10856432203625237</c:v>
                </c:pt>
                <c:pt idx="558">
                  <c:v>0.10841156194678378</c:v>
                </c:pt>
                <c:pt idx="559">
                  <c:v>0.10825939014401238</c:v>
                </c:pt>
                <c:pt idx="560">
                  <c:v>0.10810780358507598</c:v>
                </c:pt>
                <c:pt idx="561">
                  <c:v>0.10795679924806145</c:v>
                </c:pt>
                <c:pt idx="562">
                  <c:v>0.10780637413182487</c:v>
                </c:pt>
                <c:pt idx="563">
                  <c:v>0.10765652525581336</c:v>
                </c:pt>
                <c:pt idx="564">
                  <c:v>0.10750724965988878</c:v>
                </c:pt>
                <c:pt idx="565">
                  <c:v>0.10735854440415324</c:v>
                </c:pt>
                <c:pt idx="566">
                  <c:v>0.10721040656877644</c:v>
                </c:pt>
                <c:pt idx="567">
                  <c:v>0.10706283325382467</c:v>
                </c:pt>
                <c:pt idx="568">
                  <c:v>0.10691582157909167</c:v>
                </c:pt>
                <c:pt idx="569">
                  <c:v>0.10676936868393119</c:v>
                </c:pt>
                <c:pt idx="570">
                  <c:v>0.10662347172709116</c:v>
                </c:pt>
                <c:pt idx="571">
                  <c:v>0.10647812788654962</c:v>
                </c:pt>
                <c:pt idx="572">
                  <c:v>0.10633333435935241</c:v>
                </c:pt>
                <c:pt idx="573">
                  <c:v>0.1061890883614522</c:v>
                </c:pt>
                <c:pt idx="574">
                  <c:v>0.10604538712754956</c:v>
                </c:pt>
                <c:pt idx="575">
                  <c:v>0.10590222791093523</c:v>
                </c:pt>
                <c:pt idx="576">
                  <c:v>0.10575960798333425</c:v>
                </c:pt>
                <c:pt idx="577">
                  <c:v>0.10561752463475162</c:v>
                </c:pt>
                <c:pt idx="578">
                  <c:v>0.10547597517331933</c:v>
                </c:pt>
                <c:pt idx="579">
                  <c:v>0.10533495692514516</c:v>
                </c:pt>
                <c:pt idx="580">
                  <c:v>0.1051944672341628</c:v>
                </c:pt>
                <c:pt idx="581">
                  <c:v>0.10505450346198361</c:v>
                </c:pt>
                <c:pt idx="582">
                  <c:v>0.10491506298774977</c:v>
                </c:pt>
                <c:pt idx="583">
                  <c:v>0.10477614320798891</c:v>
                </c:pt>
                <c:pt idx="584">
                  <c:v>0.10463774153647021</c:v>
                </c:pt>
                <c:pt idx="585">
                  <c:v>0.10449985540406188</c:v>
                </c:pt>
                <c:pt idx="586">
                  <c:v>0.10436248225859014</c:v>
                </c:pt>
                <c:pt idx="587">
                  <c:v>0.10422561956469942</c:v>
                </c:pt>
                <c:pt idx="588">
                  <c:v>0.10408926480371415</c:v>
                </c:pt>
                <c:pt idx="589">
                  <c:v>0.10395341547350181</c:v>
                </c:pt>
                <c:pt idx="590">
                  <c:v>0.10381806908833731</c:v>
                </c:pt>
                <c:pt idx="591">
                  <c:v>0.10368322317876866</c:v>
                </c:pt>
                <c:pt idx="592">
                  <c:v>0.10354887529148411</c:v>
                </c:pt>
                <c:pt idx="593">
                  <c:v>0.10341502298918051</c:v>
                </c:pt>
                <c:pt idx="594">
                  <c:v>0.10328166385043284</c:v>
                </c:pt>
                <c:pt idx="595">
                  <c:v>0.10314879546956524</c:v>
                </c:pt>
                <c:pt idx="596">
                  <c:v>0.10301641545652308</c:v>
                </c:pt>
                <c:pt idx="597">
                  <c:v>0.10288452143674644</c:v>
                </c:pt>
                <c:pt idx="598">
                  <c:v>0.10275311105104472</c:v>
                </c:pt>
                <c:pt idx="599">
                  <c:v>0.10262218195547247</c:v>
                </c:pt>
                <c:pt idx="600">
                  <c:v>0.10249173182120649</c:v>
                </c:pt>
                <c:pt idx="601">
                  <c:v>0.10236175833442404</c:v>
                </c:pt>
                <c:pt idx="602">
                  <c:v>0.10223225919618227</c:v>
                </c:pt>
                <c:pt idx="603">
                  <c:v>0.10210323212229883</c:v>
                </c:pt>
                <c:pt idx="604">
                  <c:v>0.10197467484323348</c:v>
                </c:pt>
                <c:pt idx="605">
                  <c:v>0.10184658510397117</c:v>
                </c:pt>
                <c:pt idx="606">
                  <c:v>0.10171896066390573</c:v>
                </c:pt>
                <c:pt idx="607">
                  <c:v>0.10159179929672528</c:v>
                </c:pt>
                <c:pt idx="608">
                  <c:v>0.10146509879029816</c:v>
                </c:pt>
                <c:pt idx="609">
                  <c:v>0.10133885694656039</c:v>
                </c:pt>
                <c:pt idx="610">
                  <c:v>0.10121307158140393</c:v>
                </c:pt>
                <c:pt idx="611">
                  <c:v>0.10108774052456608</c:v>
                </c:pt>
                <c:pt idx="612">
                  <c:v>0.10096286161952003</c:v>
                </c:pt>
                <c:pt idx="613">
                  <c:v>0.1008384327233663</c:v>
                </c:pt>
                <c:pt idx="614">
                  <c:v>0.10071445170672527</c:v>
                </c:pt>
                <c:pt idx="615">
                  <c:v>0.10059091645363072</c:v>
                </c:pt>
                <c:pt idx="616">
                  <c:v>0.10046782486142444</c:v>
                </c:pt>
                <c:pt idx="617">
                  <c:v>0.1003451748406517</c:v>
                </c:pt>
                <c:pt idx="618">
                  <c:v>0.10022296431495774</c:v>
                </c:pt>
                <c:pt idx="619">
                  <c:v>0.10010119122098546</c:v>
                </c:pt>
                <c:pt idx="620">
                  <c:v>9.9979853508273597E-2</c:v>
                </c:pt>
                <c:pt idx="621">
                  <c:v>9.9858949139156383E-2</c:v>
                </c:pt>
                <c:pt idx="622">
                  <c:v>9.9738476088663749E-2</c:v>
                </c:pt>
                <c:pt idx="623">
                  <c:v>9.9618432344422636E-2</c:v>
                </c:pt>
                <c:pt idx="624">
                  <c:v>9.9498815906559193E-2</c:v>
                </c:pt>
                <c:pt idx="625">
                  <c:v>9.9379624787601914E-2</c:v>
                </c:pt>
                <c:pt idx="626">
                  <c:v>9.92608570123856E-2</c:v>
                </c:pt>
                <c:pt idx="627">
                  <c:v>9.9142510617956231E-2</c:v>
                </c:pt>
                <c:pt idx="628">
                  <c:v>9.9024583653476869E-2</c:v>
                </c:pt>
                <c:pt idx="629">
                  <c:v>9.8907074180134197E-2</c:v>
                </c:pt>
                <c:pt idx="630">
                  <c:v>9.8789980271046018E-2</c:v>
                </c:pt>
                <c:pt idx="631">
                  <c:v>9.867330001116971E-2</c:v>
                </c:pt>
                <c:pt idx="632">
                  <c:v>9.8557031497211331E-2</c:v>
                </c:pt>
                <c:pt idx="633">
                  <c:v>9.8441172837535715E-2</c:v>
                </c:pt>
                <c:pt idx="634">
                  <c:v>9.8325722152077383E-2</c:v>
                </c:pt>
                <c:pt idx="635">
                  <c:v>9.8210677572252117E-2</c:v>
                </c:pt>
                <c:pt idx="636">
                  <c:v>9.809603724086953E-2</c:v>
                </c:pt>
                <c:pt idx="637">
                  <c:v>9.79817993120463E-2</c:v>
                </c:pt>
                <c:pt idx="638">
                  <c:v>9.7867961951120339E-2</c:v>
                </c:pt>
                <c:pt idx="639">
                  <c:v>9.7754523334565524E-2</c:v>
                </c:pt>
                <c:pt idx="640">
                  <c:v>9.7641481649907436E-2</c:v>
                </c:pt>
                <c:pt idx="641">
                  <c:v>9.7528835095639782E-2</c:v>
                </c:pt>
                <c:pt idx="642">
                  <c:v>9.7416581881141412E-2</c:v>
                </c:pt>
                <c:pt idx="643">
                  <c:v>9.7304720226594393E-2</c:v>
                </c:pt>
                <c:pt idx="644">
                  <c:v>9.7193248362902537E-2</c:v>
                </c:pt>
                <c:pt idx="645">
                  <c:v>9.7082164531610865E-2</c:v>
                </c:pt>
                <c:pt idx="646">
                  <c:v>9.6971466984825699E-2</c:v>
                </c:pt>
                <c:pt idx="647">
                  <c:v>9.6861153985135451E-2</c:v>
                </c:pt>
                <c:pt idx="648">
                  <c:v>9.6751223805532222E-2</c:v>
                </c:pt>
                <c:pt idx="649">
                  <c:v>9.6641674729333993E-2</c:v>
                </c:pt>
                <c:pt idx="650">
                  <c:v>9.6532505050107603E-2</c:v>
                </c:pt>
                <c:pt idx="651">
                  <c:v>9.6423713071592393E-2</c:v>
                </c:pt>
                <c:pt idx="652">
                  <c:v>9.6315297107624445E-2</c:v>
                </c:pt>
                <c:pt idx="653">
                  <c:v>9.6207255482061674E-2</c:v>
                </c:pt>
                <c:pt idx="654">
                  <c:v>9.6099586528709396E-2</c:v>
                </c:pt>
                <c:pt idx="655">
                  <c:v>9.5992288591246672E-2</c:v>
                </c:pt>
                <c:pt idx="656">
                  <c:v>9.5885360023153274E-2</c:v>
                </c:pt>
                <c:pt idx="657">
                  <c:v>9.577879918763732E-2</c:v>
                </c:pt>
                <c:pt idx="658">
                  <c:v>9.5672604457563482E-2</c:v>
                </c:pt>
                <c:pt idx="659">
                  <c:v>9.5566774215381997E-2</c:v>
                </c:pt>
                <c:pt idx="660">
                  <c:v>9.5461306853058023E-2</c:v>
                </c:pt>
                <c:pt idx="661">
                  <c:v>9.5356200772001867E-2</c:v>
                </c:pt>
                <c:pt idx="662">
                  <c:v>9.5251454382999756E-2</c:v>
                </c:pt>
                <c:pt idx="663">
                  <c:v>9.5147066106145151E-2</c:v>
                </c:pt>
                <c:pt idx="664">
                  <c:v>9.5043034370770718E-2</c:v>
                </c:pt>
                <c:pt idx="665">
                  <c:v>9.4939357615380943E-2</c:v>
                </c:pt>
                <c:pt idx="666">
                  <c:v>9.4836034287585247E-2</c:v>
                </c:pt>
                <c:pt idx="667">
                  <c:v>9.4733062844031657E-2</c:v>
                </c:pt>
                <c:pt idx="668">
                  <c:v>9.4630441750341215E-2</c:v>
                </c:pt>
                <c:pt idx="669">
                  <c:v>9.452816948104284E-2</c:v>
                </c:pt>
                <c:pt idx="670">
                  <c:v>9.4426244519508706E-2</c:v>
                </c:pt>
                <c:pt idx="671">
                  <c:v>9.4324665357890344E-2</c:v>
                </c:pt>
                <c:pt idx="672">
                  <c:v>9.4223430497055213E-2</c:v>
                </c:pt>
                <c:pt idx="673">
                  <c:v>9.4122538446523712E-2</c:v>
                </c:pt>
                <c:pt idx="674">
                  <c:v>9.4021987724406897E-2</c:v>
                </c:pt>
                <c:pt idx="675">
                  <c:v>9.3921776857344749E-2</c:v>
                </c:pt>
                <c:pt idx="676">
                  <c:v>9.3821904380444743E-2</c:v>
                </c:pt>
                <c:pt idx="677">
                  <c:v>9.3722368837221265E-2</c:v>
                </c:pt>
                <c:pt idx="678">
                  <c:v>9.3623168779535318E-2</c:v>
                </c:pt>
                <c:pt idx="679">
                  <c:v>9.3524302767534789E-2</c:v>
                </c:pt>
                <c:pt idx="680">
                  <c:v>9.3425769369595332E-2</c:v>
                </c:pt>
                <c:pt idx="681">
                  <c:v>9.3327567162261607E-2</c:v>
                </c:pt>
                <c:pt idx="682">
                  <c:v>9.3229694730189161E-2</c:v>
                </c:pt>
                <c:pt idx="683">
                  <c:v>9.3132150666086655E-2</c:v>
                </c:pt>
                <c:pt idx="684">
                  <c:v>9.3034933570658798E-2</c:v>
                </c:pt>
                <c:pt idx="685">
                  <c:v>9.2938042052549533E-2</c:v>
                </c:pt>
                <c:pt idx="686">
                  <c:v>9.2841474728285814E-2</c:v>
                </c:pt>
                <c:pt idx="687">
                  <c:v>9.2745230222221905E-2</c:v>
                </c:pt>
                <c:pt idx="688">
                  <c:v>9.2649307166484077E-2</c:v>
                </c:pt>
                <c:pt idx="689">
                  <c:v>9.2553704200915826E-2</c:v>
                </c:pt>
                <c:pt idx="690">
                  <c:v>9.245841997302344E-2</c:v>
                </c:pt>
                <c:pt idx="691">
                  <c:v>9.2363453137922241E-2</c:v>
                </c:pt>
                <c:pt idx="692">
                  <c:v>9.2268802358283039E-2</c:v>
                </c:pt>
                <c:pt idx="693">
                  <c:v>9.2174466304279223E-2</c:v>
                </c:pt>
                <c:pt idx="694">
                  <c:v>9.2080443653534155E-2</c:v>
                </c:pt>
                <c:pt idx="695">
                  <c:v>9.1986733091069112E-2</c:v>
                </c:pt>
                <c:pt idx="696">
                  <c:v>9.1893333309251674E-2</c:v>
                </c:pt>
                <c:pt idx="697">
                  <c:v>9.1800243007744378E-2</c:v>
                </c:pt>
                <c:pt idx="698">
                  <c:v>9.1707460893454024E-2</c:v>
                </c:pt>
                <c:pt idx="699">
                  <c:v>9.1614985680481209E-2</c:v>
                </c:pt>
                <c:pt idx="700">
                  <c:v>9.1522816090070486E-2</c:v>
                </c:pt>
                <c:pt idx="701">
                  <c:v>9.1430950850560661E-2</c:v>
                </c:pt>
                <c:pt idx="702">
                  <c:v>9.1339388697335808E-2</c:v>
                </c:pt>
                <c:pt idx="703">
                  <c:v>9.124812837277653E-2</c:v>
                </c:pt>
                <c:pt idx="704">
                  <c:v>9.1157168626211524E-2</c:v>
                </c:pt>
                <c:pt idx="705">
                  <c:v>9.1066508213869801E-2</c:v>
                </c:pt>
                <c:pt idx="706">
                  <c:v>9.0976145898833072E-2</c:v>
                </c:pt>
                <c:pt idx="707">
                  <c:v>9.0886080450988657E-2</c:v>
                </c:pt>
                <c:pt idx="708">
                  <c:v>9.0796310646982736E-2</c:v>
                </c:pt>
                <c:pt idx="709">
                  <c:v>9.0706835270173994E-2</c:v>
                </c:pt>
                <c:pt idx="710">
                  <c:v>9.0617653110587698E-2</c:v>
                </c:pt>
                <c:pt idx="711">
                  <c:v>9.0528762964869947E-2</c:v>
                </c:pt>
                <c:pt idx="712">
                  <c:v>9.044016363624259E-2</c:v>
                </c:pt>
                <c:pt idx="713">
                  <c:v>9.0351853934458354E-2</c:v>
                </c:pt>
                <c:pt idx="714">
                  <c:v>9.0263832675756273E-2</c:v>
                </c:pt>
                <c:pt idx="715">
                  <c:v>9.0176098682817646E-2</c:v>
                </c:pt>
                <c:pt idx="716">
                  <c:v>9.0088650784722266E-2</c:v>
                </c:pt>
                <c:pt idx="717">
                  <c:v>9.0001487816904951E-2</c:v>
                </c:pt>
                <c:pt idx="718">
                  <c:v>8.9914608621112543E-2</c:v>
                </c:pt>
                <c:pt idx="719">
                  <c:v>8.9828012045361172E-2</c:v>
                </c:pt>
                <c:pt idx="720">
                  <c:v>8.9741696943893889E-2</c:v>
                </c:pt>
                <c:pt idx="721">
                  <c:v>8.9655662177138731E-2</c:v>
                </c:pt>
                <c:pt idx="722">
                  <c:v>8.9569906611666944E-2</c:v>
                </c:pt>
                <c:pt idx="723">
                  <c:v>8.9484429120151671E-2</c:v>
                </c:pt>
                <c:pt idx="724">
                  <c:v>8.9399228581326942E-2</c:v>
                </c:pt>
                <c:pt idx="725">
                  <c:v>8.9314303879947016E-2</c:v>
                </c:pt>
                <c:pt idx="726">
                  <c:v>8.9229653906746059E-2</c:v>
                </c:pt>
                <c:pt idx="727">
                  <c:v>8.9145277558398045E-2</c:v>
                </c:pt>
                <c:pt idx="728">
                  <c:v>8.9061173737477087E-2</c:v>
                </c:pt>
                <c:pt idx="729">
                  <c:v>8.8977341352418055E-2</c:v>
                </c:pt>
                <c:pt idx="730">
                  <c:v>8.8893779317477495E-2</c:v>
                </c:pt>
                <c:pt idx="731">
                  <c:v>8.8810486552694912E-2</c:v>
                </c:pt>
                <c:pt idx="732">
                  <c:v>8.87274619838542E-2</c:v>
                </c:pt>
                <c:pt idx="733">
                  <c:v>8.8644704542445649E-2</c:v>
                </c:pt>
                <c:pt idx="734">
                  <c:v>8.8562213165628054E-2</c:v>
                </c:pt>
                <c:pt idx="735">
                  <c:v>8.8479986796191082E-2</c:v>
                </c:pt>
                <c:pt idx="736">
                  <c:v>8.8398024382518148E-2</c:v>
                </c:pt>
                <c:pt idx="737">
                  <c:v>8.8316324878549429E-2</c:v>
                </c:pt>
                <c:pt idx="738">
                  <c:v>8.8234887243745189E-2</c:v>
                </c:pt>
                <c:pt idx="739">
                  <c:v>8.8153710443049454E-2</c:v>
                </c:pt>
                <c:pt idx="740">
                  <c:v>8.8072793446853884E-2</c:v>
                </c:pt>
                <c:pt idx="741">
                  <c:v>8.7992135230962054E-2</c:v>
                </c:pt>
                <c:pt idx="742">
                  <c:v>8.791173477655384E-2</c:v>
                </c:pt>
                <c:pt idx="743">
                  <c:v>8.7831591070150289E-2</c:v>
                </c:pt>
                <c:pt idx="744">
                  <c:v>8.7751703103578618E-2</c:v>
                </c:pt>
                <c:pt idx="745">
                  <c:v>8.7672069873937497E-2</c:v>
                </c:pt>
                <c:pt idx="746">
                  <c:v>8.7592690383562738E-2</c:v>
                </c:pt>
                <c:pt idx="747">
                  <c:v>8.7513563639993047E-2</c:v>
                </c:pt>
                <c:pt idx="748">
                  <c:v>8.7434688655936232E-2</c:v>
                </c:pt>
                <c:pt idx="749">
                  <c:v>8.7356064449235535E-2</c:v>
                </c:pt>
                <c:pt idx="750">
                  <c:v>8.7277690042836323E-2</c:v>
                </c:pt>
                <c:pt idx="751">
                  <c:v>8.7199564464752966E-2</c:v>
                </c:pt>
                <c:pt idx="752">
                  <c:v>8.7121686748036095E-2</c:v>
                </c:pt>
                <c:pt idx="753">
                  <c:v>8.7044055930739897E-2</c:v>
                </c:pt>
                <c:pt idx="754">
                  <c:v>8.6966671055889858E-2</c:v>
                </c:pt>
                <c:pt idx="755">
                  <c:v>8.6889531171450707E-2</c:v>
                </c:pt>
                <c:pt idx="756">
                  <c:v>8.6812635330294569E-2</c:v>
                </c:pt>
                <c:pt idx="757">
                  <c:v>8.6735982590169375E-2</c:v>
                </c:pt>
                <c:pt idx="758">
                  <c:v>8.6659572013667585E-2</c:v>
                </c:pt>
                <c:pt idx="759">
                  <c:v>8.6583402668194989E-2</c:v>
                </c:pt>
                <c:pt idx="760">
                  <c:v>8.6507473625939954E-2</c:v>
                </c:pt>
                <c:pt idx="761">
                  <c:v>8.6431783963842712E-2</c:v>
                </c:pt>
                <c:pt idx="762">
                  <c:v>8.6356332763565108E-2</c:v>
                </c:pt>
                <c:pt idx="763">
                  <c:v>8.6281119111460275E-2</c:v>
                </c:pt>
                <c:pt idx="764">
                  <c:v>8.6206142098542854E-2</c:v>
                </c:pt>
                <c:pt idx="765">
                  <c:v>8.6131400820459322E-2</c:v>
                </c:pt>
                <c:pt idx="766">
                  <c:v>8.6056894377458379E-2</c:v>
                </c:pt>
                <c:pt idx="767">
                  <c:v>8.59826218743618E-2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72-4439-989C-BA61BC83AAF3}"/>
            </c:ext>
          </c:extLst>
        </c:ser>
        <c:ser>
          <c:idx val="4"/>
          <c:order val="4"/>
          <c:tx>
            <c:v>T/W_climb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Constraints!$L$22:$L$789</c:f>
              <c:numCache>
                <c:formatCode>General</c:formatCode>
                <c:ptCount val="768"/>
                <c:pt idx="0">
                  <c:v>1.3056405319603592</c:v>
                </c:pt>
                <c:pt idx="1">
                  <c:v>1.2757317481168775</c:v>
                </c:pt>
                <c:pt idx="2">
                  <c:v>1.2480334838551457</c:v>
                </c:pt>
                <c:pt idx="3">
                  <c:v>1.2222996429726625</c:v>
                </c:pt>
                <c:pt idx="4">
                  <c:v>1.1983207896577726</c:v>
                </c:pt>
                <c:pt idx="5">
                  <c:v>1.1759174205399217</c:v>
                </c:pt>
                <c:pt idx="6">
                  <c:v>1.1549346856949949</c:v>
                </c:pt>
                <c:pt idx="7">
                  <c:v>1.1352382038910032</c:v>
                </c:pt>
                <c:pt idx="8">
                  <c:v>1.1167107138829524</c:v>
                </c:pt>
                <c:pt idx="9">
                  <c:v>1.0992493713720253</c:v>
                </c:pt>
                <c:pt idx="10">
                  <c:v>1.0827635495572561</c:v>
                </c:pt>
                <c:pt idx="11">
                  <c:v>1.0671730360846814</c:v>
                </c:pt>
                <c:pt idx="12">
                  <c:v>1.0524065446826236</c:v>
                </c:pt>
                <c:pt idx="13">
                  <c:v>1.0384004786022571</c:v>
                </c:pt>
                <c:pt idx="14">
                  <c:v>1.0250978970429774</c:v>
                </c:pt>
                <c:pt idx="15">
                  <c:v>1.0124476463434651</c:v>
                </c:pt>
                <c:pt idx="16">
                  <c:v>1.0004036257858382</c:v>
                </c:pt>
                <c:pt idx="17">
                  <c:v>0.98892416405060146</c:v>
                </c:pt>
                <c:pt idx="18">
                  <c:v>0.97797148714890214</c:v>
                </c:pt>
                <c:pt idx="19">
                  <c:v>0.96751126239120055</c:v>
                </c:pt>
                <c:pt idx="20">
                  <c:v>0.95751220588161534</c:v>
                </c:pt>
                <c:pt idx="21">
                  <c:v>0.94794574334287884</c:v>
                </c:pt>
                <c:pt idx="22">
                  <c:v>0.93878571591860227</c:v>
                </c:pt>
                <c:pt idx="23">
                  <c:v>0.93000812407318212</c:v>
                </c:pt>
                <c:pt idx="24">
                  <c:v>0.92159090389554943</c:v>
                </c:pt>
                <c:pt idx="25">
                  <c:v>0.91351373107242506</c:v>
                </c:pt>
                <c:pt idx="26">
                  <c:v>0.90575784857704911</c:v>
                </c:pt>
                <c:pt idx="27">
                  <c:v>0.89830591475707511</c:v>
                </c:pt>
                <c:pt idx="28">
                  <c:v>0.89114186902896064</c:v>
                </c:pt>
                <c:pt idx="29">
                  <c:v>0.8842508128180715</c:v>
                </c:pt>
                <c:pt idx="30">
                  <c:v>0.87761890374146367</c:v>
                </c:pt>
                <c:pt idx="31">
                  <c:v>0.87123326132784196</c:v>
                </c:pt>
                <c:pt idx="32">
                  <c:v>0.8650818828176251</c:v>
                </c:pt>
                <c:pt idx="33">
                  <c:v>0.859153567794263</c:v>
                </c:pt>
                <c:pt idx="34">
                  <c:v>0.85343785057307642</c:v>
                </c:pt>
                <c:pt idx="35">
                  <c:v>0.84792493942171365</c:v>
                </c:pt>
                <c:pt idx="36">
                  <c:v>0.84260566181148422</c:v>
                </c:pt>
                <c:pt idx="37">
                  <c:v>0.83747141500517741</c:v>
                </c:pt>
                <c:pt idx="38">
                  <c:v>0.83251412137758674</c:v>
                </c:pt>
                <c:pt idx="39">
                  <c:v>0.82772618794241226</c:v>
                </c:pt>
                <c:pt idx="40">
                  <c:v>0.82310046962559091</c:v>
                </c:pt>
                <c:pt idx="41">
                  <c:v>0.81863023588216177</c:v>
                </c:pt>
                <c:pt idx="42">
                  <c:v>0.81430914030293278</c:v>
                </c:pt>
                <c:pt idx="43">
                  <c:v>0.81013119289969304</c:v>
                </c:pt>
                <c:pt idx="44">
                  <c:v>0.80609073479450466</c:v>
                </c:pt>
                <c:pt idx="45">
                  <c:v>0.80218241507054233</c:v>
                </c:pt>
                <c:pt idx="46">
                  <c:v>0.79840116956973983</c:v>
                </c:pt>
                <c:pt idx="47">
                  <c:v>0.79474220144674601</c:v>
                </c:pt>
                <c:pt idx="48">
                  <c:v>0.79120096330986545</c:v>
                </c:pt>
                <c:pt idx="49">
                  <c:v>0.78777314079822647</c:v>
                </c:pt>
                <c:pt idx="50">
                  <c:v>0.78445463746068866</c:v>
                </c:pt>
                <c:pt idx="51">
                  <c:v>0.78124156081632878</c:v>
                </c:pt>
                <c:pt idx="52">
                  <c:v>0.77813020948896239</c:v>
                </c:pt>
                <c:pt idx="53">
                  <c:v>0.77511706131928126</c:v>
                </c:pt>
                <c:pt idx="54">
                  <c:v>0.7721987623680503</c:v>
                </c:pt>
                <c:pt idx="55">
                  <c:v>0.76937211673251649</c:v>
                </c:pt>
                <c:pt idx="56">
                  <c:v>0.76663407710593012</c:v>
                </c:pt>
                <c:pt idx="57">
                  <c:v>0.76398173601695629</c:v>
                </c:pt>
                <c:pt idx="58">
                  <c:v>0.76141231769187634</c:v>
                </c:pt>
                <c:pt idx="59">
                  <c:v>0.75892317048794622</c:v>
                </c:pt>
                <c:pt idx="60">
                  <c:v>0.75651175985114583</c:v>
                </c:pt>
                <c:pt idx="61">
                  <c:v>0.75417566175592166</c:v>
                </c:pt>
                <c:pt idx="62">
                  <c:v>0.75191255658843181</c:v>
                </c:pt>
                <c:pt idx="63">
                  <c:v>0.74972022343829581</c:v>
                </c:pt>
                <c:pt idx="64">
                  <c:v>0.74759653476701271</c:v>
                </c:pt>
                <c:pt idx="65">
                  <c:v>0.74553945142402722</c:v>
                </c:pt>
                <c:pt idx="66">
                  <c:v>0.74354701798397782</c:v>
                </c:pt>
                <c:pt idx="67">
                  <c:v>0.74161735838095844</c:v>
                </c:pt>
                <c:pt idx="68">
                  <c:v>0.73974867181769899</c:v>
                </c:pt>
                <c:pt idx="69">
                  <c:v>0.73793922892944086</c:v>
                </c:pt>
                <c:pt idx="70">
                  <c:v>0.73618736818398589</c:v>
                </c:pt>
                <c:pt idx="71">
                  <c:v>0.73449149250092893</c:v>
                </c:pt>
                <c:pt idx="72">
                  <c:v>0.73285006607448255</c:v>
                </c:pt>
                <c:pt idx="73">
                  <c:v>0.73126161138556611</c:v>
                </c:pt>
                <c:pt idx="74">
                  <c:v>0.72972470638997977</c:v>
                </c:pt>
                <c:pt idx="75">
                  <c:v>0.72823798187053712</c:v>
                </c:pt>
                <c:pt idx="76">
                  <c:v>0.72680011894197682</c:v>
                </c:pt>
                <c:pt idx="77">
                  <c:v>0.72540984669835029</c:v>
                </c:pt>
                <c:pt idx="78">
                  <c:v>0.7240659399933691</c:v>
                </c:pt>
                <c:pt idx="79">
                  <c:v>0.72276721734492777</c:v>
                </c:pt>
                <c:pt idx="80">
                  <c:v>0.72151253895567502</c:v>
                </c:pt>
                <c:pt idx="81">
                  <c:v>0.72030080484211845</c:v>
                </c:pt>
                <c:pt idx="82">
                  <c:v>0.71913095306530039</c:v>
                </c:pt>
                <c:pt idx="83">
                  <c:v>0.71800195805659328</c:v>
                </c:pt>
                <c:pt idx="84">
                  <c:v>0.71691282903263298</c:v>
                </c:pt>
                <c:pt idx="85">
                  <c:v>0.71586260849383665</c:v>
                </c:pt>
                <c:pt idx="86">
                  <c:v>0.71485037080134606</c:v>
                </c:pt>
                <c:pt idx="87">
                  <c:v>0.71387522082760335</c:v>
                </c:pt>
                <c:pt idx="88">
                  <c:v>0.7129362926761007</c:v>
                </c:pt>
                <c:pt idx="89">
                  <c:v>0.71203274846615128</c:v>
                </c:pt>
                <c:pt idx="90">
                  <c:v>0.71116377717881751</c:v>
                </c:pt>
                <c:pt idx="91">
                  <c:v>0.71032859356039291</c:v>
                </c:pt>
                <c:pt idx="92">
                  <c:v>0.7095264370800769</c:v>
                </c:pt>
                <c:pt idx="93">
                  <c:v>0.70875657093870537</c:v>
                </c:pt>
                <c:pt idx="94">
                  <c:v>0.70801828112561083</c:v>
                </c:pt>
                <c:pt idx="95">
                  <c:v>0.70731087552087413</c:v>
                </c:pt>
                <c:pt idx="96">
                  <c:v>0.70663368304040741</c:v>
                </c:pt>
                <c:pt idx="97">
                  <c:v>0.7059860528214783</c:v>
                </c:pt>
                <c:pt idx="98">
                  <c:v>0.70536735344643287</c:v>
                </c:pt>
                <c:pt idx="99">
                  <c:v>0.70477697220251634</c:v>
                </c:pt>
                <c:pt idx="100">
                  <c:v>0.70421431437583015</c:v>
                </c:pt>
                <c:pt idx="101">
                  <c:v>0.70367880257757465</c:v>
                </c:pt>
                <c:pt idx="102">
                  <c:v>0.70316987610085357</c:v>
                </c:pt>
                <c:pt idx="103">
                  <c:v>0.70268699030641169</c:v>
                </c:pt>
                <c:pt idx="104">
                  <c:v>0.7022296160357816</c:v>
                </c:pt>
                <c:pt idx="105">
                  <c:v>0.70179723905040703</c:v>
                </c:pt>
                <c:pt idx="106">
                  <c:v>0.7013893594953946</c:v>
                </c:pt>
                <c:pt idx="107">
                  <c:v>0.70100549138662605</c:v>
                </c:pt>
                <c:pt idx="108">
                  <c:v>0.70064516212003847</c:v>
                </c:pt>
                <c:pt idx="109">
                  <c:v>0.70030791200194975</c:v>
                </c:pt>
                <c:pt idx="110">
                  <c:v>0.69999329379936959</c:v>
                </c:pt>
                <c:pt idx="111">
                  <c:v>0.69970087230930145</c:v>
                </c:pt>
                <c:pt idx="112">
                  <c:v>0.69943022394609322</c:v>
                </c:pt>
                <c:pt idx="113">
                  <c:v>0.69918093634595035</c:v>
                </c:pt>
                <c:pt idx="114">
                  <c:v>0.69895260798777425</c:v>
                </c:pt>
                <c:pt idx="115">
                  <c:v>0.69874484782953661</c:v>
                </c:pt>
                <c:pt idx="116">
                  <c:v>0.69855727495944142</c:v>
                </c:pt>
                <c:pt idx="117">
                  <c:v>0.69838951826117135</c:v>
                </c:pt>
                <c:pt idx="118">
                  <c:v>0.69824121609254997</c:v>
                </c:pt>
                <c:pt idx="119">
                  <c:v>0.69811201597699024</c:v>
                </c:pt>
                <c:pt idx="120">
                  <c:v>0.69800157430713083</c:v>
                </c:pt>
                <c:pt idx="121">
                  <c:v>0.69790955606009897</c:v>
                </c:pt>
                <c:pt idx="122">
                  <c:v>0.69783563452385966</c:v>
                </c:pt>
                <c:pt idx="123">
                  <c:v>0.69777949103415016</c:v>
                </c:pt>
                <c:pt idx="124">
                  <c:v>0.69774081472151583</c:v>
                </c:pt>
                <c:pt idx="125">
                  <c:v>0.69771930226799261</c:v>
                </c:pt>
                <c:pt idx="126">
                  <c:v>0.697714657673007</c:v>
                </c:pt>
                <c:pt idx="127">
                  <c:v>0.69772659202807996</c:v>
                </c:pt>
                <c:pt idx="128">
                  <c:v>0.69775482329994953</c:v>
                </c:pt>
                <c:pt idx="129">
                  <c:v>0.69779907612174186</c:v>
                </c:pt>
                <c:pt idx="130">
                  <c:v>0.69785908159183885</c:v>
                </c:pt>
                <c:pt idx="131">
                  <c:v>0.69793457708011153</c:v>
                </c:pt>
                <c:pt idx="132">
                  <c:v>0.69802530604120139</c:v>
                </c:pt>
                <c:pt idx="133">
                  <c:v>0.69813101783454923</c:v>
                </c:pt>
                <c:pt idx="134">
                  <c:v>0.69825146755088441</c:v>
                </c:pt>
                <c:pt idx="135">
                  <c:v>0.69838641584490446</c:v>
                </c:pt>
                <c:pt idx="136">
                  <c:v>0.69853562877388264</c:v>
                </c:pt>
                <c:pt idx="137">
                  <c:v>0.69869887764196004</c:v>
                </c:pt>
                <c:pt idx="138">
                  <c:v>0.6988759388498843</c:v>
                </c:pt>
                <c:pt idx="139">
                  <c:v>0.69906659374997449</c:v>
                </c:pt>
                <c:pt idx="140">
                  <c:v>0.69927062850609523</c:v>
                </c:pt>
                <c:pt idx="141">
                  <c:v>0.69948783395843939</c:v>
                </c:pt>
                <c:pt idx="142">
                  <c:v>0.69971800549292573</c:v>
                </c:pt>
                <c:pt idx="143">
                  <c:v>0.69996094291502287</c:v>
                </c:pt>
                <c:pt idx="144">
                  <c:v>0.70021645032782898</c:v>
                </c:pt>
                <c:pt idx="145">
                  <c:v>0.70048433601423399</c:v>
                </c:pt>
                <c:pt idx="146">
                  <c:v>0.70076441232300657</c:v>
                </c:pt>
                <c:pt idx="147">
                  <c:v>0.70105649555864979</c:v>
                </c:pt>
                <c:pt idx="148">
                  <c:v>0.7013604058748828</c:v>
                </c:pt>
                <c:pt idx="149">
                  <c:v>0.70167596717160396</c:v>
                </c:pt>
                <c:pt idx="150">
                  <c:v>0.70200300699520568</c:v>
                </c:pt>
                <c:pt idx="151">
                  <c:v>0.70234135644210949</c:v>
                </c:pt>
                <c:pt idx="152">
                  <c:v>0.70269085006540211</c:v>
                </c:pt>
                <c:pt idx="153">
                  <c:v>0.70305132578445373</c:v>
                </c:pt>
                <c:pt idx="154">
                  <c:v>0.70342262479740647</c:v>
                </c:pt>
                <c:pt idx="155">
                  <c:v>0.70380459149642771</c:v>
                </c:pt>
                <c:pt idx="156">
                  <c:v>0.70419707338562265</c:v>
                </c:pt>
                <c:pt idx="157">
                  <c:v>0.70459992100151136</c:v>
                </c:pt>
                <c:pt idx="158">
                  <c:v>0.70501298783597455</c:v>
                </c:pt>
                <c:pt idx="159">
                  <c:v>0.70543613026157681</c:v>
                </c:pt>
                <c:pt idx="160">
                  <c:v>0.70586920745918424</c:v>
                </c:pt>
                <c:pt idx="161">
                  <c:v>0.70631208134779089</c:v>
                </c:pt>
                <c:pt idx="162">
                  <c:v>0.70676461651647593</c:v>
                </c:pt>
                <c:pt idx="163">
                  <c:v>0.70722668015841517</c:v>
                </c:pt>
                <c:pt idx="164">
                  <c:v>0.70769814200687531</c:v>
                </c:pt>
                <c:pt idx="165">
                  <c:v>0.70817887427311843</c:v>
                </c:pt>
                <c:pt idx="166">
                  <c:v>0.70866875158615228</c:v>
                </c:pt>
                <c:pt idx="167">
                  <c:v>0.70916765093426049</c:v>
                </c:pt>
                <c:pt idx="168">
                  <c:v>0.70967545160825085</c:v>
                </c:pt>
                <c:pt idx="169">
                  <c:v>0.7101920351463632</c:v>
                </c:pt>
                <c:pt idx="170">
                  <c:v>0.71071728528077882</c:v>
                </c:pt>
                <c:pt idx="171">
                  <c:v>0.7112510878856777</c:v>
                </c:pt>
                <c:pt idx="172">
                  <c:v>0.71179333092679087</c:v>
                </c:pt>
                <c:pt idx="173">
                  <c:v>0.71234390441239503</c:v>
                </c:pt>
                <c:pt idx="174">
                  <c:v>0.71290270034570469</c:v>
                </c:pt>
                <c:pt idx="175">
                  <c:v>0.71346961267861309</c:v>
                </c:pt>
                <c:pt idx="176">
                  <c:v>0.71404453726673522</c:v>
                </c:pt>
                <c:pt idx="177">
                  <c:v>0.71462737182571368</c:v>
                </c:pt>
                <c:pt idx="178">
                  <c:v>0.71521801588874245</c:v>
                </c:pt>
                <c:pt idx="179">
                  <c:v>0.71581637076527027</c:v>
                </c:pt>
                <c:pt idx="180">
                  <c:v>0.71642233950084444</c:v>
                </c:pt>
                <c:pt idx="181">
                  <c:v>0.71703582683805878</c:v>
                </c:pt>
                <c:pt idx="182">
                  <c:v>0.71765673917856876</c:v>
                </c:pt>
                <c:pt idx="183">
                  <c:v>0.71828498454614143</c:v>
                </c:pt>
                <c:pt idx="184">
                  <c:v>0.71892047255070468</c:v>
                </c:pt>
                <c:pt idx="185">
                  <c:v>0.71956311435336595</c:v>
                </c:pt>
                <c:pt idx="186">
                  <c:v>0.72021282263236897</c:v>
                </c:pt>
                <c:pt idx="187">
                  <c:v>0.7208695115499586</c:v>
                </c:pt>
                <c:pt idx="188">
                  <c:v>0.72153309672012611</c:v>
                </c:pt>
                <c:pt idx="189">
                  <c:v>0.72220349517720617</c:v>
                </c:pt>
                <c:pt idx="190">
                  <c:v>0.72288062534530106</c:v>
                </c:pt>
                <c:pt idx="191">
                  <c:v>0.72356440700850366</c:v>
                </c:pt>
                <c:pt idx="192">
                  <c:v>0.72425476128189781</c:v>
                </c:pt>
                <c:pt idx="193">
                  <c:v>0.72495161058330981</c:v>
                </c:pt>
                <c:pt idx="194">
                  <c:v>0.72565487860578881</c:v>
                </c:pt>
                <c:pt idx="195">
                  <c:v>0.72636449029079508</c:v>
                </c:pt>
                <c:pt idx="196">
                  <c:v>0.72708037180207374</c:v>
                </c:pt>
                <c:pt idx="197">
                  <c:v>0.72780245050019143</c:v>
                </c:pt>
                <c:pt idx="198">
                  <c:v>0.72853065491772184</c:v>
                </c:pt>
                <c:pt idx="199">
                  <c:v>0.72926491473505317</c:v>
                </c:pt>
                <c:pt idx="200">
                  <c:v>0.7300051607568061</c:v>
                </c:pt>
                <c:pt idx="201">
                  <c:v>0.73075132488883843</c:v>
                </c:pt>
                <c:pt idx="202">
                  <c:v>0.73150334011582419</c:v>
                </c:pt>
                <c:pt idx="203">
                  <c:v>0.73226114047938629</c:v>
                </c:pt>
                <c:pt idx="204">
                  <c:v>0.73302466105676856</c:v>
                </c:pt>
                <c:pt idx="205">
                  <c:v>0.73379383794003261</c:v>
                </c:pt>
                <c:pt idx="206">
                  <c:v>0.73456860821576075</c:v>
                </c:pt>
                <c:pt idx="207">
                  <c:v>0.73534890994525548</c:v>
                </c:pt>
                <c:pt idx="208">
                  <c:v>0.73613468214521582</c:v>
                </c:pt>
                <c:pt idx="209">
                  <c:v>0.73692586476888144</c:v>
                </c:pt>
                <c:pt idx="210">
                  <c:v>0.73772239868762912</c:v>
                </c:pt>
                <c:pt idx="211">
                  <c:v>0.73852422567300868</c:v>
                </c:pt>
                <c:pt idx="212">
                  <c:v>0.73933128837920714</c:v>
                </c:pt>
                <c:pt idx="213">
                  <c:v>0.74014353032592806</c:v>
                </c:pt>
                <c:pt idx="214">
                  <c:v>0.74096089588167502</c:v>
                </c:pt>
                <c:pt idx="215">
                  <c:v>0.74178333024742793</c:v>
                </c:pt>
                <c:pt idx="216">
                  <c:v>0.74261077944070164</c:v>
                </c:pt>
                <c:pt idx="217">
                  <c:v>0.74344319027997474</c:v>
                </c:pt>
                <c:pt idx="218">
                  <c:v>0.74428051036948129</c:v>
                </c:pt>
                <c:pt idx="219">
                  <c:v>0.745122688084353</c:v>
                </c:pt>
                <c:pt idx="220">
                  <c:v>0.74596967255610314</c:v>
                </c:pt>
                <c:pt idx="221">
                  <c:v>0.74682141365844323</c:v>
                </c:pt>
                <c:pt idx="222">
                  <c:v>0.74767786199342379</c:v>
                </c:pt>
                <c:pt idx="223">
                  <c:v>0.74853896887788918</c:v>
                </c:pt>
                <c:pt idx="224">
                  <c:v>0.74940468633023949</c:v>
                </c:pt>
                <c:pt idx="225">
                  <c:v>0.75027496705749086</c:v>
                </c:pt>
                <c:pt idx="226">
                  <c:v>0.75114976444262571</c:v>
                </c:pt>
                <c:pt idx="227">
                  <c:v>0.7520290325322263</c:v>
                </c:pt>
                <c:pt idx="228">
                  <c:v>0.75291272602438364</c:v>
                </c:pt>
                <c:pt idx="229">
                  <c:v>0.75380080025687302</c:v>
                </c:pt>
                <c:pt idx="230">
                  <c:v>0.75469321119559374</c:v>
                </c:pt>
                <c:pt idx="231">
                  <c:v>0.75558991542325937</c:v>
                </c:pt>
                <c:pt idx="232">
                  <c:v>0.75649087012833938</c:v>
                </c:pt>
                <c:pt idx="233">
                  <c:v>0.75739603309423909</c:v>
                </c:pt>
                <c:pt idx="234">
                  <c:v>0.75830536268871718</c:v>
                </c:pt>
                <c:pt idx="235">
                  <c:v>0.7592188178535304</c:v>
                </c:pt>
                <c:pt idx="236">
                  <c:v>0.7601363580943028</c:v>
                </c:pt>
                <c:pt idx="237">
                  <c:v>0.76105794347061251</c:v>
                </c:pt>
                <c:pt idx="238">
                  <c:v>0.76198353458629031</c:v>
                </c:pt>
                <c:pt idx="239">
                  <c:v>0.76291309257992479</c:v>
                </c:pt>
                <c:pt idx="240">
                  <c:v>0.7638465791155693</c:v>
                </c:pt>
                <c:pt idx="241">
                  <c:v>0.76478395637364649</c:v>
                </c:pt>
                <c:pt idx="242">
                  <c:v>0.76572518704204218</c:v>
                </c:pt>
                <c:pt idx="243">
                  <c:v>0.76667023430738879</c:v>
                </c:pt>
                <c:pt idx="244">
                  <c:v>0.7676190618465295</c:v>
                </c:pt>
                <c:pt idx="245">
                  <c:v>0.76857163381815996</c:v>
                </c:pt>
                <c:pt idx="246">
                  <c:v>0.76952791485464478</c:v>
                </c:pt>
                <c:pt idx="247">
                  <c:v>0.77048787005400232</c:v>
                </c:pt>
                <c:pt idx="248">
                  <c:v>0.77145146497205452</c:v>
                </c:pt>
                <c:pt idx="249">
                  <c:v>0.77241866561473826</c:v>
                </c:pt>
                <c:pt idx="250">
                  <c:v>0.77338943843057351</c:v>
                </c:pt>
                <c:pt idx="251">
                  <c:v>0.77436375030328575</c:v>
                </c:pt>
                <c:pt idx="252">
                  <c:v>0.77534156854457659</c:v>
                </c:pt>
                <c:pt idx="253">
                  <c:v>0.77632286088704183</c:v>
                </c:pt>
                <c:pt idx="254">
                  <c:v>0.77730759547723238</c:v>
                </c:pt>
                <c:pt idx="255">
                  <c:v>0.77829574086885256</c:v>
                </c:pt>
                <c:pt idx="256">
                  <c:v>0.77928726601609721</c:v>
                </c:pt>
                <c:pt idx="257">
                  <c:v>0.7802821402671194</c:v>
                </c:pt>
                <c:pt idx="258">
                  <c:v>0.78128033335762859</c:v>
                </c:pt>
                <c:pt idx="259">
                  <c:v>0.78228181540461561</c:v>
                </c:pt>
                <c:pt idx="260">
                  <c:v>0.78328655690020121</c:v>
                </c:pt>
                <c:pt idx="261">
                  <c:v>0.78429452870560512</c:v>
                </c:pt>
                <c:pt idx="262">
                  <c:v>0.78530570204523376</c:v>
                </c:pt>
                <c:pt idx="263">
                  <c:v>0.78632004850088277</c:v>
                </c:pt>
                <c:pt idx="264">
                  <c:v>0.78733754000605272</c:v>
                </c:pt>
                <c:pt idx="265">
                  <c:v>0.7883581488403737</c:v>
                </c:pt>
                <c:pt idx="266">
                  <c:v>0.78938184762413943</c:v>
                </c:pt>
                <c:pt idx="267">
                  <c:v>0.79040860931294488</c:v>
                </c:pt>
                <c:pt idx="268">
                  <c:v>0.79143840719242742</c:v>
                </c:pt>
                <c:pt idx="269">
                  <c:v>0.79247121487310812</c:v>
                </c:pt>
                <c:pt idx="270">
                  <c:v>0.79350700628533111</c:v>
                </c:pt>
                <c:pt idx="271">
                  <c:v>0.79454575567429953</c:v>
                </c:pt>
                <c:pt idx="272">
                  <c:v>0.79558743759520478</c:v>
                </c:pt>
                <c:pt idx="273">
                  <c:v>0.79663202690844748</c:v>
                </c:pt>
                <c:pt idx="274">
                  <c:v>0.7976794987749487</c:v>
                </c:pt>
                <c:pt idx="275">
                  <c:v>0.79872982865154774</c:v>
                </c:pt>
                <c:pt idx="276">
                  <c:v>0.79978299228648764</c:v>
                </c:pt>
                <c:pt idx="277">
                  <c:v>0.80083896571498259</c:v>
                </c:pt>
                <c:pt idx="278">
                  <c:v>0.80189772525486847</c:v>
                </c:pt>
                <c:pt idx="279">
                  <c:v>0.80295924750233372</c:v>
                </c:pt>
                <c:pt idx="280">
                  <c:v>0.80402350932772837</c:v>
                </c:pt>
                <c:pt idx="281">
                  <c:v>0.80509048787145021</c:v>
                </c:pt>
                <c:pt idx="282">
                  <c:v>0.80616016053990558</c:v>
                </c:pt>
                <c:pt idx="283">
                  <c:v>0.80723250500154498</c:v>
                </c:pt>
                <c:pt idx="284">
                  <c:v>0.80830749918296863</c:v>
                </c:pt>
                <c:pt idx="285">
                  <c:v>0.80938512126510487</c:v>
                </c:pt>
                <c:pt idx="286">
                  <c:v>0.81046534967945572</c:v>
                </c:pt>
                <c:pt idx="287">
                  <c:v>0.81154816310441014</c:v>
                </c:pt>
                <c:pt idx="288">
                  <c:v>0.8126335404616245</c:v>
                </c:pt>
                <c:pt idx="289">
                  <c:v>0.81372146091246655</c:v>
                </c:pt>
                <c:pt idx="290">
                  <c:v>0.81481190385452273</c:v>
                </c:pt>
                <c:pt idx="291">
                  <c:v>0.81590484891816839</c:v>
                </c:pt>
                <c:pt idx="292">
                  <c:v>0.81700027596319791</c:v>
                </c:pt>
                <c:pt idx="293">
                  <c:v>0.81809816507551369</c:v>
                </c:pt>
                <c:pt idx="294">
                  <c:v>0.81919849656387511</c:v>
                </c:pt>
                <c:pt idx="295">
                  <c:v>0.82030125095670237</c:v>
                </c:pt>
                <c:pt idx="296">
                  <c:v>0.82140640899893813</c:v>
                </c:pt>
                <c:pt idx="297">
                  <c:v>0.82251395164896191</c:v>
                </c:pt>
                <c:pt idx="298">
                  <c:v>0.82362386007555899</c:v>
                </c:pt>
                <c:pt idx="299">
                  <c:v>0.82473611565494265</c:v>
                </c:pt>
                <c:pt idx="300">
                  <c:v>0.82585069996782545</c:v>
                </c:pt>
                <c:pt idx="301">
                  <c:v>0.82696759479654314</c:v>
                </c:pt>
                <c:pt idx="302">
                  <c:v>0.82808678212222608</c:v>
                </c:pt>
                <c:pt idx="303">
                  <c:v>0.82920824412202099</c:v>
                </c:pt>
                <c:pt idx="304">
                  <c:v>0.83033196316635782</c:v>
                </c:pt>
                <c:pt idx="305">
                  <c:v>0.8314579218162641</c:v>
                </c:pt>
                <c:pt idx="306">
                  <c:v>0.83258610282072509</c:v>
                </c:pt>
                <c:pt idx="307">
                  <c:v>0.8337164891140878</c:v>
                </c:pt>
                <c:pt idx="308">
                  <c:v>0.83484906381350976</c:v>
                </c:pt>
                <c:pt idx="309">
                  <c:v>0.83598381021644785</c:v>
                </c:pt>
                <c:pt idx="310">
                  <c:v>0.83712071179819314</c:v>
                </c:pt>
                <c:pt idx="311">
                  <c:v>0.83825975220944371</c:v>
                </c:pt>
                <c:pt idx="312">
                  <c:v>0.83940091527391902</c:v>
                </c:pt>
                <c:pt idx="313">
                  <c:v>0.84054418498601335</c:v>
                </c:pt>
                <c:pt idx="314">
                  <c:v>0.84168954550848851</c:v>
                </c:pt>
                <c:pt idx="315">
                  <c:v>0.84283698117020434</c:v>
                </c:pt>
                <c:pt idx="316">
                  <c:v>0.84398647646388647</c:v>
                </c:pt>
                <c:pt idx="317">
                  <c:v>0.84513801604393057</c:v>
                </c:pt>
                <c:pt idx="318">
                  <c:v>0.84629158472424226</c:v>
                </c:pt>
                <c:pt idx="319">
                  <c:v>0.84744716747611304</c:v>
                </c:pt>
                <c:pt idx="320">
                  <c:v>0.84860474942612929</c:v>
                </c:pt>
                <c:pt idx="321">
                  <c:v>0.84976431585411594</c:v>
                </c:pt>
                <c:pt idx="322">
                  <c:v>0.85092585219111405</c:v>
                </c:pt>
                <c:pt idx="323">
                  <c:v>0.85208934401738934</c:v>
                </c:pt>
                <c:pt idx="324">
                  <c:v>0.85325477706047392</c:v>
                </c:pt>
                <c:pt idx="325">
                  <c:v>0.85442213719323779</c:v>
                </c:pt>
                <c:pt idx="326">
                  <c:v>0.85559141043199394</c:v>
                </c:pt>
                <c:pt idx="327">
                  <c:v>0.85676258293463015</c:v>
                </c:pt>
                <c:pt idx="328">
                  <c:v>0.85793564099877317</c:v>
                </c:pt>
                <c:pt idx="329">
                  <c:v>0.85911057105998023</c:v>
                </c:pt>
                <c:pt idx="330">
                  <c:v>0.8602873596899594</c:v>
                </c:pt>
                <c:pt idx="331">
                  <c:v>0.86146599359481901</c:v>
                </c:pt>
                <c:pt idx="332">
                  <c:v>0.86264645961334308</c:v>
                </c:pt>
                <c:pt idx="333">
                  <c:v>0.86382874471529436</c:v>
                </c:pt>
                <c:pt idx="334">
                  <c:v>0.86501283599974332</c:v>
                </c:pt>
                <c:pt idx="335">
                  <c:v>0.86619872069342452</c:v>
                </c:pt>
                <c:pt idx="336">
                  <c:v>0.86738638614911689</c:v>
                </c:pt>
                <c:pt idx="337">
                  <c:v>0.86857581984404941</c:v>
                </c:pt>
                <c:pt idx="338">
                  <c:v>0.86976700937833151</c:v>
                </c:pt>
                <c:pt idx="339">
                  <c:v>0.87095994247340836</c:v>
                </c:pt>
                <c:pt idx="340">
                  <c:v>0.8721546069705387</c:v>
                </c:pt>
                <c:pt idx="341">
                  <c:v>0.87335099082929601</c:v>
                </c:pt>
                <c:pt idx="342">
                  <c:v>0.87454908212609295</c:v>
                </c:pt>
                <c:pt idx="343">
                  <c:v>0.87574886905272908</c:v>
                </c:pt>
                <c:pt idx="344">
                  <c:v>0.8769503399149583</c:v>
                </c:pt>
                <c:pt idx="345">
                  <c:v>0.87815348313107999</c:v>
                </c:pt>
                <c:pt idx="346">
                  <c:v>0.87935828723055076</c:v>
                </c:pt>
                <c:pt idx="347">
                  <c:v>0.88056474085261671</c:v>
                </c:pt>
                <c:pt idx="348">
                  <c:v>0.88177283274496676</c:v>
                </c:pt>
                <c:pt idx="349">
                  <c:v>0.88298255176240548</c:v>
                </c:pt>
                <c:pt idx="350">
                  <c:v>0.8841938868655459</c:v>
                </c:pt>
                <c:pt idx="351">
                  <c:v>0.88540682711952312</c:v>
                </c:pt>
                <c:pt idx="352">
                  <c:v>0.88662136169272432</c:v>
                </c:pt>
                <c:pt idx="353">
                  <c:v>0.88783747985553974</c:v>
                </c:pt>
                <c:pt idx="354">
                  <c:v>0.88905517097913123</c:v>
                </c:pt>
                <c:pt idx="355">
                  <c:v>0.89027442453421901</c:v>
                </c:pt>
                <c:pt idx="356">
                  <c:v>0.89149523008988685</c:v>
                </c:pt>
                <c:pt idx="357">
                  <c:v>0.8927175773124032</c:v>
                </c:pt>
                <c:pt idx="358">
                  <c:v>0.89394145596406083</c:v>
                </c:pt>
                <c:pt idx="359">
                  <c:v>0.8951668559020336</c:v>
                </c:pt>
                <c:pt idx="360">
                  <c:v>0.89639376707724838</c:v>
                </c:pt>
                <c:pt idx="361">
                  <c:v>0.89762217953327483</c:v>
                </c:pt>
                <c:pt idx="362">
                  <c:v>0.89885208340522982</c:v>
                </c:pt>
                <c:pt idx="363">
                  <c:v>0.90008346891869939</c:v>
                </c:pt>
                <c:pt idx="364">
                  <c:v>0.90131632638867432</c:v>
                </c:pt>
                <c:pt idx="365">
                  <c:v>0.90255064621850167</c:v>
                </c:pt>
                <c:pt idx="366">
                  <c:v>0.90378641889885225</c:v>
                </c:pt>
                <c:pt idx="367">
                  <c:v>0.90502363500670158</c:v>
                </c:pt>
                <c:pt idx="368">
                  <c:v>0.90626228520432539</c:v>
                </c:pt>
                <c:pt idx="369">
                  <c:v>0.9075023602383101</c:v>
                </c:pt>
                <c:pt idx="370">
                  <c:v>0.90874385093857679</c:v>
                </c:pt>
                <c:pt idx="371">
                  <c:v>0.90998674821741932</c:v>
                </c:pt>
                <c:pt idx="372">
                  <c:v>0.91123104306855507</c:v>
                </c:pt>
                <c:pt idx="373">
                  <c:v>0.91247672656619061</c:v>
                </c:pt>
                <c:pt idx="374">
                  <c:v>0.91372378986409841</c:v>
                </c:pt>
                <c:pt idx="375">
                  <c:v>0.91497222419470858</c:v>
                </c:pt>
                <c:pt idx="376">
                  <c:v>0.9162220208682117</c:v>
                </c:pt>
                <c:pt idx="377">
                  <c:v>0.91747317127167416</c:v>
                </c:pt>
                <c:pt idx="378">
                  <c:v>0.91872566686816737</c:v>
                </c:pt>
                <c:pt idx="379">
                  <c:v>0.91997949919590682</c:v>
                </c:pt>
                <c:pt idx="380">
                  <c:v>0.92123465986740483</c:v>
                </c:pt>
                <c:pt idx="381">
                  <c:v>0.92249114056863335</c:v>
                </c:pt>
                <c:pt idx="382">
                  <c:v>0.92374893305820005</c:v>
                </c:pt>
                <c:pt idx="383">
                  <c:v>0.92500802916653391</c:v>
                </c:pt>
                <c:pt idx="384">
                  <c:v>0.9262684207950832</c:v>
                </c:pt>
                <c:pt idx="385">
                  <c:v>0.92753009991552393</c:v>
                </c:pt>
                <c:pt idx="386">
                  <c:v>0.92879305856897854</c:v>
                </c:pt>
                <c:pt idx="387">
                  <c:v>0.93005728886524619</c:v>
                </c:pt>
                <c:pt idx="388">
                  <c:v>0.9313227829820433</c:v>
                </c:pt>
                <c:pt idx="389">
                  <c:v>0.93258953316425286</c:v>
                </c:pt>
                <c:pt idx="390">
                  <c:v>0.93385753172318542</c:v>
                </c:pt>
                <c:pt idx="391">
                  <c:v>0.93512677103585062</c:v>
                </c:pt>
                <c:pt idx="392">
                  <c:v>0.93639724354423604</c:v>
                </c:pt>
                <c:pt idx="393">
                  <c:v>0.93766894175459703</c:v>
                </c:pt>
                <c:pt idx="394">
                  <c:v>0.9389418582367568</c:v>
                </c:pt>
                <c:pt idx="395">
                  <c:v>0.94021598562341491</c:v>
                </c:pt>
                <c:pt idx="396">
                  <c:v>0.94149131660946461</c:v>
                </c:pt>
                <c:pt idx="397">
                  <c:v>0.94276784395131963</c:v>
                </c:pt>
                <c:pt idx="398">
                  <c:v>0.94404556046625021</c:v>
                </c:pt>
                <c:pt idx="399">
                  <c:v>0.94532445903172735</c:v>
                </c:pt>
                <c:pt idx="400">
                  <c:v>0.94660453258477584</c:v>
                </c:pt>
                <c:pt idx="401">
                  <c:v>0.94788577412133579</c:v>
                </c:pt>
                <c:pt idx="402">
                  <c:v>0.94916817669563214</c:v>
                </c:pt>
                <c:pt idx="403">
                  <c:v>0.95045173341955358</c:v>
                </c:pt>
                <c:pt idx="404">
                  <c:v>0.95173643746203784</c:v>
                </c:pt>
                <c:pt idx="405">
                  <c:v>0.95302228204846606</c:v>
                </c:pt>
                <c:pt idx="406">
                  <c:v>0.95430926046006481</c:v>
                </c:pt>
                <c:pt idx="407">
                  <c:v>0.95559736603331613</c:v>
                </c:pt>
                <c:pt idx="408">
                  <c:v>0.95688659215937433</c:v>
                </c:pt>
                <c:pt idx="409">
                  <c:v>0.95817693228349099</c:v>
                </c:pt>
                <c:pt idx="410">
                  <c:v>0.95946837990444656</c:v>
                </c:pt>
                <c:pt idx="411">
                  <c:v>0.96076092857399131</c:v>
                </c:pt>
                <c:pt idx="412">
                  <c:v>0.96205457189629007</c:v>
                </c:pt>
                <c:pt idx="413">
                  <c:v>0.96334930352737702</c:v>
                </c:pt>
                <c:pt idx="414">
                  <c:v>0.9646451171746161</c:v>
                </c:pt>
                <c:pt idx="415">
                  <c:v>0.96594200659616802</c:v>
                </c:pt>
                <c:pt idx="416">
                  <c:v>0.9672399656004651</c:v>
                </c:pt>
                <c:pt idx="417">
                  <c:v>0.96853898804569161</c:v>
                </c:pt>
                <c:pt idx="418">
                  <c:v>0.96983906783927032</c:v>
                </c:pt>
                <c:pt idx="419">
                  <c:v>0.97114019893735837</c:v>
                </c:pt>
                <c:pt idx="420">
                  <c:v>0.97244237534434541</c:v>
                </c:pt>
                <c:pt idx="421">
                  <c:v>0.9737455911123607</c:v>
                </c:pt>
                <c:pt idx="422">
                  <c:v>0.97504984034078579</c:v>
                </c:pt>
                <c:pt idx="423">
                  <c:v>0.97635511717577272</c:v>
                </c:pt>
                <c:pt idx="424">
                  <c:v>0.9776614158097694</c:v>
                </c:pt>
                <c:pt idx="425">
                  <c:v>0.97896873048104882</c:v>
                </c:pt>
                <c:pt idx="426">
                  <c:v>0.98027705547324606</c:v>
                </c:pt>
                <c:pt idx="427">
                  <c:v>0.98158638511490071</c:v>
                </c:pt>
                <c:pt idx="428">
                  <c:v>0.98289671377900401</c:v>
                </c:pt>
                <c:pt idx="429">
                  <c:v>0.98420803588255135</c:v>
                </c:pt>
                <c:pt idx="430">
                  <c:v>0.98552034588610216</c:v>
                </c:pt>
                <c:pt idx="431">
                  <c:v>0.98683363829334358</c:v>
                </c:pt>
                <c:pt idx="432">
                  <c:v>0.98814790765065952</c:v>
                </c:pt>
                <c:pt idx="433">
                  <c:v>0.98946314854670536</c:v>
                </c:pt>
                <c:pt idx="434">
                  <c:v>0.99077935561198771</c:v>
                </c:pt>
                <c:pt idx="435">
                  <c:v>0.99209652351845001</c:v>
                </c:pt>
                <c:pt idx="436">
                  <c:v>0.99341464697906146</c:v>
                </c:pt>
                <c:pt idx="437">
                  <c:v>0.99473372074741251</c:v>
                </c:pt>
                <c:pt idx="438">
                  <c:v>0.99605373961731369</c:v>
                </c:pt>
                <c:pt idx="439">
                  <c:v>0.99737469842240167</c:v>
                </c:pt>
                <c:pt idx="440">
                  <c:v>0.99869659203574757</c:v>
                </c:pt>
                <c:pt idx="441">
                  <c:v>1.0000194153694704</c:v>
                </c:pt>
                <c:pt idx="442">
                  <c:v>1.0013431633743564</c:v>
                </c:pt>
                <c:pt idx="443">
                  <c:v>1.0026678310394825</c:v>
                </c:pt>
                <c:pt idx="444">
                  <c:v>1.0039934133918433</c:v>
                </c:pt>
                <c:pt idx="445">
                  <c:v>1.0053199054959827</c:v>
                </c:pt>
                <c:pt idx="446">
                  <c:v>1.0066473024536311</c:v>
                </c:pt>
                <c:pt idx="447">
                  <c:v>1.0079755994033457</c:v>
                </c:pt>
                <c:pt idx="448">
                  <c:v>1.0093047915201552</c:v>
                </c:pt>
                <c:pt idx="449">
                  <c:v>1.0106348740152091</c:v>
                </c:pt>
                <c:pt idx="450">
                  <c:v>1.0119658421354305</c:v>
                </c:pt>
                <c:pt idx="451">
                  <c:v>1.0132976911631741</c:v>
                </c:pt>
                <c:pt idx="452">
                  <c:v>1.014630416415887</c:v>
                </c:pt>
                <c:pt idx="453">
                  <c:v>1.0159640132457737</c:v>
                </c:pt>
                <c:pt idx="454">
                  <c:v>1.0172984770394649</c:v>
                </c:pt>
                <c:pt idx="455">
                  <c:v>1.0186338032176914</c:v>
                </c:pt>
                <c:pt idx="456">
                  <c:v>1.0199699872349608</c:v>
                </c:pt>
                <c:pt idx="457">
                  <c:v>1.0213070245792362</c:v>
                </c:pt>
                <c:pt idx="458">
                  <c:v>1.0226449107716227</c:v>
                </c:pt>
                <c:pt idx="459">
                  <c:v>1.0239836413660535</c:v>
                </c:pt>
                <c:pt idx="460">
                  <c:v>1.0253232119489821</c:v>
                </c:pt>
                <c:pt idx="461">
                  <c:v>1.0266636181390769</c:v>
                </c:pt>
                <c:pt idx="462">
                  <c:v>1.0280048555869195</c:v>
                </c:pt>
                <c:pt idx="463">
                  <c:v>1.029346919974707</c:v>
                </c:pt>
                <c:pt idx="464">
                  <c:v>1.0306898070159565</c:v>
                </c:pt>
                <c:pt idx="465">
                  <c:v>1.0320335124552145</c:v>
                </c:pt>
                <c:pt idx="466">
                  <c:v>1.0333780320677679</c:v>
                </c:pt>
                <c:pt idx="467">
                  <c:v>1.0347233616593603</c:v>
                </c:pt>
                <c:pt idx="468">
                  <c:v>1.0360694970659095</c:v>
                </c:pt>
                <c:pt idx="469">
                  <c:v>1.0374164341532286</c:v>
                </c:pt>
                <c:pt idx="470">
                  <c:v>1.0387641688167522</c:v>
                </c:pt>
                <c:pt idx="471">
                  <c:v>1.0401126969812629</c:v>
                </c:pt>
                <c:pt idx="472">
                  <c:v>1.0414620146006228</c:v>
                </c:pt>
                <c:pt idx="473">
                  <c:v>1.0428121176575069</c:v>
                </c:pt>
                <c:pt idx="474">
                  <c:v>1.0441630021631396</c:v>
                </c:pt>
                <c:pt idx="475">
                  <c:v>1.0455146641570363</c:v>
                </c:pt>
                <c:pt idx="476">
                  <c:v>1.0468670997067431</c:v>
                </c:pt>
                <c:pt idx="477">
                  <c:v>1.0482203049075847</c:v>
                </c:pt>
                <c:pt idx="478">
                  <c:v>1.0495742758824118</c:v>
                </c:pt>
                <c:pt idx="479">
                  <c:v>1.0509290087813519</c:v>
                </c:pt>
                <c:pt idx="480">
                  <c:v>1.0522844997815639</c:v>
                </c:pt>
                <c:pt idx="481">
                  <c:v>1.053640745086994</c:v>
                </c:pt>
                <c:pt idx="482">
                  <c:v>1.0549977409281346</c:v>
                </c:pt>
                <c:pt idx="483">
                  <c:v>1.0563554835617877</c:v>
                </c:pt>
                <c:pt idx="484">
                  <c:v>1.0577139692708275</c:v>
                </c:pt>
                <c:pt idx="485">
                  <c:v>1.0590731943639689</c:v>
                </c:pt>
                <c:pt idx="486">
                  <c:v>1.0604331551755355</c:v>
                </c:pt>
                <c:pt idx="487">
                  <c:v>1.0617938480652336</c:v>
                </c:pt>
                <c:pt idx="488">
                  <c:v>1.0631552694179254</c:v>
                </c:pt>
                <c:pt idx="489">
                  <c:v>1.0645174156434061</c:v>
                </c:pt>
                <c:pt idx="490">
                  <c:v>1.0658802831761838</c:v>
                </c:pt>
                <c:pt idx="491">
                  <c:v>1.0672438684752608</c:v>
                </c:pt>
                <c:pt idx="492">
                  <c:v>1.0686081680239186</c:v>
                </c:pt>
                <c:pt idx="493">
                  <c:v>1.069973178329503</c:v>
                </c:pt>
                <c:pt idx="494">
                  <c:v>1.0713388959232135</c:v>
                </c:pt>
                <c:pt idx="495">
                  <c:v>1.0727053173598953</c:v>
                </c:pt>
                <c:pt idx="496">
                  <c:v>1.0740724392178309</c:v>
                </c:pt>
                <c:pt idx="497">
                  <c:v>1.0754402580985363</c:v>
                </c:pt>
                <c:pt idx="498">
                  <c:v>1.0768087706265583</c:v>
                </c:pt>
                <c:pt idx="499">
                  <c:v>1.0781779734492754</c:v>
                </c:pt>
                <c:pt idx="500">
                  <c:v>1.0795478632366982</c:v>
                </c:pt>
                <c:pt idx="501">
                  <c:v>1.0809184366812741</c:v>
                </c:pt>
                <c:pt idx="502">
                  <c:v>1.0822896904976933</c:v>
                </c:pt>
                <c:pt idx="503">
                  <c:v>1.0836616214226971</c:v>
                </c:pt>
                <c:pt idx="504">
                  <c:v>1.0850342262148875</c:v>
                </c:pt>
                <c:pt idx="505">
                  <c:v>1.0864075016545403</c:v>
                </c:pt>
                <c:pt idx="506">
                  <c:v>1.0877814445434175</c:v>
                </c:pt>
                <c:pt idx="507">
                  <c:v>1.0891560517045855</c:v>
                </c:pt>
                <c:pt idx="508">
                  <c:v>1.0905313199822309</c:v>
                </c:pt>
                <c:pt idx="509">
                  <c:v>1.0919072462414821</c:v>
                </c:pt>
                <c:pt idx="510">
                  <c:v>1.0932838273682297</c:v>
                </c:pt>
                <c:pt idx="511">
                  <c:v>1.0946610602689513</c:v>
                </c:pt>
                <c:pt idx="512">
                  <c:v>1.0960389418705361</c:v>
                </c:pt>
                <c:pt idx="513">
                  <c:v>1.097417469120112</c:v>
                </c:pt>
                <c:pt idx="514">
                  <c:v>1.0987966389848747</c:v>
                </c:pt>
                <c:pt idx="515">
                  <c:v>1.1001764484519196</c:v>
                </c:pt>
                <c:pt idx="516">
                  <c:v>1.1015568945280727</c:v>
                </c:pt>
                <c:pt idx="517">
                  <c:v>1.1029379742397252</c:v>
                </c:pt>
                <c:pt idx="518">
                  <c:v>1.1043196846326702</c:v>
                </c:pt>
                <c:pt idx="519">
                  <c:v>1.1057020227719394</c:v>
                </c:pt>
                <c:pt idx="520">
                  <c:v>1.1070849857416432</c:v>
                </c:pt>
                <c:pt idx="521">
                  <c:v>1.1084685706448105</c:v>
                </c:pt>
                <c:pt idx="522">
                  <c:v>1.1098527746032323</c:v>
                </c:pt>
                <c:pt idx="523">
                  <c:v>1.1112375947573052</c:v>
                </c:pt>
                <c:pt idx="524">
                  <c:v>1.1126230282658776</c:v>
                </c:pt>
                <c:pt idx="525">
                  <c:v>1.1140090723060956</c:v>
                </c:pt>
                <c:pt idx="526">
                  <c:v>1.1153957240732535</c:v>
                </c:pt>
                <c:pt idx="527">
                  <c:v>1.1167829807806435</c:v>
                </c:pt>
                <c:pt idx="528">
                  <c:v>1.1181708396594072</c:v>
                </c:pt>
                <c:pt idx="529">
                  <c:v>1.119559297958389</c:v>
                </c:pt>
                <c:pt idx="530">
                  <c:v>1.120948352943991</c:v>
                </c:pt>
                <c:pt idx="531">
                  <c:v>1.1223380019000293</c:v>
                </c:pt>
                <c:pt idx="532">
                  <c:v>1.123728242127592</c:v>
                </c:pt>
                <c:pt idx="533">
                  <c:v>1.1251190709448975</c:v>
                </c:pt>
                <c:pt idx="534">
                  <c:v>1.1265104856871553</c:v>
                </c:pt>
                <c:pt idx="535">
                  <c:v>1.127902483706428</c:v>
                </c:pt>
                <c:pt idx="536">
                  <c:v>1.1292950623714948</c:v>
                </c:pt>
                <c:pt idx="537">
                  <c:v>1.1306882190677157</c:v>
                </c:pt>
                <c:pt idx="538">
                  <c:v>1.1320819511968971</c:v>
                </c:pt>
                <c:pt idx="539">
                  <c:v>1.1334762561771605</c:v>
                </c:pt>
                <c:pt idx="540">
                  <c:v>1.1348711314428093</c:v>
                </c:pt>
                <c:pt idx="541">
                  <c:v>1.1362665744441993</c:v>
                </c:pt>
                <c:pt idx="542">
                  <c:v>1.1376625826476106</c:v>
                </c:pt>
                <c:pt idx="543">
                  <c:v>1.1390591535351189</c:v>
                </c:pt>
                <c:pt idx="544">
                  <c:v>1.1404562846044701</c:v>
                </c:pt>
                <c:pt idx="545">
                  <c:v>1.1418539733689539</c:v>
                </c:pt>
                <c:pt idx="546">
                  <c:v>1.1432522173572814</c:v>
                </c:pt>
                <c:pt idx="547">
                  <c:v>1.1446510141134614</c:v>
                </c:pt>
                <c:pt idx="548">
                  <c:v>1.1460503611966795</c:v>
                </c:pt>
                <c:pt idx="549">
                  <c:v>1.1474502561811768</c:v>
                </c:pt>
                <c:pt idx="550">
                  <c:v>1.1488506966561318</c:v>
                </c:pt>
                <c:pt idx="551">
                  <c:v>1.1502516802255423</c:v>
                </c:pt>
                <c:pt idx="552">
                  <c:v>1.1516532045081072</c:v>
                </c:pt>
                <c:pt idx="553">
                  <c:v>1.153055267137113</c:v>
                </c:pt>
                <c:pt idx="554">
                  <c:v>1.1544578657603166</c:v>
                </c:pt>
                <c:pt idx="555">
                  <c:v>1.155860998039834</c:v>
                </c:pt>
                <c:pt idx="556">
                  <c:v>1.1572646616520268</c:v>
                </c:pt>
                <c:pt idx="557">
                  <c:v>1.1586688542873904</c:v>
                </c:pt>
                <c:pt idx="558">
                  <c:v>1.1600735736504444</c:v>
                </c:pt>
                <c:pt idx="559">
                  <c:v>1.1614788174596231</c:v>
                </c:pt>
                <c:pt idx="560">
                  <c:v>1.1628845834471677</c:v>
                </c:pt>
                <c:pt idx="561">
                  <c:v>1.1642908693590182</c:v>
                </c:pt>
                <c:pt idx="562">
                  <c:v>1.1656976729547075</c:v>
                </c:pt>
                <c:pt idx="563">
                  <c:v>1.1671049920072569</c:v>
                </c:pt>
                <c:pt idx="564">
                  <c:v>1.1685128243030716</c:v>
                </c:pt>
                <c:pt idx="565">
                  <c:v>1.1699211676418366</c:v>
                </c:pt>
                <c:pt idx="566">
                  <c:v>1.1713300198364156</c:v>
                </c:pt>
                <c:pt idx="567">
                  <c:v>1.1727393787127491</c:v>
                </c:pt>
                <c:pt idx="568">
                  <c:v>1.1741492421097544</c:v>
                </c:pt>
                <c:pt idx="569">
                  <c:v>1.1755596078792263</c:v>
                </c:pt>
                <c:pt idx="570">
                  <c:v>1.1769704738857376</c:v>
                </c:pt>
                <c:pt idx="571">
                  <c:v>1.1783818380065432</c:v>
                </c:pt>
                <c:pt idx="572">
                  <c:v>1.1797936981314823</c:v>
                </c:pt>
                <c:pt idx="573">
                  <c:v>1.1812060521628829</c:v>
                </c:pt>
                <c:pt idx="574">
                  <c:v>1.1826188980154673</c:v>
                </c:pt>
                <c:pt idx="575">
                  <c:v>1.1840322336162574</c:v>
                </c:pt>
                <c:pt idx="576">
                  <c:v>1.1854460569044829</c:v>
                </c:pt>
                <c:pt idx="577">
                  <c:v>1.1868603658314874</c:v>
                </c:pt>
                <c:pt idx="578">
                  <c:v>1.1882751583606379</c:v>
                </c:pt>
                <c:pt idx="579">
                  <c:v>1.1896904324672346</c:v>
                </c:pt>
                <c:pt idx="580">
                  <c:v>1.1911061861384209</c:v>
                </c:pt>
                <c:pt idx="581">
                  <c:v>1.1925224173730939</c:v>
                </c:pt>
                <c:pt idx="582">
                  <c:v>1.1939391241818171</c:v>
                </c:pt>
                <c:pt idx="583">
                  <c:v>1.1953563045867324</c:v>
                </c:pt>
                <c:pt idx="584">
                  <c:v>1.1967739566214748</c:v>
                </c:pt>
                <c:pt idx="585">
                  <c:v>1.1981920783310851</c:v>
                </c:pt>
                <c:pt idx="586">
                  <c:v>1.1996106677719267</c:v>
                </c:pt>
                <c:pt idx="587">
                  <c:v>1.2010297230115996</c:v>
                </c:pt>
                <c:pt idx="588">
                  <c:v>1.2024492421288593</c:v>
                </c:pt>
                <c:pt idx="589">
                  <c:v>1.2038692232135315</c:v>
                </c:pt>
                <c:pt idx="590">
                  <c:v>1.2052896643664328</c:v>
                </c:pt>
                <c:pt idx="591">
                  <c:v>1.2067105636992876</c:v>
                </c:pt>
                <c:pt idx="592">
                  <c:v>1.2081319193346491</c:v>
                </c:pt>
                <c:pt idx="593">
                  <c:v>1.2095537294058185</c:v>
                </c:pt>
                <c:pt idx="594">
                  <c:v>1.2109759920567666</c:v>
                </c:pt>
                <c:pt idx="595">
                  <c:v>1.212398705442056</c:v>
                </c:pt>
                <c:pt idx="596">
                  <c:v>1.2138218677267623</c:v>
                </c:pt>
                <c:pt idx="597">
                  <c:v>1.2152454770863983</c:v>
                </c:pt>
                <c:pt idx="598">
                  <c:v>1.2166695317068377</c:v>
                </c:pt>
                <c:pt idx="599">
                  <c:v>1.2180940297842384</c:v>
                </c:pt>
                <c:pt idx="600">
                  <c:v>1.2195189695249702</c:v>
                </c:pt>
                <c:pt idx="601">
                  <c:v>1.2209443491455376</c:v>
                </c:pt>
                <c:pt idx="602">
                  <c:v>1.2223701668725084</c:v>
                </c:pt>
                <c:pt idx="603">
                  <c:v>1.2237964209424403</c:v>
                </c:pt>
                <c:pt idx="604">
                  <c:v>1.2252231096018082</c:v>
                </c:pt>
                <c:pt idx="605">
                  <c:v>1.2266502311069336</c:v>
                </c:pt>
                <c:pt idx="606">
                  <c:v>1.2280777837239123</c:v>
                </c:pt>
                <c:pt idx="607">
                  <c:v>1.2295057657285449</c:v>
                </c:pt>
                <c:pt idx="608">
                  <c:v>1.2309341754062679</c:v>
                </c:pt>
                <c:pt idx="609">
                  <c:v>1.2323630110520829</c:v>
                </c:pt>
                <c:pt idx="610">
                  <c:v>1.2337922709704889</c:v>
                </c:pt>
                <c:pt idx="611">
                  <c:v>1.235221953475415</c:v>
                </c:pt>
                <c:pt idx="612">
                  <c:v>1.236652056890152</c:v>
                </c:pt>
                <c:pt idx="613">
                  <c:v>1.2380825795472865</c:v>
                </c:pt>
                <c:pt idx="614">
                  <c:v>1.2395135197886344</c:v>
                </c:pt>
                <c:pt idx="615">
                  <c:v>1.2409448759651753</c:v>
                </c:pt>
                <c:pt idx="616">
                  <c:v>1.2423766464369879</c:v>
                </c:pt>
                <c:pt idx="617">
                  <c:v>1.2438088295731851</c:v>
                </c:pt>
                <c:pt idx="618">
                  <c:v>1.2452414237518499</c:v>
                </c:pt>
                <c:pt idx="619">
                  <c:v>1.2466744273599737</c:v>
                </c:pt>
                <c:pt idx="620">
                  <c:v>1.2481078387933915</c:v>
                </c:pt>
                <c:pt idx="621">
                  <c:v>1.2495416564567199</c:v>
                </c:pt>
                <c:pt idx="622">
                  <c:v>1.2509758787632972</c:v>
                </c:pt>
                <c:pt idx="623">
                  <c:v>1.2524105041351201</c:v>
                </c:pt>
                <c:pt idx="624">
                  <c:v>1.2538455310027845</c:v>
                </c:pt>
                <c:pt idx="625">
                  <c:v>1.2552809578054245</c:v>
                </c:pt>
                <c:pt idx="626">
                  <c:v>1.2567167829906529</c:v>
                </c:pt>
                <c:pt idx="627">
                  <c:v>1.2581530050145033</c:v>
                </c:pt>
                <c:pt idx="628">
                  <c:v>1.2595896223413692</c:v>
                </c:pt>
                <c:pt idx="629">
                  <c:v>1.2610266334439477</c:v>
                </c:pt>
                <c:pt idx="630">
                  <c:v>1.2624640368031816</c:v>
                </c:pt>
                <c:pt idx="631">
                  <c:v>1.2639018309082015</c:v>
                </c:pt>
                <c:pt idx="632">
                  <c:v>1.2653400142562703</c:v>
                </c:pt>
                <c:pt idx="633">
                  <c:v>1.2667785853527258</c:v>
                </c:pt>
                <c:pt idx="634">
                  <c:v>1.2682175427109259</c:v>
                </c:pt>
                <c:pt idx="635">
                  <c:v>1.269656884852193</c:v>
                </c:pt>
                <c:pt idx="636">
                  <c:v>1.2710966103057593</c:v>
                </c:pt>
                <c:pt idx="637">
                  <c:v>1.2725367176087128</c:v>
                </c:pt>
                <c:pt idx="638">
                  <c:v>1.2739772053059426</c:v>
                </c:pt>
                <c:pt idx="639">
                  <c:v>1.2754180719500863</c:v>
                </c:pt>
                <c:pt idx="640">
                  <c:v>1.2768593161014772</c:v>
                </c:pt>
                <c:pt idx="641">
                  <c:v>1.2783009363280908</c:v>
                </c:pt>
                <c:pt idx="642">
                  <c:v>1.2797429312054935</c:v>
                </c:pt>
                <c:pt idx="643">
                  <c:v>1.2811852993167911</c:v>
                </c:pt>
                <c:pt idx="644">
                  <c:v>1.2826280392525771</c:v>
                </c:pt>
                <c:pt idx="645">
                  <c:v>1.2840711496108819</c:v>
                </c:pt>
                <c:pt idx="646">
                  <c:v>1.2855146289971224</c:v>
                </c:pt>
                <c:pt idx="647">
                  <c:v>1.2869584760240529</c:v>
                </c:pt>
                <c:pt idx="648">
                  <c:v>1.2884026893117146</c:v>
                </c:pt>
                <c:pt idx="649">
                  <c:v>1.2898472674873869</c:v>
                </c:pt>
                <c:pt idx="650">
                  <c:v>1.2912922091855381</c:v>
                </c:pt>
                <c:pt idx="651">
                  <c:v>1.2927375130477781</c:v>
                </c:pt>
                <c:pt idx="652">
                  <c:v>1.2941831777228099</c:v>
                </c:pt>
                <c:pt idx="653">
                  <c:v>1.2956292018663815</c:v>
                </c:pt>
                <c:pt idx="654">
                  <c:v>1.29707558414124</c:v>
                </c:pt>
                <c:pt idx="655">
                  <c:v>1.2985223232170835</c:v>
                </c:pt>
                <c:pt idx="656">
                  <c:v>1.2999694177705163</c:v>
                </c:pt>
                <c:pt idx="657">
                  <c:v>1.3014168664850008</c:v>
                </c:pt>
                <c:pt idx="658">
                  <c:v>1.3028646680508138</c:v>
                </c:pt>
                <c:pt idx="659">
                  <c:v>1.3043128211650006</c:v>
                </c:pt>
                <c:pt idx="660">
                  <c:v>1.3057613245313293</c:v>
                </c:pt>
                <c:pt idx="661">
                  <c:v>1.3072101768602475</c:v>
                </c:pt>
                <c:pt idx="662">
                  <c:v>1.3086593768688375</c:v>
                </c:pt>
                <c:pt idx="663">
                  <c:v>1.3101089232807723</c:v>
                </c:pt>
                <c:pt idx="664">
                  <c:v>1.3115588148262727</c:v>
                </c:pt>
                <c:pt idx="665">
                  <c:v>1.3130090502420639</c:v>
                </c:pt>
                <c:pt idx="666">
                  <c:v>1.3144596282713321</c:v>
                </c:pt>
                <c:pt idx="667">
                  <c:v>1.3159105476636841</c:v>
                </c:pt>
                <c:pt idx="668">
                  <c:v>1.3173618071751023</c:v>
                </c:pt>
                <c:pt idx="669">
                  <c:v>1.3188134055679055</c:v>
                </c:pt>
                <c:pt idx="670">
                  <c:v>1.320265341610706</c:v>
                </c:pt>
                <c:pt idx="671">
                  <c:v>1.3217176140783684</c:v>
                </c:pt>
                <c:pt idx="672">
                  <c:v>1.3231702217519712</c:v>
                </c:pt>
                <c:pt idx="673">
                  <c:v>1.3246231634187631</c:v>
                </c:pt>
                <c:pt idx="674">
                  <c:v>1.3260764378721244</c:v>
                </c:pt>
                <c:pt idx="675">
                  <c:v>1.3275300439115283</c:v>
                </c:pt>
                <c:pt idx="676">
                  <c:v>1.3289839803424994</c:v>
                </c:pt>
                <c:pt idx="677">
                  <c:v>1.3304382459765756</c:v>
                </c:pt>
                <c:pt idx="678">
                  <c:v>1.331892839631269</c:v>
                </c:pt>
                <c:pt idx="679">
                  <c:v>1.3333477601300281</c:v>
                </c:pt>
                <c:pt idx="680">
                  <c:v>1.3348030063021981</c:v>
                </c:pt>
                <c:pt idx="681">
                  <c:v>1.3362585769829844</c:v>
                </c:pt>
                <c:pt idx="682">
                  <c:v>1.3377144710134141</c:v>
                </c:pt>
                <c:pt idx="683">
                  <c:v>1.3391706872402986</c:v>
                </c:pt>
                <c:pt idx="684">
                  <c:v>1.3406272245161974</c:v>
                </c:pt>
                <c:pt idx="685">
                  <c:v>1.3420840816993802</c:v>
                </c:pt>
                <c:pt idx="686">
                  <c:v>1.3435412576537911</c:v>
                </c:pt>
                <c:pt idx="687">
                  <c:v>1.3449987512490122</c:v>
                </c:pt>
                <c:pt idx="688">
                  <c:v>1.3464565613602284</c:v>
                </c:pt>
                <c:pt idx="689">
                  <c:v>1.3479146868681902</c:v>
                </c:pt>
                <c:pt idx="690">
                  <c:v>1.3493731266591793</c:v>
                </c:pt>
                <c:pt idx="691">
                  <c:v>1.3508318796249745</c:v>
                </c:pt>
                <c:pt idx="692">
                  <c:v>1.3522909446628151</c:v>
                </c:pt>
                <c:pt idx="693">
                  <c:v>1.3537503206753667</c:v>
                </c:pt>
                <c:pt idx="694">
                  <c:v>1.355210006570688</c:v>
                </c:pt>
                <c:pt idx="695">
                  <c:v>1.3566700012621959</c:v>
                </c:pt>
                <c:pt idx="696">
                  <c:v>1.3581303036686321</c:v>
                </c:pt>
                <c:pt idx="697">
                  <c:v>1.3595909127140291</c:v>
                </c:pt>
                <c:pt idx="698">
                  <c:v>1.3610518273276777</c:v>
                </c:pt>
                <c:pt idx="699">
                  <c:v>1.3625130464440938</c:v>
                </c:pt>
                <c:pt idx="700">
                  <c:v>1.3639745690029847</c:v>
                </c:pt>
                <c:pt idx="701">
                  <c:v>1.3654363939492185</c:v>
                </c:pt>
                <c:pt idx="702">
                  <c:v>1.3668985202327901</c:v>
                </c:pt>
                <c:pt idx="703">
                  <c:v>1.3683609468087896</c:v>
                </c:pt>
                <c:pt idx="704">
                  <c:v>1.3698236726373723</c:v>
                </c:pt>
                <c:pt idx="705">
                  <c:v>1.3712866966837247</c:v>
                </c:pt>
                <c:pt idx="706">
                  <c:v>1.3727500179180339</c:v>
                </c:pt>
                <c:pt idx="707">
                  <c:v>1.3742136353154584</c:v>
                </c:pt>
                <c:pt idx="708">
                  <c:v>1.3756775478560948</c:v>
                </c:pt>
                <c:pt idx="709">
                  <c:v>1.3771417545249489</c:v>
                </c:pt>
                <c:pt idx="710">
                  <c:v>1.3786062543119042</c:v>
                </c:pt>
                <c:pt idx="711">
                  <c:v>1.3800710462116932</c:v>
                </c:pt>
                <c:pt idx="712">
                  <c:v>1.3815361292238664</c:v>
                </c:pt>
                <c:pt idx="713">
                  <c:v>1.3830015023527631</c:v>
                </c:pt>
                <c:pt idx="714">
                  <c:v>1.3844671646074815</c:v>
                </c:pt>
                <c:pt idx="715">
                  <c:v>1.385933115001851</c:v>
                </c:pt>
                <c:pt idx="716">
                  <c:v>1.3873993525544006</c:v>
                </c:pt>
                <c:pt idx="717">
                  <c:v>1.3888658762883326</c:v>
                </c:pt>
                <c:pt idx="718">
                  <c:v>1.390332685231493</c:v>
                </c:pt>
                <c:pt idx="719">
                  <c:v>1.3917997784163427</c:v>
                </c:pt>
                <c:pt idx="720">
                  <c:v>1.3932671548799309</c:v>
                </c:pt>
                <c:pt idx="721">
                  <c:v>1.3947348136638655</c:v>
                </c:pt>
                <c:pt idx="722">
                  <c:v>1.3962027538142858</c:v>
                </c:pt>
                <c:pt idx="723">
                  <c:v>1.3976709743818361</c:v>
                </c:pt>
                <c:pt idx="724">
                  <c:v>1.3991394744216372</c:v>
                </c:pt>
                <c:pt idx="725">
                  <c:v>1.4006082529932595</c:v>
                </c:pt>
                <c:pt idx="726">
                  <c:v>1.4020773091606966</c:v>
                </c:pt>
                <c:pt idx="727">
                  <c:v>1.4035466419923377</c:v>
                </c:pt>
                <c:pt idx="728">
                  <c:v>1.4050162505609427</c:v>
                </c:pt>
                <c:pt idx="729">
                  <c:v>1.4064861339436139</c:v>
                </c:pt>
                <c:pt idx="730">
                  <c:v>1.4079562912217711</c:v>
                </c:pt>
                <c:pt idx="731">
                  <c:v>1.4094267214811258</c:v>
                </c:pt>
                <c:pt idx="732">
                  <c:v>1.4108974238116545</c:v>
                </c:pt>
                <c:pt idx="733">
                  <c:v>1.4123683973075745</c:v>
                </c:pt>
                <c:pt idx="734">
                  <c:v>1.4138396410673169</c:v>
                </c:pt>
                <c:pt idx="735">
                  <c:v>1.4153111541935024</c:v>
                </c:pt>
                <c:pt idx="736">
                  <c:v>1.4167829357929171</c:v>
                </c:pt>
                <c:pt idx="737">
                  <c:v>1.4182549849764863</c:v>
                </c:pt>
                <c:pt idx="738">
                  <c:v>1.4197273008592495</c:v>
                </c:pt>
                <c:pt idx="739">
                  <c:v>1.4211998825603385</c:v>
                </c:pt>
                <c:pt idx="740">
                  <c:v>1.4226727292029502</c:v>
                </c:pt>
                <c:pt idx="741">
                  <c:v>1.4241458399143241</c:v>
                </c:pt>
                <c:pt idx="742">
                  <c:v>1.4256192138257178</c:v>
                </c:pt>
                <c:pt idx="743">
                  <c:v>1.4270928500723841</c:v>
                </c:pt>
                <c:pt idx="744">
                  <c:v>1.428566747793546</c:v>
                </c:pt>
                <c:pt idx="745">
                  <c:v>1.4300409061323751</c:v>
                </c:pt>
                <c:pt idx="746">
                  <c:v>1.4315153242359659</c:v>
                </c:pt>
                <c:pt idx="747">
                  <c:v>1.4329900012553158</c:v>
                </c:pt>
                <c:pt idx="748">
                  <c:v>1.4344649363452995</c:v>
                </c:pt>
                <c:pt idx="749">
                  <c:v>1.4359401286646476</c:v>
                </c:pt>
                <c:pt idx="750">
                  <c:v>1.4374155773759236</c:v>
                </c:pt>
                <c:pt idx="751">
                  <c:v>1.4388912816455017</c:v>
                </c:pt>
                <c:pt idx="752">
                  <c:v>1.440367240643545</c:v>
                </c:pt>
                <c:pt idx="753">
                  <c:v>1.4418434535439819</c:v>
                </c:pt>
                <c:pt idx="754">
                  <c:v>1.4433199195244859</c:v>
                </c:pt>
                <c:pt idx="755">
                  <c:v>1.4447966377664527</c:v>
                </c:pt>
                <c:pt idx="756">
                  <c:v>1.4462736074549789</c:v>
                </c:pt>
                <c:pt idx="757">
                  <c:v>1.4477508277788405</c:v>
                </c:pt>
                <c:pt idx="758">
                  <c:v>1.4492282979304716</c:v>
                </c:pt>
                <c:pt idx="759">
                  <c:v>1.4507060171059432</c:v>
                </c:pt>
                <c:pt idx="760">
                  <c:v>1.4521839845049425</c:v>
                </c:pt>
                <c:pt idx="761">
                  <c:v>1.4536621993307512</c:v>
                </c:pt>
                <c:pt idx="762">
                  <c:v>1.4551406607902255</c:v>
                </c:pt>
                <c:pt idx="763">
                  <c:v>1.4566193680937756</c:v>
                </c:pt>
                <c:pt idx="764">
                  <c:v>1.4580983204553444</c:v>
                </c:pt>
                <c:pt idx="765">
                  <c:v>1.4595775170923881</c:v>
                </c:pt>
                <c:pt idx="766">
                  <c:v>1.4610569572258556</c:v>
                </c:pt>
                <c:pt idx="767">
                  <c:v>1.4625366400801685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72-4439-989C-BA61BC83AAF3}"/>
            </c:ext>
          </c:extLst>
        </c:ser>
        <c:ser>
          <c:idx val="5"/>
          <c:order val="5"/>
          <c:tx>
            <c:v>T/W_gamma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Constraints!$N$22:$N$789</c:f>
              <c:numCache>
                <c:formatCode>General</c:formatCode>
                <c:ptCount val="768"/>
                <c:pt idx="0">
                  <c:v>0.22738716112204788</c:v>
                </c:pt>
                <c:pt idx="1">
                  <c:v>0.22738716112204788</c:v>
                </c:pt>
                <c:pt idx="2">
                  <c:v>0.22738716112204788</c:v>
                </c:pt>
                <c:pt idx="3">
                  <c:v>0.22738716112204788</c:v>
                </c:pt>
                <c:pt idx="4">
                  <c:v>0.22738716112204788</c:v>
                </c:pt>
                <c:pt idx="5">
                  <c:v>0.22738716112204788</c:v>
                </c:pt>
                <c:pt idx="6">
                  <c:v>0.22738716112204788</c:v>
                </c:pt>
                <c:pt idx="7">
                  <c:v>0.22738716112204788</c:v>
                </c:pt>
                <c:pt idx="8">
                  <c:v>0.22738716112204788</c:v>
                </c:pt>
                <c:pt idx="9">
                  <c:v>0.22738716112204788</c:v>
                </c:pt>
                <c:pt idx="10">
                  <c:v>0.22738716112204788</c:v>
                </c:pt>
                <c:pt idx="11">
                  <c:v>0.22738716112204788</c:v>
                </c:pt>
                <c:pt idx="12">
                  <c:v>0.22738716112204788</c:v>
                </c:pt>
                <c:pt idx="13">
                  <c:v>0.22738716112204788</c:v>
                </c:pt>
                <c:pt idx="14">
                  <c:v>0.22738716112204788</c:v>
                </c:pt>
                <c:pt idx="15">
                  <c:v>0.22738716112204788</c:v>
                </c:pt>
                <c:pt idx="16">
                  <c:v>0.22738716112204788</c:v>
                </c:pt>
                <c:pt idx="17">
                  <c:v>0.22738716112204788</c:v>
                </c:pt>
                <c:pt idx="18">
                  <c:v>0.22738716112204788</c:v>
                </c:pt>
                <c:pt idx="19">
                  <c:v>0.22738716112204788</c:v>
                </c:pt>
                <c:pt idx="20">
                  <c:v>0.22738716112204788</c:v>
                </c:pt>
                <c:pt idx="21">
                  <c:v>0.22738716112204788</c:v>
                </c:pt>
                <c:pt idx="22">
                  <c:v>0.22738716112204788</c:v>
                </c:pt>
                <c:pt idx="23">
                  <c:v>0.22738716112204788</c:v>
                </c:pt>
                <c:pt idx="24">
                  <c:v>0.22738716112204788</c:v>
                </c:pt>
                <c:pt idx="25">
                  <c:v>0.22738716112204788</c:v>
                </c:pt>
                <c:pt idx="26">
                  <c:v>0.22738716112204788</c:v>
                </c:pt>
                <c:pt idx="27">
                  <c:v>0.22738716112204788</c:v>
                </c:pt>
                <c:pt idx="28">
                  <c:v>0.22738716112204788</c:v>
                </c:pt>
                <c:pt idx="29">
                  <c:v>0.22738716112204788</c:v>
                </c:pt>
                <c:pt idx="30">
                  <c:v>0.22738716112204788</c:v>
                </c:pt>
                <c:pt idx="31">
                  <c:v>0.22738716112204788</c:v>
                </c:pt>
                <c:pt idx="32">
                  <c:v>0.22738716112204788</c:v>
                </c:pt>
                <c:pt idx="33">
                  <c:v>0.22738716112204788</c:v>
                </c:pt>
                <c:pt idx="34">
                  <c:v>0.22738716112204788</c:v>
                </c:pt>
                <c:pt idx="35">
                  <c:v>0.22738716112204788</c:v>
                </c:pt>
                <c:pt idx="36">
                  <c:v>0.22738716112204788</c:v>
                </c:pt>
                <c:pt idx="37">
                  <c:v>0.22738716112204788</c:v>
                </c:pt>
                <c:pt idx="38">
                  <c:v>0.22738716112204788</c:v>
                </c:pt>
                <c:pt idx="39">
                  <c:v>0.22738716112204788</c:v>
                </c:pt>
                <c:pt idx="40">
                  <c:v>0.22738716112204788</c:v>
                </c:pt>
                <c:pt idx="41">
                  <c:v>0.22738716112204788</c:v>
                </c:pt>
                <c:pt idx="42">
                  <c:v>0.22738716112204788</c:v>
                </c:pt>
                <c:pt idx="43">
                  <c:v>0.22738716112204788</c:v>
                </c:pt>
                <c:pt idx="44">
                  <c:v>0.22738716112204788</c:v>
                </c:pt>
                <c:pt idx="45">
                  <c:v>0.22738716112204788</c:v>
                </c:pt>
                <c:pt idx="46">
                  <c:v>0.22738716112204788</c:v>
                </c:pt>
                <c:pt idx="47">
                  <c:v>0.22738716112204788</c:v>
                </c:pt>
                <c:pt idx="48">
                  <c:v>0.22738716112204788</c:v>
                </c:pt>
                <c:pt idx="49">
                  <c:v>0.22738716112204788</c:v>
                </c:pt>
                <c:pt idx="50">
                  <c:v>0.22738716112204788</c:v>
                </c:pt>
                <c:pt idx="51">
                  <c:v>0.22738716112204788</c:v>
                </c:pt>
                <c:pt idx="52">
                  <c:v>0.22738716112204788</c:v>
                </c:pt>
                <c:pt idx="53">
                  <c:v>0.22738716112204788</c:v>
                </c:pt>
                <c:pt idx="54">
                  <c:v>0.22738716112204788</c:v>
                </c:pt>
                <c:pt idx="55">
                  <c:v>0.22738716112204788</c:v>
                </c:pt>
                <c:pt idx="56">
                  <c:v>0.22738716112204788</c:v>
                </c:pt>
                <c:pt idx="57">
                  <c:v>0.22738716112204788</c:v>
                </c:pt>
                <c:pt idx="58">
                  <c:v>0.22738716112204788</c:v>
                </c:pt>
                <c:pt idx="59">
                  <c:v>0.22738716112204788</c:v>
                </c:pt>
                <c:pt idx="60">
                  <c:v>0.22738716112204788</c:v>
                </c:pt>
                <c:pt idx="61">
                  <c:v>0.22738716112204788</c:v>
                </c:pt>
                <c:pt idx="62">
                  <c:v>0.22738716112204788</c:v>
                </c:pt>
                <c:pt idx="63">
                  <c:v>0.22738716112204788</c:v>
                </c:pt>
                <c:pt idx="64">
                  <c:v>0.22738716112204788</c:v>
                </c:pt>
                <c:pt idx="65">
                  <c:v>0.22738716112204788</c:v>
                </c:pt>
                <c:pt idx="66">
                  <c:v>0.22738716112204788</c:v>
                </c:pt>
                <c:pt idx="67">
                  <c:v>0.22738716112204788</c:v>
                </c:pt>
                <c:pt idx="68">
                  <c:v>0.22738716112204788</c:v>
                </c:pt>
                <c:pt idx="69">
                  <c:v>0.22738716112204788</c:v>
                </c:pt>
                <c:pt idx="70">
                  <c:v>0.22738716112204788</c:v>
                </c:pt>
                <c:pt idx="71">
                  <c:v>0.22738716112204788</c:v>
                </c:pt>
                <c:pt idx="72">
                  <c:v>0.22738716112204788</c:v>
                </c:pt>
                <c:pt idx="73">
                  <c:v>0.22738716112204788</c:v>
                </c:pt>
                <c:pt idx="74">
                  <c:v>0.22738716112204788</c:v>
                </c:pt>
                <c:pt idx="75">
                  <c:v>0.22738716112204788</c:v>
                </c:pt>
                <c:pt idx="76">
                  <c:v>0.22738716112204788</c:v>
                </c:pt>
                <c:pt idx="77">
                  <c:v>0.22738716112204788</c:v>
                </c:pt>
                <c:pt idx="78">
                  <c:v>0.22738716112204788</c:v>
                </c:pt>
                <c:pt idx="79">
                  <c:v>0.22738716112204788</c:v>
                </c:pt>
                <c:pt idx="80">
                  <c:v>0.22738716112204788</c:v>
                </c:pt>
                <c:pt idx="81">
                  <c:v>0.22738716112204788</c:v>
                </c:pt>
                <c:pt idx="82">
                  <c:v>0.22738716112204788</c:v>
                </c:pt>
                <c:pt idx="83">
                  <c:v>0.22738716112204788</c:v>
                </c:pt>
                <c:pt idx="84">
                  <c:v>0.22738716112204788</c:v>
                </c:pt>
                <c:pt idx="85">
                  <c:v>0.22738716112204788</c:v>
                </c:pt>
                <c:pt idx="86">
                  <c:v>0.22738716112204788</c:v>
                </c:pt>
                <c:pt idx="87">
                  <c:v>0.22738716112204788</c:v>
                </c:pt>
                <c:pt idx="88">
                  <c:v>0.22738716112204788</c:v>
                </c:pt>
                <c:pt idx="89">
                  <c:v>0.22738716112204788</c:v>
                </c:pt>
                <c:pt idx="90">
                  <c:v>0.22738716112204788</c:v>
                </c:pt>
                <c:pt idx="91">
                  <c:v>0.22738716112204788</c:v>
                </c:pt>
                <c:pt idx="92">
                  <c:v>0.22738716112204788</c:v>
                </c:pt>
                <c:pt idx="93">
                  <c:v>0.22738716112204788</c:v>
                </c:pt>
                <c:pt idx="94">
                  <c:v>0.22738716112204788</c:v>
                </c:pt>
                <c:pt idx="95">
                  <c:v>0.22738716112204788</c:v>
                </c:pt>
                <c:pt idx="96">
                  <c:v>0.22738716112204788</c:v>
                </c:pt>
                <c:pt idx="97">
                  <c:v>0.22738716112204788</c:v>
                </c:pt>
                <c:pt idx="98">
                  <c:v>0.22738716112204788</c:v>
                </c:pt>
                <c:pt idx="99">
                  <c:v>0.22738716112204788</c:v>
                </c:pt>
                <c:pt idx="100">
                  <c:v>0.22738716112204788</c:v>
                </c:pt>
                <c:pt idx="101">
                  <c:v>0.22738716112204788</c:v>
                </c:pt>
                <c:pt idx="102">
                  <c:v>0.22738716112204788</c:v>
                </c:pt>
                <c:pt idx="103">
                  <c:v>0.22738716112204788</c:v>
                </c:pt>
                <c:pt idx="104">
                  <c:v>0.22738716112204788</c:v>
                </c:pt>
                <c:pt idx="105">
                  <c:v>0.22738716112204788</c:v>
                </c:pt>
                <c:pt idx="106">
                  <c:v>0.22738716112204788</c:v>
                </c:pt>
                <c:pt idx="107">
                  <c:v>0.22738716112204788</c:v>
                </c:pt>
                <c:pt idx="108">
                  <c:v>0.22738716112204788</c:v>
                </c:pt>
                <c:pt idx="109">
                  <c:v>0.22738716112204788</c:v>
                </c:pt>
                <c:pt idx="110">
                  <c:v>0.22738716112204788</c:v>
                </c:pt>
                <c:pt idx="111">
                  <c:v>0.22738716112204788</c:v>
                </c:pt>
                <c:pt idx="112">
                  <c:v>0.22738716112204788</c:v>
                </c:pt>
                <c:pt idx="113">
                  <c:v>0.22738716112204788</c:v>
                </c:pt>
                <c:pt idx="114">
                  <c:v>0.22738716112204788</c:v>
                </c:pt>
                <c:pt idx="115">
                  <c:v>0.22738716112204788</c:v>
                </c:pt>
                <c:pt idx="116">
                  <c:v>0.22738716112204788</c:v>
                </c:pt>
                <c:pt idx="117">
                  <c:v>0.22738716112204788</c:v>
                </c:pt>
                <c:pt idx="118">
                  <c:v>0.22738716112204788</c:v>
                </c:pt>
                <c:pt idx="119">
                  <c:v>0.22738716112204788</c:v>
                </c:pt>
                <c:pt idx="120">
                  <c:v>0.22738716112204788</c:v>
                </c:pt>
                <c:pt idx="121">
                  <c:v>0.22738716112204788</c:v>
                </c:pt>
                <c:pt idx="122">
                  <c:v>0.22738716112204788</c:v>
                </c:pt>
                <c:pt idx="123">
                  <c:v>0.22738716112204788</c:v>
                </c:pt>
                <c:pt idx="124">
                  <c:v>0.22738716112204788</c:v>
                </c:pt>
                <c:pt idx="125">
                  <c:v>0.22738716112204788</c:v>
                </c:pt>
                <c:pt idx="126">
                  <c:v>0.22738716112204788</c:v>
                </c:pt>
                <c:pt idx="127">
                  <c:v>0.22738716112204788</c:v>
                </c:pt>
                <c:pt idx="128">
                  <c:v>0.22738716112204788</c:v>
                </c:pt>
                <c:pt idx="129">
                  <c:v>0.22738716112204788</c:v>
                </c:pt>
                <c:pt idx="130">
                  <c:v>0.22738716112204788</c:v>
                </c:pt>
                <c:pt idx="131">
                  <c:v>0.22738716112204788</c:v>
                </c:pt>
                <c:pt idx="132">
                  <c:v>0.22738716112204788</c:v>
                </c:pt>
                <c:pt idx="133">
                  <c:v>0.22738716112204788</c:v>
                </c:pt>
                <c:pt idx="134">
                  <c:v>0.22738716112204788</c:v>
                </c:pt>
                <c:pt idx="135">
                  <c:v>0.22738716112204788</c:v>
                </c:pt>
                <c:pt idx="136">
                  <c:v>0.22738716112204788</c:v>
                </c:pt>
                <c:pt idx="137">
                  <c:v>0.22738716112204788</c:v>
                </c:pt>
                <c:pt idx="138">
                  <c:v>0.22738716112204788</c:v>
                </c:pt>
                <c:pt idx="139">
                  <c:v>0.22738716112204788</c:v>
                </c:pt>
                <c:pt idx="140">
                  <c:v>0.22738716112204788</c:v>
                </c:pt>
                <c:pt idx="141">
                  <c:v>0.22738716112204788</c:v>
                </c:pt>
                <c:pt idx="142">
                  <c:v>0.22738716112204788</c:v>
                </c:pt>
                <c:pt idx="143">
                  <c:v>0.22738716112204788</c:v>
                </c:pt>
                <c:pt idx="144">
                  <c:v>0.22738716112204788</c:v>
                </c:pt>
                <c:pt idx="145">
                  <c:v>0.22738716112204788</c:v>
                </c:pt>
                <c:pt idx="146">
                  <c:v>0.22738716112204788</c:v>
                </c:pt>
                <c:pt idx="147">
                  <c:v>0.22738716112204788</c:v>
                </c:pt>
                <c:pt idx="148">
                  <c:v>0.22738716112204788</c:v>
                </c:pt>
                <c:pt idx="149">
                  <c:v>0.22738716112204788</c:v>
                </c:pt>
                <c:pt idx="150">
                  <c:v>0.22738716112204788</c:v>
                </c:pt>
                <c:pt idx="151">
                  <c:v>0.22738716112204788</c:v>
                </c:pt>
                <c:pt idx="152">
                  <c:v>0.22738716112204788</c:v>
                </c:pt>
                <c:pt idx="153">
                  <c:v>0.22738716112204788</c:v>
                </c:pt>
                <c:pt idx="154">
                  <c:v>0.22738716112204788</c:v>
                </c:pt>
                <c:pt idx="155">
                  <c:v>0.22738716112204788</c:v>
                </c:pt>
                <c:pt idx="156">
                  <c:v>0.22738716112204788</c:v>
                </c:pt>
                <c:pt idx="157">
                  <c:v>0.22738716112204788</c:v>
                </c:pt>
                <c:pt idx="158">
                  <c:v>0.22738716112204788</c:v>
                </c:pt>
                <c:pt idx="159">
                  <c:v>0.22738716112204788</c:v>
                </c:pt>
                <c:pt idx="160">
                  <c:v>0.22738716112204788</c:v>
                </c:pt>
                <c:pt idx="161">
                  <c:v>0.22738716112204788</c:v>
                </c:pt>
                <c:pt idx="162">
                  <c:v>0.22738716112204788</c:v>
                </c:pt>
                <c:pt idx="163">
                  <c:v>0.22738716112204788</c:v>
                </c:pt>
                <c:pt idx="164">
                  <c:v>0.22738716112204788</c:v>
                </c:pt>
                <c:pt idx="165">
                  <c:v>0.22738716112204788</c:v>
                </c:pt>
                <c:pt idx="166">
                  <c:v>0.22738716112204788</c:v>
                </c:pt>
                <c:pt idx="167">
                  <c:v>0.22738716112204788</c:v>
                </c:pt>
                <c:pt idx="168">
                  <c:v>0.22738716112204788</c:v>
                </c:pt>
                <c:pt idx="169">
                  <c:v>0.22738716112204788</c:v>
                </c:pt>
                <c:pt idx="170">
                  <c:v>0.22738716112204788</c:v>
                </c:pt>
                <c:pt idx="171">
                  <c:v>0.22738716112204788</c:v>
                </c:pt>
                <c:pt idx="172">
                  <c:v>0.22738716112204788</c:v>
                </c:pt>
                <c:pt idx="173">
                  <c:v>0.22738716112204788</c:v>
                </c:pt>
                <c:pt idx="174">
                  <c:v>0.22738716112204788</c:v>
                </c:pt>
                <c:pt idx="175">
                  <c:v>0.22738716112204788</c:v>
                </c:pt>
                <c:pt idx="176">
                  <c:v>0.22738716112204788</c:v>
                </c:pt>
                <c:pt idx="177">
                  <c:v>0.22738716112204788</c:v>
                </c:pt>
                <c:pt idx="178">
                  <c:v>0.22738716112204788</c:v>
                </c:pt>
                <c:pt idx="179">
                  <c:v>0.22738716112204788</c:v>
                </c:pt>
                <c:pt idx="180">
                  <c:v>0.22738716112204788</c:v>
                </c:pt>
                <c:pt idx="181">
                  <c:v>0.22738716112204788</c:v>
                </c:pt>
                <c:pt idx="182">
                  <c:v>0.22738716112204788</c:v>
                </c:pt>
                <c:pt idx="183">
                  <c:v>0.22738716112204788</c:v>
                </c:pt>
                <c:pt idx="184">
                  <c:v>0.22738716112204788</c:v>
                </c:pt>
                <c:pt idx="185">
                  <c:v>0.22738716112204788</c:v>
                </c:pt>
                <c:pt idx="186">
                  <c:v>0.22738716112204788</c:v>
                </c:pt>
                <c:pt idx="187">
                  <c:v>0.22738716112204788</c:v>
                </c:pt>
                <c:pt idx="188">
                  <c:v>0.22738716112204788</c:v>
                </c:pt>
                <c:pt idx="189">
                  <c:v>0.22738716112204788</c:v>
                </c:pt>
                <c:pt idx="190">
                  <c:v>0.22738716112204788</c:v>
                </c:pt>
                <c:pt idx="191">
                  <c:v>0.22738716112204788</c:v>
                </c:pt>
                <c:pt idx="192">
                  <c:v>0.22738716112204788</c:v>
                </c:pt>
                <c:pt idx="193">
                  <c:v>0.22738716112204788</c:v>
                </c:pt>
                <c:pt idx="194">
                  <c:v>0.22738716112204788</c:v>
                </c:pt>
                <c:pt idx="195">
                  <c:v>0.22738716112204788</c:v>
                </c:pt>
                <c:pt idx="196">
                  <c:v>0.22738716112204788</c:v>
                </c:pt>
                <c:pt idx="197">
                  <c:v>0.22738716112204788</c:v>
                </c:pt>
                <c:pt idx="198">
                  <c:v>0.22738716112204788</c:v>
                </c:pt>
                <c:pt idx="199">
                  <c:v>0.22738716112204788</c:v>
                </c:pt>
                <c:pt idx="200">
                  <c:v>0.22738716112204788</c:v>
                </c:pt>
                <c:pt idx="201">
                  <c:v>0.22738716112204788</c:v>
                </c:pt>
                <c:pt idx="202">
                  <c:v>0.22738716112204788</c:v>
                </c:pt>
                <c:pt idx="203">
                  <c:v>0.22738716112204788</c:v>
                </c:pt>
                <c:pt idx="204">
                  <c:v>0.22738716112204788</c:v>
                </c:pt>
                <c:pt idx="205">
                  <c:v>0.22738716112204788</c:v>
                </c:pt>
                <c:pt idx="206">
                  <c:v>0.22738716112204788</c:v>
                </c:pt>
                <c:pt idx="207">
                  <c:v>0.22738716112204788</c:v>
                </c:pt>
                <c:pt idx="208">
                  <c:v>0.22738716112204788</c:v>
                </c:pt>
                <c:pt idx="209">
                  <c:v>0.22738716112204788</c:v>
                </c:pt>
                <c:pt idx="210">
                  <c:v>0.22738716112204788</c:v>
                </c:pt>
                <c:pt idx="211">
                  <c:v>0.22738716112204788</c:v>
                </c:pt>
                <c:pt idx="212">
                  <c:v>0.22738716112204788</c:v>
                </c:pt>
                <c:pt idx="213">
                  <c:v>0.22738716112204788</c:v>
                </c:pt>
                <c:pt idx="214">
                  <c:v>0.22738716112204788</c:v>
                </c:pt>
                <c:pt idx="215">
                  <c:v>0.22738716112204788</c:v>
                </c:pt>
                <c:pt idx="216">
                  <c:v>0.22738716112204788</c:v>
                </c:pt>
                <c:pt idx="217">
                  <c:v>0.22738716112204788</c:v>
                </c:pt>
                <c:pt idx="218">
                  <c:v>0.22738716112204788</c:v>
                </c:pt>
                <c:pt idx="219">
                  <c:v>0.22738716112204788</c:v>
                </c:pt>
                <c:pt idx="220">
                  <c:v>0.22738716112204788</c:v>
                </c:pt>
                <c:pt idx="221">
                  <c:v>0.22738716112204788</c:v>
                </c:pt>
                <c:pt idx="222">
                  <c:v>0.22738716112204788</c:v>
                </c:pt>
                <c:pt idx="223">
                  <c:v>0.22738716112204788</c:v>
                </c:pt>
                <c:pt idx="224">
                  <c:v>0.22738716112204788</c:v>
                </c:pt>
                <c:pt idx="225">
                  <c:v>0.22738716112204788</c:v>
                </c:pt>
                <c:pt idx="226">
                  <c:v>0.22738716112204788</c:v>
                </c:pt>
                <c:pt idx="227">
                  <c:v>0.22738716112204788</c:v>
                </c:pt>
                <c:pt idx="228">
                  <c:v>0.22738716112204788</c:v>
                </c:pt>
                <c:pt idx="229">
                  <c:v>0.22738716112204788</c:v>
                </c:pt>
                <c:pt idx="230">
                  <c:v>0.22738716112204788</c:v>
                </c:pt>
                <c:pt idx="231">
                  <c:v>0.22738716112204788</c:v>
                </c:pt>
                <c:pt idx="232">
                  <c:v>0.22738716112204788</c:v>
                </c:pt>
                <c:pt idx="233">
                  <c:v>0.22738716112204788</c:v>
                </c:pt>
                <c:pt idx="234">
                  <c:v>0.22738716112204788</c:v>
                </c:pt>
                <c:pt idx="235">
                  <c:v>0.22738716112204788</c:v>
                </c:pt>
                <c:pt idx="236">
                  <c:v>0.22738716112204788</c:v>
                </c:pt>
                <c:pt idx="237">
                  <c:v>0.22738716112204788</c:v>
                </c:pt>
                <c:pt idx="238">
                  <c:v>0.22738716112204788</c:v>
                </c:pt>
                <c:pt idx="239">
                  <c:v>0.22738716112204788</c:v>
                </c:pt>
                <c:pt idx="240">
                  <c:v>0.22738716112204788</c:v>
                </c:pt>
                <c:pt idx="241">
                  <c:v>0.22738716112204788</c:v>
                </c:pt>
                <c:pt idx="242">
                  <c:v>0.22738716112204788</c:v>
                </c:pt>
                <c:pt idx="243">
                  <c:v>0.22738716112204788</c:v>
                </c:pt>
                <c:pt idx="244">
                  <c:v>0.22738716112204788</c:v>
                </c:pt>
                <c:pt idx="245">
                  <c:v>0.22738716112204788</c:v>
                </c:pt>
                <c:pt idx="246">
                  <c:v>0.22738716112204788</c:v>
                </c:pt>
                <c:pt idx="247">
                  <c:v>0.22738716112204788</c:v>
                </c:pt>
                <c:pt idx="248">
                  <c:v>0.22738716112204788</c:v>
                </c:pt>
                <c:pt idx="249">
                  <c:v>0.22738716112204788</c:v>
                </c:pt>
                <c:pt idx="250">
                  <c:v>0.22738716112204788</c:v>
                </c:pt>
                <c:pt idx="251">
                  <c:v>0.22738716112204788</c:v>
                </c:pt>
                <c:pt idx="252">
                  <c:v>0.22738716112204788</c:v>
                </c:pt>
                <c:pt idx="253">
                  <c:v>0.22738716112204788</c:v>
                </c:pt>
                <c:pt idx="254">
                  <c:v>0.22738716112204788</c:v>
                </c:pt>
                <c:pt idx="255">
                  <c:v>0.22738716112204788</c:v>
                </c:pt>
                <c:pt idx="256">
                  <c:v>0.22738716112204788</c:v>
                </c:pt>
                <c:pt idx="257">
                  <c:v>0.22738716112204788</c:v>
                </c:pt>
                <c:pt idx="258">
                  <c:v>0.22738716112204788</c:v>
                </c:pt>
                <c:pt idx="259">
                  <c:v>0.22738716112204788</c:v>
                </c:pt>
                <c:pt idx="260">
                  <c:v>0.22738716112204788</c:v>
                </c:pt>
                <c:pt idx="261">
                  <c:v>0.22738716112204788</c:v>
                </c:pt>
                <c:pt idx="262">
                  <c:v>0.22738716112204788</c:v>
                </c:pt>
                <c:pt idx="263">
                  <c:v>0.22738716112204788</c:v>
                </c:pt>
                <c:pt idx="264">
                  <c:v>0.22738716112204788</c:v>
                </c:pt>
                <c:pt idx="265">
                  <c:v>0.22738716112204788</c:v>
                </c:pt>
                <c:pt idx="266">
                  <c:v>0.22738716112204788</c:v>
                </c:pt>
                <c:pt idx="267">
                  <c:v>0.22738716112204788</c:v>
                </c:pt>
                <c:pt idx="268">
                  <c:v>0.22738716112204788</c:v>
                </c:pt>
                <c:pt idx="269">
                  <c:v>0.22738716112204788</c:v>
                </c:pt>
                <c:pt idx="270">
                  <c:v>0.22738716112204788</c:v>
                </c:pt>
                <c:pt idx="271">
                  <c:v>0.22738716112204788</c:v>
                </c:pt>
                <c:pt idx="272">
                  <c:v>0.22738716112204788</c:v>
                </c:pt>
                <c:pt idx="273">
                  <c:v>0.22738716112204788</c:v>
                </c:pt>
                <c:pt idx="274">
                  <c:v>0.22738716112204788</c:v>
                </c:pt>
                <c:pt idx="275">
                  <c:v>0.22738716112204788</c:v>
                </c:pt>
                <c:pt idx="276">
                  <c:v>0.22738716112204788</c:v>
                </c:pt>
                <c:pt idx="277">
                  <c:v>0.22738716112204788</c:v>
                </c:pt>
                <c:pt idx="278">
                  <c:v>0.22738716112204788</c:v>
                </c:pt>
                <c:pt idx="279">
                  <c:v>0.22738716112204788</c:v>
                </c:pt>
                <c:pt idx="280">
                  <c:v>0.22738716112204788</c:v>
                </c:pt>
                <c:pt idx="281">
                  <c:v>0.22738716112204788</c:v>
                </c:pt>
                <c:pt idx="282">
                  <c:v>0.22738716112204788</c:v>
                </c:pt>
                <c:pt idx="283">
                  <c:v>0.22738716112204788</c:v>
                </c:pt>
                <c:pt idx="284">
                  <c:v>0.22738716112204788</c:v>
                </c:pt>
                <c:pt idx="285">
                  <c:v>0.22738716112204788</c:v>
                </c:pt>
                <c:pt idx="286">
                  <c:v>0.22738716112204788</c:v>
                </c:pt>
                <c:pt idx="287">
                  <c:v>0.22738716112204788</c:v>
                </c:pt>
                <c:pt idx="288">
                  <c:v>0.22738716112204788</c:v>
                </c:pt>
                <c:pt idx="289">
                  <c:v>0.22738716112204788</c:v>
                </c:pt>
                <c:pt idx="290">
                  <c:v>0.22738716112204788</c:v>
                </c:pt>
                <c:pt idx="291">
                  <c:v>0.22738716112204788</c:v>
                </c:pt>
                <c:pt idx="292">
                  <c:v>0.22738716112204788</c:v>
                </c:pt>
                <c:pt idx="293">
                  <c:v>0.22738716112204788</c:v>
                </c:pt>
                <c:pt idx="294">
                  <c:v>0.22738716112204788</c:v>
                </c:pt>
                <c:pt idx="295">
                  <c:v>0.22738716112204788</c:v>
                </c:pt>
                <c:pt idx="296">
                  <c:v>0.22738716112204788</c:v>
                </c:pt>
                <c:pt idx="297">
                  <c:v>0.22738716112204788</c:v>
                </c:pt>
                <c:pt idx="298">
                  <c:v>0.22738716112204788</c:v>
                </c:pt>
                <c:pt idx="299">
                  <c:v>0.22738716112204788</c:v>
                </c:pt>
                <c:pt idx="300">
                  <c:v>0.22738716112204788</c:v>
                </c:pt>
                <c:pt idx="301">
                  <c:v>0.22738716112204788</c:v>
                </c:pt>
                <c:pt idx="302">
                  <c:v>0.22738716112204788</c:v>
                </c:pt>
                <c:pt idx="303">
                  <c:v>0.22738716112204788</c:v>
                </c:pt>
                <c:pt idx="304">
                  <c:v>0.22738716112204788</c:v>
                </c:pt>
                <c:pt idx="305">
                  <c:v>0.22738716112204788</c:v>
                </c:pt>
                <c:pt idx="306">
                  <c:v>0.22738716112204788</c:v>
                </c:pt>
                <c:pt idx="307">
                  <c:v>0.22738716112204788</c:v>
                </c:pt>
                <c:pt idx="308">
                  <c:v>0.22738716112204788</c:v>
                </c:pt>
                <c:pt idx="309">
                  <c:v>0.22738716112204788</c:v>
                </c:pt>
                <c:pt idx="310">
                  <c:v>0.22738716112204788</c:v>
                </c:pt>
                <c:pt idx="311">
                  <c:v>0.22738716112204788</c:v>
                </c:pt>
                <c:pt idx="312">
                  <c:v>0.22738716112204788</c:v>
                </c:pt>
                <c:pt idx="313">
                  <c:v>0.22738716112204788</c:v>
                </c:pt>
                <c:pt idx="314">
                  <c:v>0.22738716112204788</c:v>
                </c:pt>
                <c:pt idx="315">
                  <c:v>0.22738716112204788</c:v>
                </c:pt>
                <c:pt idx="316">
                  <c:v>0.22738716112204788</c:v>
                </c:pt>
                <c:pt idx="317">
                  <c:v>0.22738716112204788</c:v>
                </c:pt>
                <c:pt idx="318">
                  <c:v>0.22738716112204788</c:v>
                </c:pt>
                <c:pt idx="319">
                  <c:v>0.22738716112204788</c:v>
                </c:pt>
                <c:pt idx="320">
                  <c:v>0.22738716112204788</c:v>
                </c:pt>
                <c:pt idx="321">
                  <c:v>0.22738716112204788</c:v>
                </c:pt>
                <c:pt idx="322">
                  <c:v>0.22738716112204788</c:v>
                </c:pt>
                <c:pt idx="323">
                  <c:v>0.22738716112204788</c:v>
                </c:pt>
                <c:pt idx="324">
                  <c:v>0.22738716112204788</c:v>
                </c:pt>
                <c:pt idx="325">
                  <c:v>0.22738716112204788</c:v>
                </c:pt>
                <c:pt idx="326">
                  <c:v>0.22738716112204788</c:v>
                </c:pt>
                <c:pt idx="327">
                  <c:v>0.22738716112204788</c:v>
                </c:pt>
                <c:pt idx="328">
                  <c:v>0.22738716112204788</c:v>
                </c:pt>
                <c:pt idx="329">
                  <c:v>0.22738716112204788</c:v>
                </c:pt>
                <c:pt idx="330">
                  <c:v>0.22738716112204788</c:v>
                </c:pt>
                <c:pt idx="331">
                  <c:v>0.22738716112204788</c:v>
                </c:pt>
                <c:pt idx="332">
                  <c:v>0.22738716112204788</c:v>
                </c:pt>
                <c:pt idx="333">
                  <c:v>0.22738716112204788</c:v>
                </c:pt>
                <c:pt idx="334">
                  <c:v>0.22738716112204788</c:v>
                </c:pt>
                <c:pt idx="335">
                  <c:v>0.22738716112204788</c:v>
                </c:pt>
                <c:pt idx="336">
                  <c:v>0.22738716112204788</c:v>
                </c:pt>
                <c:pt idx="337">
                  <c:v>0.22738716112204788</c:v>
                </c:pt>
                <c:pt idx="338">
                  <c:v>0.22738716112204788</c:v>
                </c:pt>
                <c:pt idx="339">
                  <c:v>0.22738716112204788</c:v>
                </c:pt>
                <c:pt idx="340">
                  <c:v>0.22738716112204788</c:v>
                </c:pt>
                <c:pt idx="341">
                  <c:v>0.22738716112204788</c:v>
                </c:pt>
                <c:pt idx="342">
                  <c:v>0.22738716112204788</c:v>
                </c:pt>
                <c:pt idx="343">
                  <c:v>0.22738716112204788</c:v>
                </c:pt>
                <c:pt idx="344">
                  <c:v>0.22738716112204788</c:v>
                </c:pt>
                <c:pt idx="345">
                  <c:v>0.22738716112204788</c:v>
                </c:pt>
                <c:pt idx="346">
                  <c:v>0.22738716112204788</c:v>
                </c:pt>
                <c:pt idx="347">
                  <c:v>0.22738716112204788</c:v>
                </c:pt>
                <c:pt idx="348">
                  <c:v>0.22738716112204788</c:v>
                </c:pt>
                <c:pt idx="349">
                  <c:v>0.22738716112204788</c:v>
                </c:pt>
                <c:pt idx="350">
                  <c:v>0.22738716112204788</c:v>
                </c:pt>
                <c:pt idx="351">
                  <c:v>0.22738716112204788</c:v>
                </c:pt>
                <c:pt idx="352">
                  <c:v>0.22738716112204788</c:v>
                </c:pt>
                <c:pt idx="353">
                  <c:v>0.22738716112204788</c:v>
                </c:pt>
                <c:pt idx="354">
                  <c:v>0.22738716112204788</c:v>
                </c:pt>
                <c:pt idx="355">
                  <c:v>0.22738716112204788</c:v>
                </c:pt>
                <c:pt idx="356">
                  <c:v>0.22738716112204788</c:v>
                </c:pt>
                <c:pt idx="357">
                  <c:v>0.22738716112204788</c:v>
                </c:pt>
                <c:pt idx="358">
                  <c:v>0.22738716112204788</c:v>
                </c:pt>
                <c:pt idx="359">
                  <c:v>0.22738716112204788</c:v>
                </c:pt>
                <c:pt idx="360">
                  <c:v>0.22738716112204788</c:v>
                </c:pt>
                <c:pt idx="361">
                  <c:v>0.22738716112204788</c:v>
                </c:pt>
                <c:pt idx="362">
                  <c:v>0.22738716112204788</c:v>
                </c:pt>
                <c:pt idx="363">
                  <c:v>0.22738716112204788</c:v>
                </c:pt>
                <c:pt idx="364">
                  <c:v>0.22738716112204788</c:v>
                </c:pt>
                <c:pt idx="365">
                  <c:v>0.22738716112204788</c:v>
                </c:pt>
                <c:pt idx="366">
                  <c:v>0.22738716112204788</c:v>
                </c:pt>
                <c:pt idx="367">
                  <c:v>0.22738716112204788</c:v>
                </c:pt>
                <c:pt idx="368">
                  <c:v>0.22738716112204788</c:v>
                </c:pt>
                <c:pt idx="369">
                  <c:v>0.22738716112204788</c:v>
                </c:pt>
                <c:pt idx="370">
                  <c:v>0.22738716112204788</c:v>
                </c:pt>
                <c:pt idx="371">
                  <c:v>0.22738716112204788</c:v>
                </c:pt>
                <c:pt idx="372">
                  <c:v>0.22738716112204788</c:v>
                </c:pt>
                <c:pt idx="373">
                  <c:v>0.22738716112204788</c:v>
                </c:pt>
                <c:pt idx="374">
                  <c:v>0.22738716112204788</c:v>
                </c:pt>
                <c:pt idx="375">
                  <c:v>0.22738716112204788</c:v>
                </c:pt>
                <c:pt idx="376">
                  <c:v>0.22738716112204788</c:v>
                </c:pt>
                <c:pt idx="377">
                  <c:v>0.22738716112204788</c:v>
                </c:pt>
                <c:pt idx="378">
                  <c:v>0.22738716112204788</c:v>
                </c:pt>
                <c:pt idx="379">
                  <c:v>0.22738716112204788</c:v>
                </c:pt>
                <c:pt idx="380">
                  <c:v>0.22738716112204788</c:v>
                </c:pt>
                <c:pt idx="381">
                  <c:v>0.22738716112204788</c:v>
                </c:pt>
                <c:pt idx="382">
                  <c:v>0.22738716112204788</c:v>
                </c:pt>
                <c:pt idx="383">
                  <c:v>0.22738716112204788</c:v>
                </c:pt>
                <c:pt idx="384">
                  <c:v>0.22738716112204788</c:v>
                </c:pt>
                <c:pt idx="385">
                  <c:v>0.22738716112204788</c:v>
                </c:pt>
                <c:pt idx="386">
                  <c:v>0.22738716112204788</c:v>
                </c:pt>
                <c:pt idx="387">
                  <c:v>0.22738716112204788</c:v>
                </c:pt>
                <c:pt idx="388">
                  <c:v>0.22738716112204788</c:v>
                </c:pt>
                <c:pt idx="389">
                  <c:v>0.22738716112204788</c:v>
                </c:pt>
                <c:pt idx="390">
                  <c:v>0.22738716112204788</c:v>
                </c:pt>
                <c:pt idx="391">
                  <c:v>0.22738716112204788</c:v>
                </c:pt>
                <c:pt idx="392">
                  <c:v>0.22738716112204788</c:v>
                </c:pt>
                <c:pt idx="393">
                  <c:v>0.22738716112204788</c:v>
                </c:pt>
                <c:pt idx="394">
                  <c:v>0.22738716112204788</c:v>
                </c:pt>
                <c:pt idx="395">
                  <c:v>0.22738716112204788</c:v>
                </c:pt>
                <c:pt idx="396">
                  <c:v>0.22738716112204788</c:v>
                </c:pt>
                <c:pt idx="397">
                  <c:v>0.22738716112204788</c:v>
                </c:pt>
                <c:pt idx="398">
                  <c:v>0.22738716112204788</c:v>
                </c:pt>
                <c:pt idx="399">
                  <c:v>0.22738716112204788</c:v>
                </c:pt>
                <c:pt idx="400">
                  <c:v>0.22738716112204788</c:v>
                </c:pt>
                <c:pt idx="401">
                  <c:v>0.22738716112204788</c:v>
                </c:pt>
                <c:pt idx="402">
                  <c:v>0.22738716112204788</c:v>
                </c:pt>
                <c:pt idx="403">
                  <c:v>0.22738716112204788</c:v>
                </c:pt>
                <c:pt idx="404">
                  <c:v>0.22738716112204788</c:v>
                </c:pt>
                <c:pt idx="405">
                  <c:v>0.22738716112204788</c:v>
                </c:pt>
                <c:pt idx="406">
                  <c:v>0.22738716112204788</c:v>
                </c:pt>
                <c:pt idx="407">
                  <c:v>0.22738716112204788</c:v>
                </c:pt>
                <c:pt idx="408">
                  <c:v>0.22738716112204788</c:v>
                </c:pt>
                <c:pt idx="409">
                  <c:v>0.22738716112204788</c:v>
                </c:pt>
                <c:pt idx="410">
                  <c:v>0.22738716112204788</c:v>
                </c:pt>
                <c:pt idx="411">
                  <c:v>0.22738716112204788</c:v>
                </c:pt>
                <c:pt idx="412">
                  <c:v>0.22738716112204788</c:v>
                </c:pt>
                <c:pt idx="413">
                  <c:v>0.22738716112204788</c:v>
                </c:pt>
                <c:pt idx="414">
                  <c:v>0.22738716112204788</c:v>
                </c:pt>
                <c:pt idx="415">
                  <c:v>0.22738716112204788</c:v>
                </c:pt>
                <c:pt idx="416">
                  <c:v>0.22738716112204788</c:v>
                </c:pt>
                <c:pt idx="417">
                  <c:v>0.22738716112204788</c:v>
                </c:pt>
                <c:pt idx="418">
                  <c:v>0.22738716112204788</c:v>
                </c:pt>
                <c:pt idx="419">
                  <c:v>0.22738716112204788</c:v>
                </c:pt>
                <c:pt idx="420">
                  <c:v>0.22738716112204788</c:v>
                </c:pt>
                <c:pt idx="421">
                  <c:v>0.22738716112204788</c:v>
                </c:pt>
                <c:pt idx="422">
                  <c:v>0.22738716112204788</c:v>
                </c:pt>
                <c:pt idx="423">
                  <c:v>0.22738716112204788</c:v>
                </c:pt>
                <c:pt idx="424">
                  <c:v>0.22738716112204788</c:v>
                </c:pt>
                <c:pt idx="425">
                  <c:v>0.22738716112204788</c:v>
                </c:pt>
                <c:pt idx="426">
                  <c:v>0.22738716112204788</c:v>
                </c:pt>
                <c:pt idx="427">
                  <c:v>0.22738716112204788</c:v>
                </c:pt>
                <c:pt idx="428">
                  <c:v>0.22738716112204788</c:v>
                </c:pt>
                <c:pt idx="429">
                  <c:v>0.22738716112204788</c:v>
                </c:pt>
                <c:pt idx="430">
                  <c:v>0.22738716112204788</c:v>
                </c:pt>
                <c:pt idx="431">
                  <c:v>0.22738716112204788</c:v>
                </c:pt>
                <c:pt idx="432">
                  <c:v>0.22738716112204788</c:v>
                </c:pt>
                <c:pt idx="433">
                  <c:v>0.22738716112204788</c:v>
                </c:pt>
                <c:pt idx="434">
                  <c:v>0.22738716112204788</c:v>
                </c:pt>
                <c:pt idx="435">
                  <c:v>0.22738716112204788</c:v>
                </c:pt>
                <c:pt idx="436">
                  <c:v>0.22738716112204788</c:v>
                </c:pt>
                <c:pt idx="437">
                  <c:v>0.22738716112204788</c:v>
                </c:pt>
                <c:pt idx="438">
                  <c:v>0.22738716112204788</c:v>
                </c:pt>
                <c:pt idx="439">
                  <c:v>0.22738716112204788</c:v>
                </c:pt>
                <c:pt idx="440">
                  <c:v>0.22738716112204788</c:v>
                </c:pt>
                <c:pt idx="441">
                  <c:v>0.22738716112204788</c:v>
                </c:pt>
                <c:pt idx="442">
                  <c:v>0.22738716112204788</c:v>
                </c:pt>
                <c:pt idx="443">
                  <c:v>0.22738716112204788</c:v>
                </c:pt>
                <c:pt idx="444">
                  <c:v>0.22738716112204788</c:v>
                </c:pt>
                <c:pt idx="445">
                  <c:v>0.22738716112204788</c:v>
                </c:pt>
                <c:pt idx="446">
                  <c:v>0.22738716112204788</c:v>
                </c:pt>
                <c:pt idx="447">
                  <c:v>0.22738716112204788</c:v>
                </c:pt>
                <c:pt idx="448">
                  <c:v>0.22738716112204788</c:v>
                </c:pt>
                <c:pt idx="449">
                  <c:v>0.22738716112204788</c:v>
                </c:pt>
                <c:pt idx="450">
                  <c:v>0.22738716112204788</c:v>
                </c:pt>
                <c:pt idx="451">
                  <c:v>0.22738716112204788</c:v>
                </c:pt>
                <c:pt idx="452">
                  <c:v>0.22738716112204788</c:v>
                </c:pt>
                <c:pt idx="453">
                  <c:v>0.22738716112204788</c:v>
                </c:pt>
                <c:pt idx="454">
                  <c:v>0.22738716112204788</c:v>
                </c:pt>
                <c:pt idx="455">
                  <c:v>0.22738716112204788</c:v>
                </c:pt>
                <c:pt idx="456">
                  <c:v>0.22738716112204788</c:v>
                </c:pt>
                <c:pt idx="457">
                  <c:v>0.22738716112204788</c:v>
                </c:pt>
                <c:pt idx="458">
                  <c:v>0.22738716112204788</c:v>
                </c:pt>
                <c:pt idx="459">
                  <c:v>0.22738716112204788</c:v>
                </c:pt>
                <c:pt idx="460">
                  <c:v>0.22738716112204788</c:v>
                </c:pt>
                <c:pt idx="461">
                  <c:v>0.22738716112204788</c:v>
                </c:pt>
                <c:pt idx="462">
                  <c:v>0.22738716112204788</c:v>
                </c:pt>
                <c:pt idx="463">
                  <c:v>0.22738716112204788</c:v>
                </c:pt>
                <c:pt idx="464">
                  <c:v>0.22738716112204788</c:v>
                </c:pt>
                <c:pt idx="465">
                  <c:v>0.22738716112204788</c:v>
                </c:pt>
                <c:pt idx="466">
                  <c:v>0.22738716112204788</c:v>
                </c:pt>
                <c:pt idx="467">
                  <c:v>0.22738716112204788</c:v>
                </c:pt>
                <c:pt idx="468">
                  <c:v>0.22738716112204788</c:v>
                </c:pt>
                <c:pt idx="469">
                  <c:v>0.22738716112204788</c:v>
                </c:pt>
                <c:pt idx="470">
                  <c:v>0.22738716112204788</c:v>
                </c:pt>
                <c:pt idx="471">
                  <c:v>0.22738716112204788</c:v>
                </c:pt>
                <c:pt idx="472">
                  <c:v>0.22738716112204788</c:v>
                </c:pt>
                <c:pt idx="473">
                  <c:v>0.22738716112204788</c:v>
                </c:pt>
                <c:pt idx="474">
                  <c:v>0.22738716112204788</c:v>
                </c:pt>
                <c:pt idx="475">
                  <c:v>0.22738716112204788</c:v>
                </c:pt>
                <c:pt idx="476">
                  <c:v>0.22738716112204788</c:v>
                </c:pt>
                <c:pt idx="477">
                  <c:v>0.22738716112204788</c:v>
                </c:pt>
                <c:pt idx="478">
                  <c:v>0.22738716112204788</c:v>
                </c:pt>
                <c:pt idx="479">
                  <c:v>0.22738716112204788</c:v>
                </c:pt>
                <c:pt idx="480">
                  <c:v>0.22738716112204788</c:v>
                </c:pt>
                <c:pt idx="481">
                  <c:v>0.22738716112204788</c:v>
                </c:pt>
                <c:pt idx="482">
                  <c:v>0.22738716112204788</c:v>
                </c:pt>
                <c:pt idx="483">
                  <c:v>0.22738716112204788</c:v>
                </c:pt>
                <c:pt idx="484">
                  <c:v>0.22738716112204788</c:v>
                </c:pt>
                <c:pt idx="485">
                  <c:v>0.22738716112204788</c:v>
                </c:pt>
                <c:pt idx="486">
                  <c:v>0.22738716112204788</c:v>
                </c:pt>
                <c:pt idx="487">
                  <c:v>0.22738716112204788</c:v>
                </c:pt>
                <c:pt idx="488">
                  <c:v>0.22738716112204788</c:v>
                </c:pt>
                <c:pt idx="489">
                  <c:v>0.22738716112204788</c:v>
                </c:pt>
                <c:pt idx="490">
                  <c:v>0.22738716112204788</c:v>
                </c:pt>
                <c:pt idx="491">
                  <c:v>0.22738716112204788</c:v>
                </c:pt>
                <c:pt idx="492">
                  <c:v>0.22738716112204788</c:v>
                </c:pt>
                <c:pt idx="493">
                  <c:v>0.22738716112204788</c:v>
                </c:pt>
                <c:pt idx="494">
                  <c:v>0.22738716112204788</c:v>
                </c:pt>
                <c:pt idx="495">
                  <c:v>0.22738716112204788</c:v>
                </c:pt>
                <c:pt idx="496">
                  <c:v>0.22738716112204788</c:v>
                </c:pt>
                <c:pt idx="497">
                  <c:v>0.22738716112204788</c:v>
                </c:pt>
                <c:pt idx="498">
                  <c:v>0.22738716112204788</c:v>
                </c:pt>
                <c:pt idx="499">
                  <c:v>0.22738716112204788</c:v>
                </c:pt>
                <c:pt idx="500">
                  <c:v>0.22738716112204788</c:v>
                </c:pt>
                <c:pt idx="501">
                  <c:v>0.22738716112204788</c:v>
                </c:pt>
                <c:pt idx="502">
                  <c:v>0.22738716112204788</c:v>
                </c:pt>
                <c:pt idx="503">
                  <c:v>0.22738716112204788</c:v>
                </c:pt>
                <c:pt idx="504">
                  <c:v>0.22738716112204788</c:v>
                </c:pt>
                <c:pt idx="505">
                  <c:v>0.22738716112204788</c:v>
                </c:pt>
                <c:pt idx="506">
                  <c:v>0.22738716112204788</c:v>
                </c:pt>
                <c:pt idx="507">
                  <c:v>0.22738716112204788</c:v>
                </c:pt>
                <c:pt idx="508">
                  <c:v>0.22738716112204788</c:v>
                </c:pt>
                <c:pt idx="509">
                  <c:v>0.22738716112204788</c:v>
                </c:pt>
                <c:pt idx="510">
                  <c:v>0.22738716112204788</c:v>
                </c:pt>
                <c:pt idx="511">
                  <c:v>0.22738716112204788</c:v>
                </c:pt>
                <c:pt idx="512">
                  <c:v>0.22738716112204788</c:v>
                </c:pt>
                <c:pt idx="513">
                  <c:v>0.22738716112204788</c:v>
                </c:pt>
                <c:pt idx="514">
                  <c:v>0.22738716112204788</c:v>
                </c:pt>
                <c:pt idx="515">
                  <c:v>0.22738716112204788</c:v>
                </c:pt>
                <c:pt idx="516">
                  <c:v>0.22738716112204788</c:v>
                </c:pt>
                <c:pt idx="517">
                  <c:v>0.22738716112204788</c:v>
                </c:pt>
                <c:pt idx="518">
                  <c:v>0.22738716112204788</c:v>
                </c:pt>
                <c:pt idx="519">
                  <c:v>0.22738716112204788</c:v>
                </c:pt>
                <c:pt idx="520">
                  <c:v>0.22738716112204788</c:v>
                </c:pt>
                <c:pt idx="521">
                  <c:v>0.22738716112204788</c:v>
                </c:pt>
                <c:pt idx="522">
                  <c:v>0.22738716112204788</c:v>
                </c:pt>
                <c:pt idx="523">
                  <c:v>0.22738716112204788</c:v>
                </c:pt>
                <c:pt idx="524">
                  <c:v>0.22738716112204788</c:v>
                </c:pt>
                <c:pt idx="525">
                  <c:v>0.22738716112204788</c:v>
                </c:pt>
                <c:pt idx="526">
                  <c:v>0.22738716112204788</c:v>
                </c:pt>
                <c:pt idx="527">
                  <c:v>0.22738716112204788</c:v>
                </c:pt>
                <c:pt idx="528">
                  <c:v>0.22738716112204788</c:v>
                </c:pt>
                <c:pt idx="529">
                  <c:v>0.22738716112204788</c:v>
                </c:pt>
                <c:pt idx="530">
                  <c:v>0.22738716112204788</c:v>
                </c:pt>
                <c:pt idx="531">
                  <c:v>0.22738716112204788</c:v>
                </c:pt>
                <c:pt idx="532">
                  <c:v>0.22738716112204788</c:v>
                </c:pt>
                <c:pt idx="533">
                  <c:v>0.22738716112204788</c:v>
                </c:pt>
                <c:pt idx="534">
                  <c:v>0.22738716112204788</c:v>
                </c:pt>
                <c:pt idx="535">
                  <c:v>0.22738716112204788</c:v>
                </c:pt>
                <c:pt idx="536">
                  <c:v>0.22738716112204788</c:v>
                </c:pt>
                <c:pt idx="537">
                  <c:v>0.22738716112204788</c:v>
                </c:pt>
                <c:pt idx="538">
                  <c:v>0.22738716112204788</c:v>
                </c:pt>
                <c:pt idx="539">
                  <c:v>0.22738716112204788</c:v>
                </c:pt>
                <c:pt idx="540">
                  <c:v>0.22738716112204788</c:v>
                </c:pt>
                <c:pt idx="541">
                  <c:v>0.22738716112204788</c:v>
                </c:pt>
                <c:pt idx="542">
                  <c:v>0.22738716112204788</c:v>
                </c:pt>
                <c:pt idx="543">
                  <c:v>0.22738716112204788</c:v>
                </c:pt>
                <c:pt idx="544">
                  <c:v>0.22738716112204788</c:v>
                </c:pt>
                <c:pt idx="545">
                  <c:v>0.22738716112204788</c:v>
                </c:pt>
                <c:pt idx="546">
                  <c:v>0.22738716112204788</c:v>
                </c:pt>
                <c:pt idx="547">
                  <c:v>0.22738716112204788</c:v>
                </c:pt>
                <c:pt idx="548">
                  <c:v>0.22738716112204788</c:v>
                </c:pt>
                <c:pt idx="549">
                  <c:v>0.22738716112204788</c:v>
                </c:pt>
                <c:pt idx="550">
                  <c:v>0.22738716112204788</c:v>
                </c:pt>
                <c:pt idx="551">
                  <c:v>0.22738716112204788</c:v>
                </c:pt>
                <c:pt idx="552">
                  <c:v>0.22738716112204788</c:v>
                </c:pt>
                <c:pt idx="553">
                  <c:v>0.22738716112204788</c:v>
                </c:pt>
                <c:pt idx="554">
                  <c:v>0.22738716112204788</c:v>
                </c:pt>
                <c:pt idx="555">
                  <c:v>0.22738716112204788</c:v>
                </c:pt>
                <c:pt idx="556">
                  <c:v>0.22738716112204788</c:v>
                </c:pt>
                <c:pt idx="557">
                  <c:v>0.22738716112204788</c:v>
                </c:pt>
                <c:pt idx="558">
                  <c:v>0.22738716112204788</c:v>
                </c:pt>
                <c:pt idx="559">
                  <c:v>0.22738716112204788</c:v>
                </c:pt>
                <c:pt idx="560">
                  <c:v>0.22738716112204788</c:v>
                </c:pt>
                <c:pt idx="561">
                  <c:v>0.22738716112204788</c:v>
                </c:pt>
                <c:pt idx="562">
                  <c:v>0.22738716112204788</c:v>
                </c:pt>
                <c:pt idx="563">
                  <c:v>0.22738716112204788</c:v>
                </c:pt>
                <c:pt idx="564">
                  <c:v>0.22738716112204788</c:v>
                </c:pt>
                <c:pt idx="565">
                  <c:v>0.22738716112204788</c:v>
                </c:pt>
                <c:pt idx="566">
                  <c:v>0.22738716112204788</c:v>
                </c:pt>
                <c:pt idx="567">
                  <c:v>0.22738716112204788</c:v>
                </c:pt>
                <c:pt idx="568">
                  <c:v>0.22738716112204788</c:v>
                </c:pt>
                <c:pt idx="569">
                  <c:v>0.22738716112204788</c:v>
                </c:pt>
                <c:pt idx="570">
                  <c:v>0.22738716112204788</c:v>
                </c:pt>
                <c:pt idx="571">
                  <c:v>0.22738716112204788</c:v>
                </c:pt>
                <c:pt idx="572">
                  <c:v>0.22738716112204788</c:v>
                </c:pt>
                <c:pt idx="573">
                  <c:v>0.22738716112204788</c:v>
                </c:pt>
                <c:pt idx="574">
                  <c:v>0.22738716112204788</c:v>
                </c:pt>
                <c:pt idx="575">
                  <c:v>0.22738716112204788</c:v>
                </c:pt>
                <c:pt idx="576">
                  <c:v>0.22738716112204788</c:v>
                </c:pt>
                <c:pt idx="577">
                  <c:v>0.22738716112204788</c:v>
                </c:pt>
                <c:pt idx="578">
                  <c:v>0.22738716112204788</c:v>
                </c:pt>
                <c:pt idx="579">
                  <c:v>0.22738716112204788</c:v>
                </c:pt>
                <c:pt idx="580">
                  <c:v>0.22738716112204788</c:v>
                </c:pt>
                <c:pt idx="581">
                  <c:v>0.22738716112204788</c:v>
                </c:pt>
                <c:pt idx="582">
                  <c:v>0.22738716112204788</c:v>
                </c:pt>
                <c:pt idx="583">
                  <c:v>0.22738716112204788</c:v>
                </c:pt>
                <c:pt idx="584">
                  <c:v>0.22738716112204788</c:v>
                </c:pt>
                <c:pt idx="585">
                  <c:v>0.22738716112204788</c:v>
                </c:pt>
                <c:pt idx="586">
                  <c:v>0.22738716112204788</c:v>
                </c:pt>
                <c:pt idx="587">
                  <c:v>0.22738716112204788</c:v>
                </c:pt>
                <c:pt idx="588">
                  <c:v>0.22738716112204788</c:v>
                </c:pt>
                <c:pt idx="589">
                  <c:v>0.22738716112204788</c:v>
                </c:pt>
                <c:pt idx="590">
                  <c:v>0.22738716112204788</c:v>
                </c:pt>
                <c:pt idx="591">
                  <c:v>0.22738716112204788</c:v>
                </c:pt>
                <c:pt idx="592">
                  <c:v>0.22738716112204788</c:v>
                </c:pt>
                <c:pt idx="593">
                  <c:v>0.22738716112204788</c:v>
                </c:pt>
                <c:pt idx="594">
                  <c:v>0.22738716112204788</c:v>
                </c:pt>
                <c:pt idx="595">
                  <c:v>0.22738716112204788</c:v>
                </c:pt>
                <c:pt idx="596">
                  <c:v>0.22738716112204788</c:v>
                </c:pt>
                <c:pt idx="597">
                  <c:v>0.22738716112204788</c:v>
                </c:pt>
                <c:pt idx="598">
                  <c:v>0.22738716112204788</c:v>
                </c:pt>
                <c:pt idx="599">
                  <c:v>0.22738716112204788</c:v>
                </c:pt>
                <c:pt idx="600">
                  <c:v>0.22738716112204788</c:v>
                </c:pt>
                <c:pt idx="601">
                  <c:v>0.22738716112204788</c:v>
                </c:pt>
                <c:pt idx="602">
                  <c:v>0.22738716112204788</c:v>
                </c:pt>
                <c:pt idx="603">
                  <c:v>0.22738716112204788</c:v>
                </c:pt>
                <c:pt idx="604">
                  <c:v>0.22738716112204788</c:v>
                </c:pt>
                <c:pt idx="605">
                  <c:v>0.22738716112204788</c:v>
                </c:pt>
                <c:pt idx="606">
                  <c:v>0.22738716112204788</c:v>
                </c:pt>
                <c:pt idx="607">
                  <c:v>0.22738716112204788</c:v>
                </c:pt>
                <c:pt idx="608">
                  <c:v>0.22738716112204788</c:v>
                </c:pt>
                <c:pt idx="609">
                  <c:v>0.22738716112204788</c:v>
                </c:pt>
                <c:pt idx="610">
                  <c:v>0.22738716112204788</c:v>
                </c:pt>
                <c:pt idx="611">
                  <c:v>0.22738716112204788</c:v>
                </c:pt>
                <c:pt idx="612">
                  <c:v>0.22738716112204788</c:v>
                </c:pt>
                <c:pt idx="613">
                  <c:v>0.22738716112204788</c:v>
                </c:pt>
                <c:pt idx="614">
                  <c:v>0.22738716112204788</c:v>
                </c:pt>
                <c:pt idx="615">
                  <c:v>0.22738716112204788</c:v>
                </c:pt>
                <c:pt idx="616">
                  <c:v>0.22738716112204788</c:v>
                </c:pt>
                <c:pt idx="617">
                  <c:v>0.22738716112204788</c:v>
                </c:pt>
                <c:pt idx="618">
                  <c:v>0.22738716112204788</c:v>
                </c:pt>
                <c:pt idx="619">
                  <c:v>0.22738716112204788</c:v>
                </c:pt>
                <c:pt idx="620">
                  <c:v>0.22738716112204788</c:v>
                </c:pt>
                <c:pt idx="621">
                  <c:v>0.22738716112204788</c:v>
                </c:pt>
                <c:pt idx="622">
                  <c:v>0.22738716112204788</c:v>
                </c:pt>
                <c:pt idx="623">
                  <c:v>0.22738716112204788</c:v>
                </c:pt>
                <c:pt idx="624">
                  <c:v>0.22738716112204788</c:v>
                </c:pt>
                <c:pt idx="625">
                  <c:v>0.22738716112204788</c:v>
                </c:pt>
                <c:pt idx="626">
                  <c:v>0.22738716112204788</c:v>
                </c:pt>
                <c:pt idx="627">
                  <c:v>0.22738716112204788</c:v>
                </c:pt>
                <c:pt idx="628">
                  <c:v>0.22738716112204788</c:v>
                </c:pt>
                <c:pt idx="629">
                  <c:v>0.22738716112204788</c:v>
                </c:pt>
                <c:pt idx="630">
                  <c:v>0.22738716112204788</c:v>
                </c:pt>
                <c:pt idx="631">
                  <c:v>0.22738716112204788</c:v>
                </c:pt>
                <c:pt idx="632">
                  <c:v>0.22738716112204788</c:v>
                </c:pt>
                <c:pt idx="633">
                  <c:v>0.22738716112204788</c:v>
                </c:pt>
                <c:pt idx="634">
                  <c:v>0.22738716112204788</c:v>
                </c:pt>
                <c:pt idx="635">
                  <c:v>0.22738716112204788</c:v>
                </c:pt>
                <c:pt idx="636">
                  <c:v>0.22738716112204788</c:v>
                </c:pt>
                <c:pt idx="637">
                  <c:v>0.22738716112204788</c:v>
                </c:pt>
                <c:pt idx="638">
                  <c:v>0.22738716112204788</c:v>
                </c:pt>
                <c:pt idx="639">
                  <c:v>0.22738716112204788</c:v>
                </c:pt>
                <c:pt idx="640">
                  <c:v>0.22738716112204788</c:v>
                </c:pt>
                <c:pt idx="641">
                  <c:v>0.22738716112204788</c:v>
                </c:pt>
                <c:pt idx="642">
                  <c:v>0.22738716112204788</c:v>
                </c:pt>
                <c:pt idx="643">
                  <c:v>0.22738716112204788</c:v>
                </c:pt>
                <c:pt idx="644">
                  <c:v>0.22738716112204788</c:v>
                </c:pt>
                <c:pt idx="645">
                  <c:v>0.22738716112204788</c:v>
                </c:pt>
                <c:pt idx="646">
                  <c:v>0.22738716112204788</c:v>
                </c:pt>
                <c:pt idx="647">
                  <c:v>0.22738716112204788</c:v>
                </c:pt>
                <c:pt idx="648">
                  <c:v>0.22738716112204788</c:v>
                </c:pt>
                <c:pt idx="649">
                  <c:v>0.22738716112204788</c:v>
                </c:pt>
                <c:pt idx="650">
                  <c:v>0.22738716112204788</c:v>
                </c:pt>
                <c:pt idx="651">
                  <c:v>0.22738716112204788</c:v>
                </c:pt>
                <c:pt idx="652">
                  <c:v>0.22738716112204788</c:v>
                </c:pt>
                <c:pt idx="653">
                  <c:v>0.22738716112204788</c:v>
                </c:pt>
                <c:pt idx="654">
                  <c:v>0.22738716112204788</c:v>
                </c:pt>
                <c:pt idx="655">
                  <c:v>0.22738716112204788</c:v>
                </c:pt>
                <c:pt idx="656">
                  <c:v>0.22738716112204788</c:v>
                </c:pt>
                <c:pt idx="657">
                  <c:v>0.22738716112204788</c:v>
                </c:pt>
                <c:pt idx="658">
                  <c:v>0.22738716112204788</c:v>
                </c:pt>
                <c:pt idx="659">
                  <c:v>0.22738716112204788</c:v>
                </c:pt>
                <c:pt idx="660">
                  <c:v>0.22738716112204788</c:v>
                </c:pt>
                <c:pt idx="661">
                  <c:v>0.22738716112204788</c:v>
                </c:pt>
                <c:pt idx="662">
                  <c:v>0.22738716112204788</c:v>
                </c:pt>
                <c:pt idx="663">
                  <c:v>0.22738716112204788</c:v>
                </c:pt>
                <c:pt idx="664">
                  <c:v>0.22738716112204788</c:v>
                </c:pt>
                <c:pt idx="665">
                  <c:v>0.22738716112204788</c:v>
                </c:pt>
                <c:pt idx="666">
                  <c:v>0.22738716112204788</c:v>
                </c:pt>
                <c:pt idx="667">
                  <c:v>0.22738716112204788</c:v>
                </c:pt>
                <c:pt idx="668">
                  <c:v>0.22738716112204788</c:v>
                </c:pt>
                <c:pt idx="669">
                  <c:v>0.22738716112204788</c:v>
                </c:pt>
                <c:pt idx="670">
                  <c:v>0.22738716112204788</c:v>
                </c:pt>
                <c:pt idx="671">
                  <c:v>0.22738716112204788</c:v>
                </c:pt>
                <c:pt idx="672">
                  <c:v>0.22738716112204788</c:v>
                </c:pt>
                <c:pt idx="673">
                  <c:v>0.22738716112204788</c:v>
                </c:pt>
                <c:pt idx="674">
                  <c:v>0.22738716112204788</c:v>
                </c:pt>
                <c:pt idx="675">
                  <c:v>0.22738716112204788</c:v>
                </c:pt>
                <c:pt idx="676">
                  <c:v>0.22738716112204788</c:v>
                </c:pt>
                <c:pt idx="677">
                  <c:v>0.22738716112204788</c:v>
                </c:pt>
                <c:pt idx="678">
                  <c:v>0.22738716112204788</c:v>
                </c:pt>
                <c:pt idx="679">
                  <c:v>0.22738716112204788</c:v>
                </c:pt>
                <c:pt idx="680">
                  <c:v>0.22738716112204788</c:v>
                </c:pt>
                <c:pt idx="681">
                  <c:v>0.22738716112204788</c:v>
                </c:pt>
                <c:pt idx="682">
                  <c:v>0.22738716112204788</c:v>
                </c:pt>
                <c:pt idx="683">
                  <c:v>0.22738716112204788</c:v>
                </c:pt>
                <c:pt idx="684">
                  <c:v>0.22738716112204788</c:v>
                </c:pt>
                <c:pt idx="685">
                  <c:v>0.22738716112204788</c:v>
                </c:pt>
                <c:pt idx="686">
                  <c:v>0.22738716112204788</c:v>
                </c:pt>
                <c:pt idx="687">
                  <c:v>0.22738716112204788</c:v>
                </c:pt>
                <c:pt idx="688">
                  <c:v>0.22738716112204788</c:v>
                </c:pt>
                <c:pt idx="689">
                  <c:v>0.22738716112204788</c:v>
                </c:pt>
                <c:pt idx="690">
                  <c:v>0.22738716112204788</c:v>
                </c:pt>
                <c:pt idx="691">
                  <c:v>0.22738716112204788</c:v>
                </c:pt>
                <c:pt idx="692">
                  <c:v>0.22738716112204788</c:v>
                </c:pt>
                <c:pt idx="693">
                  <c:v>0.22738716112204788</c:v>
                </c:pt>
                <c:pt idx="694">
                  <c:v>0.22738716112204788</c:v>
                </c:pt>
                <c:pt idx="695">
                  <c:v>0.22738716112204788</c:v>
                </c:pt>
                <c:pt idx="696">
                  <c:v>0.22738716112204788</c:v>
                </c:pt>
                <c:pt idx="697">
                  <c:v>0.22738716112204788</c:v>
                </c:pt>
                <c:pt idx="698">
                  <c:v>0.22738716112204788</c:v>
                </c:pt>
                <c:pt idx="699">
                  <c:v>0.22738716112204788</c:v>
                </c:pt>
                <c:pt idx="700">
                  <c:v>0.22738716112204788</c:v>
                </c:pt>
                <c:pt idx="701">
                  <c:v>0.22738716112204788</c:v>
                </c:pt>
                <c:pt idx="702">
                  <c:v>0.22738716112204788</c:v>
                </c:pt>
                <c:pt idx="703">
                  <c:v>0.22738716112204788</c:v>
                </c:pt>
                <c:pt idx="704">
                  <c:v>0.22738716112204788</c:v>
                </c:pt>
                <c:pt idx="705">
                  <c:v>0.22738716112204788</c:v>
                </c:pt>
                <c:pt idx="706">
                  <c:v>0.22738716112204788</c:v>
                </c:pt>
                <c:pt idx="707">
                  <c:v>0.22738716112204788</c:v>
                </c:pt>
                <c:pt idx="708">
                  <c:v>0.22738716112204788</c:v>
                </c:pt>
                <c:pt idx="709">
                  <c:v>0.22738716112204788</c:v>
                </c:pt>
                <c:pt idx="710">
                  <c:v>0.22738716112204788</c:v>
                </c:pt>
                <c:pt idx="711">
                  <c:v>0.22738716112204788</c:v>
                </c:pt>
                <c:pt idx="712">
                  <c:v>0.22738716112204788</c:v>
                </c:pt>
                <c:pt idx="713">
                  <c:v>0.22738716112204788</c:v>
                </c:pt>
                <c:pt idx="714">
                  <c:v>0.22738716112204788</c:v>
                </c:pt>
                <c:pt idx="715">
                  <c:v>0.22738716112204788</c:v>
                </c:pt>
                <c:pt idx="716">
                  <c:v>0.22738716112204788</c:v>
                </c:pt>
                <c:pt idx="717">
                  <c:v>0.22738716112204788</c:v>
                </c:pt>
                <c:pt idx="718">
                  <c:v>0.22738716112204788</c:v>
                </c:pt>
                <c:pt idx="719">
                  <c:v>0.22738716112204788</c:v>
                </c:pt>
                <c:pt idx="720">
                  <c:v>0.22738716112204788</c:v>
                </c:pt>
                <c:pt idx="721">
                  <c:v>0.22738716112204788</c:v>
                </c:pt>
                <c:pt idx="722">
                  <c:v>0.22738716112204788</c:v>
                </c:pt>
                <c:pt idx="723">
                  <c:v>0.22738716112204788</c:v>
                </c:pt>
                <c:pt idx="724">
                  <c:v>0.22738716112204788</c:v>
                </c:pt>
                <c:pt idx="725">
                  <c:v>0.22738716112204788</c:v>
                </c:pt>
                <c:pt idx="726">
                  <c:v>0.22738716112204788</c:v>
                </c:pt>
                <c:pt idx="727">
                  <c:v>0.22738716112204788</c:v>
                </c:pt>
                <c:pt idx="728">
                  <c:v>0.22738716112204788</c:v>
                </c:pt>
                <c:pt idx="729">
                  <c:v>0.22738716112204788</c:v>
                </c:pt>
                <c:pt idx="730">
                  <c:v>0.22738716112204788</c:v>
                </c:pt>
                <c:pt idx="731">
                  <c:v>0.22738716112204788</c:v>
                </c:pt>
                <c:pt idx="732">
                  <c:v>0.22738716112204788</c:v>
                </c:pt>
                <c:pt idx="733">
                  <c:v>0.22738716112204788</c:v>
                </c:pt>
                <c:pt idx="734">
                  <c:v>0.22738716112204788</c:v>
                </c:pt>
                <c:pt idx="735">
                  <c:v>0.22738716112204788</c:v>
                </c:pt>
                <c:pt idx="736">
                  <c:v>0.22738716112204788</c:v>
                </c:pt>
                <c:pt idx="737">
                  <c:v>0.22738716112204788</c:v>
                </c:pt>
                <c:pt idx="738">
                  <c:v>0.22738716112204788</c:v>
                </c:pt>
                <c:pt idx="739">
                  <c:v>0.22738716112204788</c:v>
                </c:pt>
                <c:pt idx="740">
                  <c:v>0.22738716112204788</c:v>
                </c:pt>
                <c:pt idx="741">
                  <c:v>0.22738716112204788</c:v>
                </c:pt>
                <c:pt idx="742">
                  <c:v>0.22738716112204788</c:v>
                </c:pt>
                <c:pt idx="743">
                  <c:v>0.22738716112204788</c:v>
                </c:pt>
                <c:pt idx="744">
                  <c:v>0.22738716112204788</c:v>
                </c:pt>
                <c:pt idx="745">
                  <c:v>0.22738716112204788</c:v>
                </c:pt>
                <c:pt idx="746">
                  <c:v>0.22738716112204788</c:v>
                </c:pt>
                <c:pt idx="747">
                  <c:v>0.22738716112204788</c:v>
                </c:pt>
                <c:pt idx="748">
                  <c:v>0.22738716112204788</c:v>
                </c:pt>
                <c:pt idx="749">
                  <c:v>0.22738716112204788</c:v>
                </c:pt>
                <c:pt idx="750">
                  <c:v>0.22738716112204788</c:v>
                </c:pt>
                <c:pt idx="751">
                  <c:v>0.22738716112204788</c:v>
                </c:pt>
                <c:pt idx="752">
                  <c:v>0.22738716112204788</c:v>
                </c:pt>
                <c:pt idx="753">
                  <c:v>0.22738716112204788</c:v>
                </c:pt>
                <c:pt idx="754">
                  <c:v>0.22738716112204788</c:v>
                </c:pt>
                <c:pt idx="755">
                  <c:v>0.22738716112204788</c:v>
                </c:pt>
                <c:pt idx="756">
                  <c:v>0.22738716112204788</c:v>
                </c:pt>
                <c:pt idx="757">
                  <c:v>0.22738716112204788</c:v>
                </c:pt>
                <c:pt idx="758">
                  <c:v>0.22738716112204788</c:v>
                </c:pt>
                <c:pt idx="759">
                  <c:v>0.22738716112204788</c:v>
                </c:pt>
                <c:pt idx="760">
                  <c:v>0.22738716112204788</c:v>
                </c:pt>
                <c:pt idx="761">
                  <c:v>0.22738716112204788</c:v>
                </c:pt>
                <c:pt idx="762">
                  <c:v>0.22738716112204788</c:v>
                </c:pt>
                <c:pt idx="763">
                  <c:v>0.22738716112204788</c:v>
                </c:pt>
                <c:pt idx="764">
                  <c:v>0.22738716112204788</c:v>
                </c:pt>
                <c:pt idx="765">
                  <c:v>0.22738716112204788</c:v>
                </c:pt>
                <c:pt idx="766">
                  <c:v>0.22738716112204788</c:v>
                </c:pt>
                <c:pt idx="767">
                  <c:v>0.22738716112204788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72-4439-989C-BA61BC83AAF3}"/>
            </c:ext>
          </c:extLst>
        </c:ser>
        <c:ser>
          <c:idx val="6"/>
          <c:order val="6"/>
          <c:tx>
            <c:v>W/T_turn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Constraints!$O$22:$O$789</c:f>
              <c:numCache>
                <c:formatCode>General</c:formatCode>
                <c:ptCount val="768"/>
                <c:pt idx="0">
                  <c:v>2.4618439485158041E-3</c:v>
                </c:pt>
                <c:pt idx="1">
                  <c:v>2.3450546891918144E-3</c:v>
                </c:pt>
                <c:pt idx="2">
                  <c:v>2.2389031884820056E-3</c:v>
                </c:pt>
                <c:pt idx="3">
                  <c:v>2.1420019126540935E-3</c:v>
                </c:pt>
                <c:pt idx="4">
                  <c:v>2.0531945835978406E-3</c:v>
                </c:pt>
                <c:pt idx="5">
                  <c:v>1.9715099277006478E-3</c:v>
                </c:pt>
                <c:pt idx="6">
                  <c:v>1.896126098059547E-3</c:v>
                </c:pt>
                <c:pt idx="7">
                  <c:v>1.8263430028683057E-3</c:v>
                </c:pt>
                <c:pt idx="8">
                  <c:v>1.7615605634358677E-3</c:v>
                </c:pt>
                <c:pt idx="9">
                  <c:v>1.7012614705458043E-3</c:v>
                </c:pt>
                <c:pt idx="10">
                  <c:v>1.6449973895438785E-3</c:v>
                </c:pt>
                <c:pt idx="11">
                  <c:v>1.5923778354086575E-3</c:v>
                </c:pt>
                <c:pt idx="12">
                  <c:v>1.543061133746388E-3</c:v>
                </c:pt>
                <c:pt idx="13">
                  <c:v>1.4967470252413471E-3</c:v>
                </c:pt>
                <c:pt idx="14">
                  <c:v>1.4531705752031908E-3</c:v>
                </c:pt>
                <c:pt idx="15">
                  <c:v>1.4120971271919006E-3</c:v>
                </c:pt>
                <c:pt idx="16">
                  <c:v>1.3733180977052377E-3</c:v>
                </c:pt>
                <c:pt idx="17">
                  <c:v>1.336647452808773E-3</c:v>
                </c:pt>
                <c:pt idx="18">
                  <c:v>1.3019187410874904E-3</c:v>
                </c:pt>
                <c:pt idx="19">
                  <c:v>1.2689825830663765E-3</c:v>
                </c:pt>
                <c:pt idx="20">
                  <c:v>1.237704537217918E-3</c:v>
                </c:pt>
                <c:pt idx="21">
                  <c:v>1.2079632782611893E-3</c:v>
                </c:pt>
                <c:pt idx="22">
                  <c:v>1.1796490357039243E-3</c:v>
                </c:pt>
                <c:pt idx="23">
                  <c:v>1.1526622502624386E-3</c:v>
                </c:pt>
                <c:pt idx="24">
                  <c:v>1.1269124134970206E-3</c:v>
                </c:pt>
                <c:pt idx="25">
                  <c:v>1.1023170621625989E-3</c:v>
                </c:pt>
                <c:pt idx="26">
                  <c:v>1.0788009037310652E-3</c:v>
                </c:pt>
                <c:pt idx="27">
                  <c:v>1.0562950535490435E-3</c:v>
                </c:pt>
                <c:pt idx="28">
                  <c:v>1.0347363673509397E-3</c:v>
                </c:pt>
                <c:pt idx="29">
                  <c:v>1.0140668555050846E-3</c:v>
                </c:pt>
                <c:pt idx="30">
                  <c:v>9.9423316755034401E-4</c:v>
                </c:pt>
                <c:pt idx="31">
                  <c:v>9.7518613737547575E-4</c:v>
                </c:pt>
                <c:pt idx="32">
                  <c:v>9.5688038087779449E-4</c:v>
                </c:pt>
                <c:pt idx="33">
                  <c:v>9.3927393916991276E-4</c:v>
                </c:pt>
                <c:pt idx="34">
                  <c:v>9.2232796143017464E-4</c:v>
                </c:pt>
                <c:pt idx="35">
                  <c:v>9.0600642235122712E-4</c:v>
                </c:pt>
                <c:pt idx="36">
                  <c:v>8.9027586986195628E-4</c:v>
                </c:pt>
                <c:pt idx="37">
                  <c:v>8.7510519940501056E-4</c:v>
                </c:pt>
                <c:pt idx="38">
                  <c:v>8.6046545156492535E-4</c:v>
                </c:pt>
                <c:pt idx="39">
                  <c:v>8.4632963027643602E-4</c:v>
                </c:pt>
                <c:pt idx="40">
                  <c:v>8.326725392119634E-4</c:v>
                </c:pt>
                <c:pt idx="41">
                  <c:v>8.1947063426212891E-4</c:v>
                </c:pt>
                <c:pt idx="42">
                  <c:v>8.0670189029235367E-4</c:v>
                </c:pt>
                <c:pt idx="43">
                  <c:v>7.9434568058930151E-4</c:v>
                </c:pt>
                <c:pt idx="44">
                  <c:v>7.8238266760921973E-4</c:v>
                </c:pt>
                <c:pt idx="45">
                  <c:v>7.7079470381104817E-4</c:v>
                </c:pt>
                <c:pt idx="46">
                  <c:v>7.5956474150469999E-4</c:v>
                </c:pt>
                <c:pt idx="47">
                  <c:v>7.4867675077263101E-4</c:v>
                </c:pt>
                <c:pt idx="48">
                  <c:v>7.3811564463362265E-4</c:v>
                </c:pt>
                <c:pt idx="49">
                  <c:v>7.2786721071406392E-4</c:v>
                </c:pt>
                <c:pt idx="50">
                  <c:v>7.1791804877597838E-4</c:v>
                </c:pt>
                <c:pt idx="51">
                  <c:v>7.0825551352437415E-4</c:v>
                </c:pt>
                <c:pt idx="52">
                  <c:v>6.9886766218064781E-4</c:v>
                </c:pt>
                <c:pt idx="53">
                  <c:v>6.8974320636502353E-4</c:v>
                </c:pt>
                <c:pt idx="54">
                  <c:v>6.8087146788041615E-4</c:v>
                </c:pt>
                <c:pt idx="55">
                  <c:v>6.7224233803358493E-4</c:v>
                </c:pt>
                <c:pt idx="56">
                  <c:v>6.638462401677758E-4</c:v>
                </c:pt>
                <c:pt idx="57">
                  <c:v>6.5567409511489661E-4</c:v>
                </c:pt>
                <c:pt idx="58">
                  <c:v>6.4771728930521956E-4</c:v>
                </c:pt>
                <c:pt idx="59">
                  <c:v>6.399676452991292E-4</c:v>
                </c:pt>
                <c:pt idx="60">
                  <c:v>6.3241739452899121E-4</c:v>
                </c:pt>
                <c:pt idx="61">
                  <c:v>6.2505915206014049E-4</c:v>
                </c:pt>
                <c:pt idx="62">
                  <c:v>6.1788589319862767E-4</c:v>
                </c:pt>
                <c:pt idx="63">
                  <c:v>6.1089093178997059E-4</c:v>
                </c:pt>
                <c:pt idx="64">
                  <c:v>6.0406790006799574E-4</c:v>
                </c:pt>
                <c:pt idx="65">
                  <c:v>5.9741072992611449E-4</c:v>
                </c:pt>
                <c:pt idx="66">
                  <c:v>5.9091363549525384E-4</c:v>
                </c:pt>
                <c:pt idx="67">
                  <c:v>5.8457109692330942E-4</c:v>
                </c:pt>
                <c:pt idx="68">
                  <c:v>5.7837784526054551E-4</c:v>
                </c:pt>
                <c:pt idx="69">
                  <c:v>5.7232884836395633E-4</c:v>
                </c:pt>
                <c:pt idx="70">
                  <c:v>5.6641929774133557E-4</c:v>
                </c:pt>
                <c:pt idx="71">
                  <c:v>5.6064459626277256E-4</c:v>
                </c:pt>
                <c:pt idx="72">
                  <c:v>5.5500034667356945E-4</c:v>
                </c:pt>
                <c:pt idx="73">
                  <c:v>5.4948234084826336E-4</c:v>
                </c:pt>
                <c:pt idx="74">
                  <c:v>5.4408654973055952E-4</c:v>
                </c:pt>
                <c:pt idx="75">
                  <c:v>5.3880911390863893E-4</c:v>
                </c:pt>
                <c:pt idx="76">
                  <c:v>5.336463347795084E-4</c:v>
                </c:pt>
                <c:pt idx="77">
                  <c:v>5.2859466625988555E-4</c:v>
                </c:pt>
                <c:pt idx="78">
                  <c:v>5.2365070700458179E-4</c:v>
                </c:pt>
                <c:pt idx="79">
                  <c:v>5.1881119309649614E-4</c:v>
                </c:pt>
                <c:pt idx="80">
                  <c:v>5.1407299117521219E-4</c:v>
                </c:pt>
                <c:pt idx="81">
                  <c:v>5.0943309197379533E-4</c:v>
                </c:pt>
                <c:pt idx="82">
                  <c:v>5.048886042357787E-4</c:v>
                </c:pt>
                <c:pt idx="83">
                  <c:v>5.0043674898650047E-4</c:v>
                </c:pt>
                <c:pt idx="84">
                  <c:v>4.9607485413493899E-4</c:v>
                </c:pt>
                <c:pt idx="85">
                  <c:v>4.9180034938401675E-4</c:v>
                </c:pt>
                <c:pt idx="86">
                  <c:v>4.8761076142899887E-4</c:v>
                </c:pt>
                <c:pt idx="87">
                  <c:v>4.8350370942514014E-4</c:v>
                </c:pt>
                <c:pt idx="88">
                  <c:v>4.7947690070713068E-4</c:v>
                </c:pt>
                <c:pt idx="89">
                  <c:v>4.7552812674416721E-4</c:v>
                </c:pt>
                <c:pt idx="90">
                  <c:v>4.7165525931565767E-4</c:v>
                </c:pt>
                <c:pt idx="91">
                  <c:v>4.6785624689364382E-4</c:v>
                </c:pt>
                <c:pt idx="92">
                  <c:v>4.6412911121902311E-4</c:v>
                </c:pt>
                <c:pt idx="93">
                  <c:v>4.6047194405956371E-4</c:v>
                </c:pt>
                <c:pt idx="94">
                  <c:v>4.5688290413855106E-4</c:v>
                </c:pt>
                <c:pt idx="95">
                  <c:v>4.5336021422367773E-4</c:v>
                </c:pt>
                <c:pt idx="96">
                  <c:v>4.4990215836650921E-4</c:v>
                </c:pt>
                <c:pt idx="97">
                  <c:v>4.4650707928351455E-4</c:v>
                </c:pt>
                <c:pt idx="98">
                  <c:v>4.4317337587026546E-4</c:v>
                </c:pt>
                <c:pt idx="99">
                  <c:v>4.3989950084097015E-4</c:v>
                </c:pt>
                <c:pt idx="100">
                  <c:v>4.366839584860298E-4</c:v>
                </c:pt>
                <c:pt idx="101">
                  <c:v>4.3352530254079101E-4</c:v>
                </c:pt>
                <c:pt idx="102">
                  <c:v>4.3042213415911342E-4</c:v>
                </c:pt>
                <c:pt idx="103">
                  <c:v>4.2737309998578836E-4</c:v>
                </c:pt>
                <c:pt idx="104">
                  <c:v>4.2437689032222661E-4</c:v>
                </c:pt>
                <c:pt idx="105">
                  <c:v>4.214322373801938E-4</c:v>
                </c:pt>
                <c:pt idx="106">
                  <c:v>4.1853791361870133E-4</c:v>
                </c:pt>
                <c:pt idx="107">
                  <c:v>4.1569273015946848E-4</c:v>
                </c:pt>
                <c:pt idx="108">
                  <c:v>4.1289553527666119E-4</c:v>
                </c:pt>
                <c:pt idx="109">
                  <c:v>4.1014521295687419E-4</c:v>
                </c:pt>
                <c:pt idx="110">
                  <c:v>4.0744068152557628E-4</c:v>
                </c:pt>
                <c:pt idx="111">
                  <c:v>4.0478089233646604E-4</c:v>
                </c:pt>
                <c:pt idx="112">
                  <c:v>4.0216482852040299E-4</c:v>
                </c:pt>
                <c:pt idx="113">
                  <c:v>3.9959150379077698E-4</c:v>
                </c:pt>
                <c:pt idx="114">
                  <c:v>3.9705996130236926E-4</c:v>
                </c:pt>
                <c:pt idx="115">
                  <c:v>3.9456927256093053E-4</c:v>
                </c:pt>
                <c:pt idx="116">
                  <c:v>3.9211853638086594E-4</c:v>
                </c:pt>
                <c:pt idx="117">
                  <c:v>3.8970687788856872E-4</c:v>
                </c:pt>
                <c:pt idx="118">
                  <c:v>3.8733344756908738E-4</c:v>
                </c:pt>
                <c:pt idx="119">
                  <c:v>3.8499742035394391E-4</c:v>
                </c:pt>
                <c:pt idx="120">
                  <c:v>3.8269799474804537E-4</c:v>
                </c:pt>
                <c:pt idx="121">
                  <c:v>3.804343919937483E-4</c:v>
                </c:pt>
                <c:pt idx="122">
                  <c:v>3.7820585527024406E-4</c:v>
                </c:pt>
                <c:pt idx="123">
                  <c:v>3.7601164892653717E-4</c:v>
                </c:pt>
                <c:pt idx="124">
                  <c:v>3.738510577463817E-4</c:v>
                </c:pt>
                <c:pt idx="125">
                  <c:v>3.7172338624363535E-4</c:v>
                </c:pt>
                <c:pt idx="126">
                  <c:v>3.6962795798657036E-4</c:v>
                </c:pt>
                <c:pt idx="127">
                  <c:v>3.6756411494976484E-4</c:v>
                </c:pt>
                <c:pt idx="128">
                  <c:v>3.6553121689226749E-4</c:v>
                </c:pt>
                <c:pt idx="129">
                  <c:v>3.6352864076080369E-4</c:v>
                </c:pt>
                <c:pt idx="130">
                  <c:v>3.6155578011685274E-4</c:v>
                </c:pt>
                <c:pt idx="131">
                  <c:v>3.5961204458649052E-4</c:v>
                </c:pt>
                <c:pt idx="132">
                  <c:v>3.5769685933194893E-4</c:v>
                </c:pt>
                <c:pt idx="133">
                  <c:v>3.55809664543898E-4</c:v>
                </c:pt>
                <c:pt idx="134">
                  <c:v>3.539499149535102E-4</c:v>
                </c:pt>
                <c:pt idx="135">
                  <c:v>3.5211707936341112E-4</c:v>
                </c:pt>
                <c:pt idx="136">
                  <c:v>3.5031064019667237E-4</c:v>
                </c:pt>
                <c:pt idx="137">
                  <c:v>3.4853009306303861E-4</c:v>
                </c:pt>
                <c:pt idx="138">
                  <c:v>3.4677494634162805E-4</c:v>
                </c:pt>
                <c:pt idx="139">
                  <c:v>3.4504472077937989E-4</c:v>
                </c:pt>
                <c:pt idx="140">
                  <c:v>3.4333894910455981E-4</c:v>
                </c:pt>
                <c:pt idx="141">
                  <c:v>3.4165717565466918E-4</c:v>
                </c:pt>
                <c:pt idx="142">
                  <c:v>3.3999895601813525E-4</c:v>
                </c:pt>
                <c:pt idx="143">
                  <c:v>3.3836385668919067E-4</c:v>
                </c:pt>
                <c:pt idx="144">
                  <c:v>3.3675145473537966E-4</c:v>
                </c:pt>
                <c:pt idx="145">
                  <c:v>3.3516133747715413E-4</c:v>
                </c:pt>
                <c:pt idx="146">
                  <c:v>3.3359310217905192E-4</c:v>
                </c:pt>
                <c:pt idx="147">
                  <c:v>3.320463557519688E-4</c:v>
                </c:pt>
                <c:pt idx="148">
                  <c:v>3.3052071446606536E-4</c:v>
                </c:pt>
                <c:pt idx="149">
                  <c:v>3.2901580367386481E-4</c:v>
                </c:pt>
                <c:pt idx="150">
                  <c:v>3.2753125754312549E-4</c:v>
                </c:pt>
                <c:pt idx="151">
                  <c:v>3.2606671879908489E-4</c:v>
                </c:pt>
                <c:pt idx="152">
                  <c:v>3.2462183847569592E-4</c:v>
                </c:pt>
                <c:pt idx="153">
                  <c:v>3.2319627567549067E-4</c:v>
                </c:pt>
                <c:pt idx="154">
                  <c:v>3.2178969733772452E-4</c:v>
                </c:pt>
                <c:pt idx="155">
                  <c:v>3.2040177801447007E-4</c:v>
                </c:pt>
                <c:pt idx="156">
                  <c:v>3.1903219965434342E-4</c:v>
                </c:pt>
                <c:pt idx="157">
                  <c:v>3.1768065139356293E-4</c:v>
                </c:pt>
                <c:pt idx="158">
                  <c:v>3.1634682935404958E-4</c:v>
                </c:pt>
                <c:pt idx="159">
                  <c:v>3.1503043644829623E-4</c:v>
                </c:pt>
                <c:pt idx="160">
                  <c:v>3.1373118219074007E-4</c:v>
                </c:pt>
                <c:pt idx="161">
                  <c:v>3.1244878251538897E-4</c:v>
                </c:pt>
                <c:pt idx="162">
                  <c:v>3.1118295959945932E-4</c:v>
                </c:pt>
                <c:pt idx="163">
                  <c:v>3.0993344169279668E-4</c:v>
                </c:pt>
                <c:pt idx="164">
                  <c:v>3.0869996295285863E-4</c:v>
                </c:pt>
                <c:pt idx="165">
                  <c:v>3.0748226328504967E-4</c:v>
                </c:pt>
                <c:pt idx="166">
                  <c:v>3.0628008818820639E-4</c:v>
                </c:pt>
                <c:pt idx="167">
                  <c:v>3.0509318860504059E-4</c:v>
                </c:pt>
                <c:pt idx="168">
                  <c:v>3.0392132077735522E-4</c:v>
                </c:pt>
                <c:pt idx="169">
                  <c:v>3.0276424610585706E-4</c:v>
                </c:pt>
                <c:pt idx="170">
                  <c:v>3.0162173101439574E-4</c:v>
                </c:pt>
                <c:pt idx="171">
                  <c:v>3.0049354681846804E-4</c:v>
                </c:pt>
                <c:pt idx="172">
                  <c:v>2.9937946959783128E-4</c:v>
                </c:pt>
                <c:pt idx="173">
                  <c:v>2.9827928007307669E-4</c:v>
                </c:pt>
                <c:pt idx="174">
                  <c:v>2.9719276348602066E-4</c:v>
                </c:pt>
                <c:pt idx="175">
                  <c:v>2.9611970948377551E-4</c:v>
                </c:pt>
                <c:pt idx="176">
                  <c:v>2.9505991200636954E-4</c:v>
                </c:pt>
                <c:pt idx="177">
                  <c:v>2.9401316917779003E-4</c:v>
                </c:pt>
                <c:pt idx="178">
                  <c:v>2.9297928320032757E-4</c:v>
                </c:pt>
                <c:pt idx="179">
                  <c:v>2.9195806025210581E-4</c:v>
                </c:pt>
                <c:pt idx="180">
                  <c:v>2.909493103876864E-4</c:v>
                </c:pt>
                <c:pt idx="181">
                  <c:v>2.8995284744163927E-4</c:v>
                </c:pt>
                <c:pt idx="182">
                  <c:v>2.8896848893497878E-4</c:v>
                </c:pt>
                <c:pt idx="183">
                  <c:v>2.8799605598436417E-4</c:v>
                </c:pt>
                <c:pt idx="184">
                  <c:v>2.8703537321397128E-4</c:v>
                </c:pt>
                <c:pt idx="185">
                  <c:v>2.8608626866994324E-4</c:v>
                </c:pt>
                <c:pt idx="186">
                  <c:v>2.8514857373733291E-4</c:v>
                </c:pt>
                <c:pt idx="187">
                  <c:v>2.8422212305945319E-4</c:v>
                </c:pt>
                <c:pt idx="188">
                  <c:v>2.8330675445955298E-4</c:v>
                </c:pt>
                <c:pt idx="189">
                  <c:v>2.8240230886474282E-4</c:v>
                </c:pt>
                <c:pt idx="190">
                  <c:v>2.8150863023209273E-4</c:v>
                </c:pt>
                <c:pt idx="191">
                  <c:v>2.8062556547683263E-4</c:v>
                </c:pt>
                <c:pt idx="192">
                  <c:v>2.7975296440258457E-4</c:v>
                </c:pt>
                <c:pt idx="193">
                  <c:v>2.788906796335594E-4</c:v>
                </c:pt>
                <c:pt idx="194">
                  <c:v>2.7803856654865601E-4</c:v>
                </c:pt>
                <c:pt idx="195">
                  <c:v>2.7719648321739818E-4</c:v>
                </c:pt>
                <c:pt idx="196">
                  <c:v>2.7636429033765206E-4</c:v>
                </c:pt>
                <c:pt idx="197">
                  <c:v>2.7554185117506486E-4</c:v>
                </c:pt>
                <c:pt idx="198">
                  <c:v>2.747290315041711E-4</c:v>
                </c:pt>
                <c:pt idx="199">
                  <c:v>2.7392569955111203E-4</c:v>
                </c:pt>
                <c:pt idx="200">
                  <c:v>2.7313172593791717E-4</c:v>
                </c:pt>
                <c:pt idx="201">
                  <c:v>2.7234698362829868E-4</c:v>
                </c:pt>
                <c:pt idx="202">
                  <c:v>2.7157134787491103E-4</c:v>
                </c:pt>
                <c:pt idx="203">
                  <c:v>2.7080469616802913E-4</c:v>
                </c:pt>
                <c:pt idx="204">
                  <c:v>2.7004690818560145E-4</c:v>
                </c:pt>
                <c:pt idx="205">
                  <c:v>2.6929786574463543E-4</c:v>
                </c:pt>
                <c:pt idx="206">
                  <c:v>2.6855745275387258E-4</c:v>
                </c:pt>
                <c:pt idx="207">
                  <c:v>2.6782555516771558E-4</c:v>
                </c:pt>
                <c:pt idx="208">
                  <c:v>2.671020609413671E-4</c:v>
                </c:pt>
                <c:pt idx="209">
                  <c:v>2.663868599871438E-4</c:v>
                </c:pt>
                <c:pt idx="210">
                  <c:v>2.6567984413193124E-4</c:v>
                </c:pt>
                <c:pt idx="211">
                  <c:v>2.649809070757421E-4</c:v>
                </c:pt>
                <c:pt idx="212">
                  <c:v>2.6428994435134779E-4</c:v>
                </c:pt>
                <c:pt idx="213">
                  <c:v>2.6360685328494818E-4</c:v>
                </c:pt>
                <c:pt idx="214">
                  <c:v>2.6293153295785119E-4</c:v>
                </c:pt>
                <c:pt idx="215">
                  <c:v>2.6226388416912945E-4</c:v>
                </c:pt>
                <c:pt idx="216">
                  <c:v>2.616038093992275E-4</c:v>
                </c:pt>
                <c:pt idx="217">
                  <c:v>2.6095121277448921E-4</c:v>
                </c:pt>
                <c:pt idx="218">
                  <c:v>2.6030600003258063E-4</c:v>
                </c:pt>
                <c:pt idx="219">
                  <c:v>2.596680784887801E-4</c:v>
                </c:pt>
                <c:pt idx="220">
                  <c:v>2.5903735700311126E-4</c:v>
                </c:pt>
                <c:pt idx="221">
                  <c:v>2.5841374594829443E-4</c:v>
                </c:pt>
                <c:pt idx="222">
                  <c:v>2.5779715717849265E-4</c:v>
                </c:pt>
                <c:pt idx="223">
                  <c:v>2.5718750399882914E-4</c:v>
                </c:pt>
                <c:pt idx="224">
                  <c:v>2.5658470113565466E-4</c:v>
                </c:pt>
                <c:pt idx="225">
                  <c:v>2.5598866470754288E-4</c:v>
                </c:pt>
                <c:pt idx="226">
                  <c:v>2.5539931219699293E-4</c:v>
                </c:pt>
                <c:pt idx="227">
                  <c:v>2.5481656242281995E-4</c:v>
                </c:pt>
                <c:pt idx="228">
                  <c:v>2.5424033551321289E-4</c:v>
                </c:pt>
                <c:pt idx="229">
                  <c:v>2.5367055287944199E-4</c:v>
                </c:pt>
                <c:pt idx="230">
                  <c:v>2.5310713719019727E-4</c:v>
                </c:pt>
                <c:pt idx="231">
                  <c:v>2.5255001234654023E-4</c:v>
                </c:pt>
                <c:pt idx="232">
                  <c:v>2.5199910345745179E-4</c:v>
                </c:pt>
                <c:pt idx="233">
                  <c:v>2.5145433681596094E-4</c:v>
                </c:pt>
                <c:pt idx="234">
                  <c:v>2.5091563987583623E-4</c:v>
                </c:pt>
                <c:pt idx="235">
                  <c:v>2.5038294122882616E-4</c:v>
                </c:pt>
                <c:pt idx="236">
                  <c:v>2.4985617058243339E-4</c:v>
                </c:pt>
                <c:pt idx="237">
                  <c:v>2.4933525873820707E-4</c:v>
                </c:pt>
                <c:pt idx="238">
                  <c:v>2.4882013757054065E-4</c:v>
                </c:pt>
                <c:pt idx="239">
                  <c:v>2.4831074000596055E-4</c:v>
                </c:pt>
                <c:pt idx="240">
                  <c:v>2.4780700000289255E-4</c:v>
                </c:pt>
                <c:pt idx="241">
                  <c:v>2.47308852531894E-4</c:v>
                </c:pt>
                <c:pt idx="242">
                  <c:v>2.4681623355633824E-4</c:v>
                </c:pt>
                <c:pt idx="243">
                  <c:v>2.4632908001353951E-4</c:v>
                </c:pt>
                <c:pt idx="244">
                  <c:v>2.458473297963075E-4</c:v>
                </c:pt>
                <c:pt idx="245">
                  <c:v>2.4537092173491871E-4</c:v>
                </c:pt>
                <c:pt idx="246">
                  <c:v>2.4489979557949527E-4</c:v>
                </c:pt>
                <c:pt idx="247">
                  <c:v>2.4443389198277915E-4</c:v>
                </c:pt>
                <c:pt idx="248">
                  <c:v>2.4397315248329219E-4</c:v>
                </c:pt>
                <c:pt idx="249">
                  <c:v>2.4351751948887209E-4</c:v>
                </c:pt>
                <c:pt idx="250">
                  <c:v>2.4306693626057366E-4</c:v>
                </c:pt>
                <c:pt idx="251">
                  <c:v>2.4262134689692687E-4</c:v>
                </c:pt>
                <c:pt idx="252">
                  <c:v>2.4218069631854215E-4</c:v>
                </c:pt>
                <c:pt idx="253">
                  <c:v>2.4174493025305409E-4</c:v>
                </c:pt>
                <c:pt idx="254">
                  <c:v>2.4131399522039437E-4</c:v>
                </c:pt>
                <c:pt idx="255">
                  <c:v>2.4088783851838671E-4</c:v>
                </c:pt>
                <c:pt idx="256">
                  <c:v>2.4046640820865449E-4</c:v>
                </c:pt>
                <c:pt idx="257">
                  <c:v>2.4004965310283374E-4</c:v>
                </c:pt>
                <c:pt idx="258">
                  <c:v>2.3963752274908356E-4</c:v>
                </c:pt>
                <c:pt idx="259">
                  <c:v>2.392299674188872E-4</c:v>
                </c:pt>
                <c:pt idx="260">
                  <c:v>2.3882693809413512E-4</c:v>
                </c:pt>
                <c:pt idx="261">
                  <c:v>2.3842838645448446E-4</c:v>
                </c:pt>
                <c:pt idx="262">
                  <c:v>2.3803426486498734E-4</c:v>
                </c:pt>
                <c:pt idx="263">
                  <c:v>2.3764452636398139E-4</c:v>
                </c:pt>
                <c:pt idx="264">
                  <c:v>2.3725912465123606E-4</c:v>
                </c:pt>
                <c:pt idx="265">
                  <c:v>2.3687801407634856E-4</c:v>
                </c:pt>
                <c:pt idx="266">
                  <c:v>2.3650114962738342E-4</c:v>
                </c:pt>
                <c:pt idx="267">
                  <c:v>2.3612848691974899E-4</c:v>
                </c:pt>
                <c:pt idx="268">
                  <c:v>2.3575998218530647E-4</c:v>
                </c:pt>
                <c:pt idx="269">
                  <c:v>2.3539559226170442E-4</c:v>
                </c:pt>
                <c:pt idx="270">
                  <c:v>2.3503527458193407E-4</c:v>
                </c:pt>
                <c:pt idx="271">
                  <c:v>2.3467898716410032E-4</c:v>
                </c:pt>
                <c:pt idx="272">
                  <c:v>2.3432668860140239E-4</c:v>
                </c:pt>
                <c:pt idx="273">
                  <c:v>2.3397833805232019E-4</c:v>
                </c:pt>
                <c:pt idx="274">
                  <c:v>2.3363389523100046E-4</c:v>
                </c:pt>
                <c:pt idx="275">
                  <c:v>2.3329332039783883E-4</c:v>
                </c:pt>
                <c:pt idx="276">
                  <c:v>2.3295657435025259E-4</c:v>
                </c:pt>
                <c:pt idx="277">
                  <c:v>2.3262361841364001E-4</c:v>
                </c:pt>
                <c:pt idx="278">
                  <c:v>2.3229441443252147E-4</c:v>
                </c:pt>
                <c:pt idx="279">
                  <c:v>2.319689247618586E-4</c:v>
                </c:pt>
                <c:pt idx="280">
                  <c:v>2.316471122585468E-4</c:v>
                </c:pt>
                <c:pt idx="281">
                  <c:v>2.313289402730776E-4</c:v>
                </c:pt>
                <c:pt idx="282">
                  <c:v>2.310143726413665E-4</c:v>
                </c:pt>
                <c:pt idx="283">
                  <c:v>2.3070337367674259E-4</c:v>
                </c:pt>
                <c:pt idx="284">
                  <c:v>2.3039590816209649E-4</c:v>
                </c:pt>
                <c:pt idx="285">
                  <c:v>2.3009194134218251E-4</c:v>
                </c:pt>
                <c:pt idx="286">
                  <c:v>2.2979143891607186E-4</c:v>
                </c:pt>
                <c:pt idx="287">
                  <c:v>2.294943670297535E-4</c:v>
                </c:pt>
                <c:pt idx="288">
                  <c:v>2.2920069226887871E-4</c:v>
                </c:pt>
                <c:pt idx="289">
                  <c:v>2.2891038165164716E-4</c:v>
                </c:pt>
                <c:pt idx="290">
                  <c:v>2.2862340262183004E-4</c:v>
                </c:pt>
                <c:pt idx="291">
                  <c:v>2.283397230419281E-4</c:v>
                </c:pt>
                <c:pt idx="292">
                  <c:v>2.2805931118646147E-4</c:v>
                </c:pt>
                <c:pt idx="293">
                  <c:v>2.2778213573538755E-4</c:v>
                </c:pt>
                <c:pt idx="294">
                  <c:v>2.2750816576764534E-4</c:v>
                </c:pt>
                <c:pt idx="295">
                  <c:v>2.2723737075482214E-4</c:v>
                </c:pt>
                <c:pt idx="296">
                  <c:v>2.2696972055494087E-4</c:v>
                </c:pt>
                <c:pt idx="297">
                  <c:v>2.2670518540636485E-4</c:v>
                </c:pt>
                <c:pt idx="298">
                  <c:v>2.2644373592181757E-4</c:v>
                </c:pt>
                <c:pt idx="299">
                  <c:v>2.2618534308251517E-4</c:v>
                </c:pt>
                <c:pt idx="300">
                  <c:v>2.2592997823240836E-4</c:v>
                </c:pt>
                <c:pt idx="301">
                  <c:v>2.2567761307253276E-4</c:v>
                </c:pt>
                <c:pt idx="302">
                  <c:v>2.2542821965546386E-4</c:v>
                </c:pt>
                <c:pt idx="303">
                  <c:v>2.2518177037987529E-4</c:v>
                </c:pt>
                <c:pt idx="304">
                  <c:v>2.2493823798519768E-4</c:v>
                </c:pt>
                <c:pt idx="305">
                  <c:v>2.2469759554637661E-4</c:v>
                </c:pt>
                <c:pt idx="306">
                  <c:v>2.2445981646872625E-4</c:v>
                </c:pt>
                <c:pt idx="307">
                  <c:v>2.2422487448287798E-4</c:v>
                </c:pt>
                <c:pt idx="308">
                  <c:v>2.2399274363982152E-4</c:v>
                </c:pt>
                <c:pt idx="309">
                  <c:v>2.2376339830603586E-4</c:v>
                </c:pt>
                <c:pt idx="310">
                  <c:v>2.2353681315870957E-4</c:v>
                </c:pt>
                <c:pt idx="311">
                  <c:v>2.2331296318104686E-4</c:v>
                </c:pt>
                <c:pt idx="312">
                  <c:v>2.2309182365765927E-4</c:v>
                </c:pt>
                <c:pt idx="313">
                  <c:v>2.228733701700397E-4</c:v>
                </c:pt>
                <c:pt idx="314">
                  <c:v>2.2265757859211849E-4</c:v>
                </c:pt>
                <c:pt idx="315">
                  <c:v>2.2244442508589834E-4</c:v>
                </c:pt>
                <c:pt idx="316">
                  <c:v>2.2223388609716755E-4</c:v>
                </c:pt>
                <c:pt idx="317">
                  <c:v>2.2202593835128978E-4</c:v>
                </c:pt>
                <c:pt idx="318">
                  <c:v>2.2182055884906808E-4</c:v>
                </c:pt>
                <c:pt idx="319">
                  <c:v>2.2161772486268253E-4</c:v>
                </c:pt>
                <c:pt idx="320">
                  <c:v>2.2141741393169923E-4</c:v>
                </c:pt>
                <c:pt idx="321">
                  <c:v>2.212196038591499E-4</c:v>
                </c:pt>
                <c:pt idx="322">
                  <c:v>2.2102427270767971E-4</c:v>
                </c:pt>
                <c:pt idx="323">
                  <c:v>2.2083139879576339E-4</c:v>
                </c:pt>
                <c:pt idx="324">
                  <c:v>2.2064096069398606E-4</c:v>
                </c:pt>
                <c:pt idx="325">
                  <c:v>2.2045293722139006E-4</c:v>
                </c:pt>
                <c:pt idx="326">
                  <c:v>2.2026730744188422E-4</c:v>
                </c:pt>
                <c:pt idx="327">
                  <c:v>2.2008405066071562E-4</c:v>
                </c:pt>
                <c:pt idx="328">
                  <c:v>2.19903146421002E-4</c:v>
                </c:pt>
                <c:pt idx="329">
                  <c:v>2.1972457450032397E-4</c:v>
                </c:pt>
                <c:pt idx="330">
                  <c:v>2.1954831490737553E-4</c:v>
                </c:pt>
                <c:pt idx="331">
                  <c:v>2.1937434787867182E-4</c:v>
                </c:pt>
                <c:pt idx="332">
                  <c:v>2.1920265387531305E-4</c:v>
                </c:pt>
                <c:pt idx="333">
                  <c:v>2.190332135798033E-4</c:v>
                </c:pt>
                <c:pt idx="334">
                  <c:v>2.1886600789292355E-4</c:v>
                </c:pt>
                <c:pt idx="335">
                  <c:v>2.1870101793065728E-4</c:v>
                </c:pt>
                <c:pt idx="336">
                  <c:v>2.1853822502116769E-4</c:v>
                </c:pt>
                <c:pt idx="337">
                  <c:v>2.1837761070182658E-4</c:v>
                </c:pt>
                <c:pt idx="338">
                  <c:v>2.1821915671629185E-4</c:v>
                </c:pt>
                <c:pt idx="339">
                  <c:v>2.1806284501163468E-4</c:v>
                </c:pt>
                <c:pt idx="340">
                  <c:v>2.1790865773551452E-4</c:v>
                </c:pt>
                <c:pt idx="341">
                  <c:v>2.1775657723340061E-4</c:v>
                </c:pt>
                <c:pt idx="342">
                  <c:v>2.176065860458398E-4</c:v>
                </c:pt>
                <c:pt idx="343">
                  <c:v>2.1745866690576967E-4</c:v>
                </c:pt>
                <c:pt idx="344">
                  <c:v>2.1731280273587581E-4</c:v>
                </c:pt>
                <c:pt idx="345">
                  <c:v>2.171689766459923E-4</c:v>
                </c:pt>
                <c:pt idx="346">
                  <c:v>2.1702717193054525E-4</c:v>
                </c:pt>
                <c:pt idx="347">
                  <c:v>2.1688737206603803E-4</c:v>
                </c:pt>
                <c:pt idx="348">
                  <c:v>2.1674956070857706E-4</c:v>
                </c:pt>
                <c:pt idx="349">
                  <c:v>2.1661372169143835E-4</c:v>
                </c:pt>
                <c:pt idx="350">
                  <c:v>2.1647983902267336E-4</c:v>
                </c:pt>
                <c:pt idx="351">
                  <c:v>2.1634789688275346E-4</c:v>
                </c:pt>
                <c:pt idx="352">
                  <c:v>2.1621787962225253E-4</c:v>
                </c:pt>
                <c:pt idx="353">
                  <c:v>2.1608977175956658E-4</c:v>
                </c:pt>
                <c:pt idx="354">
                  <c:v>2.1596355797867044E-4</c:v>
                </c:pt>
                <c:pt idx="355">
                  <c:v>2.1583922312690967E-4</c:v>
                </c:pt>
                <c:pt idx="356">
                  <c:v>2.1571675221282856E-4</c:v>
                </c:pt>
                <c:pt idx="357">
                  <c:v>2.1559613040403168E-4</c:v>
                </c:pt>
                <c:pt idx="358">
                  <c:v>2.1547734302508029E-4</c:v>
                </c:pt>
                <c:pt idx="359">
                  <c:v>2.1536037555542153E-4</c:v>
                </c:pt>
                <c:pt idx="360">
                  <c:v>2.152452136273504E-4</c:v>
                </c:pt>
                <c:pt idx="361">
                  <c:v>2.1513184302400409E-4</c:v>
                </c:pt>
                <c:pt idx="362">
                  <c:v>2.1502024967738736E-4</c:v>
                </c:pt>
                <c:pt idx="363">
                  <c:v>2.149104196664292E-4</c:v>
                </c:pt>
                <c:pt idx="364">
                  <c:v>2.1480233921506979E-4</c:v>
                </c:pt>
                <c:pt idx="365">
                  <c:v>2.1469599469037715E-4</c:v>
                </c:pt>
                <c:pt idx="366">
                  <c:v>2.1459137260069331E-4</c:v>
                </c:pt>
                <c:pt idx="367">
                  <c:v>2.1448845959380885E-4</c:v>
                </c:pt>
                <c:pt idx="368">
                  <c:v>2.143872424551661E-4</c:v>
                </c:pt>
                <c:pt idx="369">
                  <c:v>2.1428770810608962E-4</c:v>
                </c:pt>
                <c:pt idx="370">
                  <c:v>2.1418984360204433E-4</c:v>
                </c:pt>
                <c:pt idx="371">
                  <c:v>2.1409363613091996E-4</c:v>
                </c:pt>
                <c:pt idx="372">
                  <c:v>2.1399907301134213E-4</c:v>
                </c:pt>
                <c:pt idx="373">
                  <c:v>2.13906141691009E-4</c:v>
                </c:pt>
                <c:pt idx="374">
                  <c:v>2.1381482974505318E-4</c:v>
                </c:pt>
                <c:pt idx="375">
                  <c:v>2.1372512487442881E-4</c:v>
                </c:pt>
                <c:pt idx="376">
                  <c:v>2.1363701490432276E-4</c:v>
                </c:pt>
                <c:pt idx="377">
                  <c:v>2.1355048778259002E-4</c:v>
                </c:pt>
                <c:pt idx="378">
                  <c:v>2.1346553157821271E-4</c:v>
                </c:pt>
                <c:pt idx="379">
                  <c:v>2.1338213447978218E-4</c:v>
                </c:pt>
                <c:pt idx="380">
                  <c:v>2.1330028479400376E-4</c:v>
                </c:pt>
                <c:pt idx="381">
                  <c:v>2.1321997094422428E-4</c:v>
                </c:pt>
                <c:pt idx="382">
                  <c:v>2.1314118146898101E-4</c:v>
                </c:pt>
                <c:pt idx="383">
                  <c:v>2.1306390502057271E-4</c:v>
                </c:pt>
                <c:pt idx="384">
                  <c:v>2.1298813036365157E-4</c:v>
                </c:pt>
                <c:pt idx="385">
                  <c:v>2.1291384637383621E-4</c:v>
                </c:pt>
                <c:pt idx="386">
                  <c:v>2.1284104203634507E-4</c:v>
                </c:pt>
                <c:pt idx="387">
                  <c:v>2.1276970644464998E-4</c:v>
                </c:pt>
                <c:pt idx="388">
                  <c:v>2.1269982879914943E-4</c:v>
                </c:pt>
                <c:pt idx="389">
                  <c:v>2.126313984058616E-4</c:v>
                </c:pt>
                <c:pt idx="390">
                  <c:v>2.1256440467513619E-4</c:v>
                </c:pt>
                <c:pt idx="391">
                  <c:v>2.1249883712038512E-4</c:v>
                </c:pt>
                <c:pt idx="392">
                  <c:v>2.1243468535683187E-4</c:v>
                </c:pt>
                <c:pt idx="393">
                  <c:v>2.1237193910027884E-4</c:v>
                </c:pt>
                <c:pt idx="394">
                  <c:v>2.1231058816589279E-4</c:v>
                </c:pt>
                <c:pt idx="395">
                  <c:v>2.1225062246700736E-4</c:v>
                </c:pt>
                <c:pt idx="396">
                  <c:v>2.1219203201394349E-4</c:v>
                </c:pt>
                <c:pt idx="397">
                  <c:v>2.1213480691284638E-4</c:v>
                </c:pt>
                <c:pt idx="398">
                  <c:v>2.1207893736453922E-4</c:v>
                </c:pt>
                <c:pt idx="399">
                  <c:v>2.1202441366339342E-4</c:v>
                </c:pt>
                <c:pt idx="400">
                  <c:v>2.1197122619621498E-4</c:v>
                </c:pt>
                <c:pt idx="401">
                  <c:v>2.1191936544114664E-4</c:v>
                </c:pt>
                <c:pt idx="402">
                  <c:v>2.1186882196658574E-4</c:v>
                </c:pt>
                <c:pt idx="403">
                  <c:v>2.1181958643011733E-4</c:v>
                </c:pt>
                <c:pt idx="404">
                  <c:v>2.1177164957746251E-4</c:v>
                </c:pt>
                <c:pt idx="405">
                  <c:v>2.1172500224144125E-4</c:v>
                </c:pt>
                <c:pt idx="406">
                  <c:v>2.1167963534095074E-4</c:v>
                </c:pt>
                <c:pt idx="407">
                  <c:v>2.1163553987995658E-4</c:v>
                </c:pt>
                <c:pt idx="408">
                  <c:v>2.1159270694649982E-4</c:v>
                </c:pt>
                <c:pt idx="409">
                  <c:v>2.1155112771171648E-4</c:v>
                </c:pt>
                <c:pt idx="410">
                  <c:v>2.1151079342887172E-4</c:v>
                </c:pt>
                <c:pt idx="411">
                  <c:v>2.1147169543240675E-4</c:v>
                </c:pt>
                <c:pt idx="412">
                  <c:v>2.1143382513699944E-4</c:v>
                </c:pt>
                <c:pt idx="413">
                  <c:v>2.1139717403663791E-4</c:v>
                </c:pt>
                <c:pt idx="414">
                  <c:v>2.1136173370370665E-4</c:v>
                </c:pt>
                <c:pt idx="415">
                  <c:v>2.113274957880854E-4</c:v>
                </c:pt>
                <c:pt idx="416">
                  <c:v>2.1129445201626058E-4</c:v>
                </c:pt>
                <c:pt idx="417">
                  <c:v>2.1126259419044867E-4</c:v>
                </c:pt>
                <c:pt idx="418">
                  <c:v>2.1123191418773185E-4</c:v>
                </c:pt>
                <c:pt idx="419">
                  <c:v>2.1120240395920505E-4</c:v>
                </c:pt>
                <c:pt idx="420">
                  <c:v>2.111740555291352E-4</c:v>
                </c:pt>
                <c:pt idx="421">
                  <c:v>2.1114686099413143E-4</c:v>
                </c:pt>
                <c:pt idx="422">
                  <c:v>2.1112081252232679E-4</c:v>
                </c:pt>
                <c:pt idx="423">
                  <c:v>2.1109590235257088E-4</c:v>
                </c:pt>
                <c:pt idx="424">
                  <c:v>2.1107212279363374E-4</c:v>
                </c:pt>
                <c:pt idx="425">
                  <c:v>2.1104946622341989E-4</c:v>
                </c:pt>
                <c:pt idx="426">
                  <c:v>2.110279250881936E-4</c:v>
                </c:pt>
                <c:pt idx="427">
                  <c:v>2.1100749190181391E-4</c:v>
                </c:pt>
                <c:pt idx="428">
                  <c:v>2.1098815924498057E-4</c:v>
                </c:pt>
                <c:pt idx="429">
                  <c:v>2.1096991976448946E-4</c:v>
                </c:pt>
                <c:pt idx="430">
                  <c:v>2.1095276617249834E-4</c:v>
                </c:pt>
                <c:pt idx="431">
                  <c:v>2.1093669124580211E-4</c:v>
                </c:pt>
                <c:pt idx="432">
                  <c:v>2.109216878251177E-4</c:v>
                </c:pt>
                <c:pt idx="433">
                  <c:v>2.1090774881437903E-4</c:v>
                </c:pt>
                <c:pt idx="434">
                  <c:v>2.1089486718004003E-4</c:v>
                </c:pt>
                <c:pt idx="435">
                  <c:v>2.1088303595038829E-4</c:v>
                </c:pt>
                <c:pt idx="436">
                  <c:v>2.108722482148666E-4</c:v>
                </c:pt>
                <c:pt idx="437">
                  <c:v>2.1086249712340408E-4</c:v>
                </c:pt>
                <c:pt idx="438">
                  <c:v>2.1085377588575579E-4</c:v>
                </c:pt>
                <c:pt idx="439">
                  <c:v>2.1084607777085106E-4</c:v>
                </c:pt>
                <c:pt idx="440">
                  <c:v>2.1083939610615029E-4</c:v>
                </c:pt>
                <c:pt idx="441">
                  <c:v>2.1083372427701001E-4</c:v>
                </c:pt>
                <c:pt idx="442">
                  <c:v>2.108290557260565E-4</c:v>
                </c:pt>
                <c:pt idx="443">
                  <c:v>2.1082538395256718E-4</c:v>
                </c:pt>
                <c:pt idx="444">
                  <c:v>2.1082270251186015E-4</c:v>
                </c:pt>
                <c:pt idx="445">
                  <c:v>2.108210050146916E-4</c:v>
                </c:pt>
                <c:pt idx="446">
                  <c:v>2.1082028512666112E-4</c:v>
                </c:pt>
                <c:pt idx="447">
                  <c:v>2.1082053656762444E-4</c:v>
                </c:pt>
                <c:pt idx="448">
                  <c:v>2.1082175311111346E-4</c:v>
                </c:pt>
                <c:pt idx="449">
                  <c:v>2.1082392858376461E-4</c:v>
                </c:pt>
                <c:pt idx="450">
                  <c:v>2.108270568647534E-4</c:v>
                </c:pt>
                <c:pt idx="451">
                  <c:v>2.1083113188523694E-4</c:v>
                </c:pt>
                <c:pt idx="452">
                  <c:v>2.1083614762780321E-4</c:v>
                </c:pt>
                <c:pt idx="453">
                  <c:v>2.1084209812592734E-4</c:v>
                </c:pt>
                <c:pt idx="454">
                  <c:v>2.1084897746343487E-4</c:v>
                </c:pt>
                <c:pt idx="455">
                  <c:v>2.1085677977397186E-4</c:v>
                </c:pt>
                <c:pt idx="456">
                  <c:v>2.1086549924048142E-4</c:v>
                </c:pt>
                <c:pt idx="457">
                  <c:v>2.1087513009468688E-4</c:v>
                </c:pt>
                <c:pt idx="458">
                  <c:v>2.1088566661658191E-4</c:v>
                </c:pt>
                <c:pt idx="459">
                  <c:v>2.1089710313392627E-4</c:v>
                </c:pt>
                <c:pt idx="460">
                  <c:v>2.1090943402174829E-4</c:v>
                </c:pt>
                <c:pt idx="461">
                  <c:v>2.1092265370185385E-4</c:v>
                </c:pt>
                <c:pt idx="462">
                  <c:v>2.1093675664234072E-4</c:v>
                </c:pt>
                <c:pt idx="463">
                  <c:v>2.1095173735711956E-4</c:v>
                </c:pt>
                <c:pt idx="464">
                  <c:v>2.1096759040544063E-4</c:v>
                </c:pt>
                <c:pt idx="465">
                  <c:v>2.1098431039142632E-4</c:v>
                </c:pt>
                <c:pt idx="466">
                  <c:v>2.1100189196360968E-4</c:v>
                </c:pt>
                <c:pt idx="467">
                  <c:v>2.1102032981447805E-4</c:v>
                </c:pt>
                <c:pt idx="468">
                  <c:v>2.1103961868002322E-4</c:v>
                </c:pt>
                <c:pt idx="469">
                  <c:v>2.1105975333929623E-4</c:v>
                </c:pt>
                <c:pt idx="470">
                  <c:v>2.1108072861396814E-4</c:v>
                </c:pt>
                <c:pt idx="471">
                  <c:v>2.1110253936789593E-4</c:v>
                </c:pt>
                <c:pt idx="472">
                  <c:v>2.1112518050669398E-4</c:v>
                </c:pt>
                <c:pt idx="473">
                  <c:v>2.1114864697731025E-4</c:v>
                </c:pt>
                <c:pt idx="474">
                  <c:v>2.1117293376760827E-4</c:v>
                </c:pt>
                <c:pt idx="475">
                  <c:v>2.1119803590595359E-4</c:v>
                </c:pt>
                <c:pt idx="476">
                  <c:v>2.1122394846080555E-4</c:v>
                </c:pt>
                <c:pt idx="477">
                  <c:v>2.1125066654031403E-4</c:v>
                </c:pt>
                <c:pt idx="478">
                  <c:v>2.112781852919209E-4</c:v>
                </c:pt>
                <c:pt idx="479">
                  <c:v>2.1130649990196623E-4</c:v>
                </c:pt>
                <c:pt idx="480">
                  <c:v>2.1133560559529935E-4</c:v>
                </c:pt>
                <c:pt idx="481">
                  <c:v>2.1136549763489467E-4</c:v>
                </c:pt>
                <c:pt idx="482">
                  <c:v>2.1139617132147161E-4</c:v>
                </c:pt>
                <c:pt idx="483">
                  <c:v>2.1142762199311986E-4</c:v>
                </c:pt>
                <c:pt idx="484">
                  <c:v>2.1145984502492823E-4</c:v>
                </c:pt>
                <c:pt idx="485">
                  <c:v>2.1149283582861858E-4</c:v>
                </c:pt>
                <c:pt idx="486">
                  <c:v>2.1152658985218364E-4</c:v>
                </c:pt>
                <c:pt idx="487">
                  <c:v>2.1156110257952948E-4</c:v>
                </c:pt>
                <c:pt idx="488">
                  <c:v>2.1159636953012204E-4</c:v>
                </c:pt>
                <c:pt idx="489">
                  <c:v>2.1163238625863761E-4</c:v>
                </c:pt>
                <c:pt idx="490">
                  <c:v>2.1166914835461784E-4</c:v>
                </c:pt>
                <c:pt idx="491">
                  <c:v>2.1170665144212841E-4</c:v>
                </c:pt>
                <c:pt idx="492">
                  <c:v>2.1174489117942221E-4</c:v>
                </c:pt>
                <c:pt idx="493">
                  <c:v>2.1178386325860571E-4</c:v>
                </c:pt>
                <c:pt idx="494">
                  <c:v>2.1182356340530988E-4</c:v>
                </c:pt>
                <c:pt idx="495">
                  <c:v>2.1186398737836471E-4</c:v>
                </c:pt>
                <c:pt idx="496">
                  <c:v>2.119051309694775E-4</c:v>
                </c:pt>
                <c:pt idx="497">
                  <c:v>2.1194699000291476E-4</c:v>
                </c:pt>
                <c:pt idx="498">
                  <c:v>2.1198956033518821E-4</c:v>
                </c:pt>
                <c:pt idx="499">
                  <c:v>2.120328378547438E-4</c:v>
                </c:pt>
                <c:pt idx="500">
                  <c:v>2.1207681848165502E-4</c:v>
                </c:pt>
                <c:pt idx="501">
                  <c:v>2.121214981673189E-4</c:v>
                </c:pt>
                <c:pt idx="502">
                  <c:v>2.1216687289415655E-4</c:v>
                </c:pt>
                <c:pt idx="503">
                  <c:v>2.1221293867531603E-4</c:v>
                </c:pt>
                <c:pt idx="504">
                  <c:v>2.1225969155437945E-4</c:v>
                </c:pt>
                <c:pt idx="505">
                  <c:v>2.1230712760507314E-4</c:v>
                </c:pt>
                <c:pt idx="506">
                  <c:v>2.123552429309809E-4</c:v>
                </c:pt>
                <c:pt idx="507">
                  <c:v>2.1240403366526095E-4</c:v>
                </c:pt>
                <c:pt idx="508">
                  <c:v>2.124534959703657E-4</c:v>
                </c:pt>
                <c:pt idx="509">
                  <c:v>2.1250362603776493E-4</c:v>
                </c:pt>
                <c:pt idx="510">
                  <c:v>2.1255442008767211E-4</c:v>
                </c:pt>
                <c:pt idx="511">
                  <c:v>2.1260587436877361E-4</c:v>
                </c:pt>
                <c:pt idx="512">
                  <c:v>2.1265798515796122E-4</c:v>
                </c:pt>
                <c:pt idx="513">
                  <c:v>2.1271074876006742E-4</c:v>
                </c:pt>
                <c:pt idx="514">
                  <c:v>2.1276416150760392E-4</c:v>
                </c:pt>
                <c:pt idx="515">
                  <c:v>2.1281821976050291E-4</c:v>
                </c:pt>
                <c:pt idx="516">
                  <c:v>2.1287291990586125E-4</c:v>
                </c:pt>
                <c:pt idx="517">
                  <c:v>2.1292825835768754E-4</c:v>
                </c:pt>
                <c:pt idx="518">
                  <c:v>2.1298423155665202E-4</c:v>
                </c:pt>
                <c:pt idx="519">
                  <c:v>2.1304083596983928E-4</c:v>
                </c:pt>
                <c:pt idx="520">
                  <c:v>2.1309806809050361E-4</c:v>
                </c:pt>
                <c:pt idx="521">
                  <c:v>2.1315592443782721E-4</c:v>
                </c:pt>
                <c:pt idx="522">
                  <c:v>2.1321440155668101E-4</c:v>
                </c:pt>
                <c:pt idx="523">
                  <c:v>2.1327349601738799E-4</c:v>
                </c:pt>
                <c:pt idx="524">
                  <c:v>2.1333320441548946E-4</c:v>
                </c:pt>
                <c:pt idx="525">
                  <c:v>2.1339352337151348E-4</c:v>
                </c:pt>
                <c:pt idx="526">
                  <c:v>2.1345444953074625E-4</c:v>
                </c:pt>
                <c:pt idx="527">
                  <c:v>2.1351597956300553E-4</c:v>
                </c:pt>
                <c:pt idx="528">
                  <c:v>2.1357811016241716E-4</c:v>
                </c:pt>
                <c:pt idx="529">
                  <c:v>2.136408380471934E-4</c:v>
                </c:pt>
                <c:pt idx="530">
                  <c:v>2.1370415995941415E-4</c:v>
                </c:pt>
                <c:pt idx="531">
                  <c:v>2.137680726648101E-4</c:v>
                </c:pt>
                <c:pt idx="532">
                  <c:v>2.1383257295254883E-4</c:v>
                </c:pt>
                <c:pt idx="533">
                  <c:v>2.1389765763502272E-4</c:v>
                </c:pt>
                <c:pt idx="534">
                  <c:v>2.1396332354763927E-4</c:v>
                </c:pt>
                <c:pt idx="535">
                  <c:v>2.1402956754861395E-4</c:v>
                </c:pt>
                <c:pt idx="536">
                  <c:v>2.1409638651876501E-4</c:v>
                </c:pt>
                <c:pt idx="537">
                  <c:v>2.1416377736131046E-4</c:v>
                </c:pt>
                <c:pt idx="538">
                  <c:v>2.142317370016676E-4</c:v>
                </c:pt>
                <c:pt idx="539">
                  <c:v>2.1430026238725424E-4</c:v>
                </c:pt>
                <c:pt idx="540">
                  <c:v>2.1436935048729233E-4</c:v>
                </c:pt>
                <c:pt idx="541">
                  <c:v>2.1443899829261376E-4</c:v>
                </c:pt>
                <c:pt idx="542">
                  <c:v>2.1450920281546783E-4</c:v>
                </c:pt>
                <c:pt idx="543">
                  <c:v>2.1457996108933131E-4</c:v>
                </c:pt>
                <c:pt idx="544">
                  <c:v>2.1465127016872008E-4</c:v>
                </c:pt>
                <c:pt idx="545">
                  <c:v>2.1472312712900304E-4</c:v>
                </c:pt>
                <c:pt idx="546">
                  <c:v>2.1479552906621791E-4</c:v>
                </c:pt>
                <c:pt idx="547">
                  <c:v>2.1486847309688879E-4</c:v>
                </c:pt>
                <c:pt idx="548">
                  <c:v>2.1494195635784604E-4</c:v>
                </c:pt>
                <c:pt idx="549">
                  <c:v>2.1501597600604772E-4</c:v>
                </c:pt>
                <c:pt idx="550">
                  <c:v>2.1509052921840312E-4</c:v>
                </c:pt>
                <c:pt idx="551">
                  <c:v>2.1516561319159786E-4</c:v>
                </c:pt>
                <c:pt idx="552">
                  <c:v>2.1524122514192132E-4</c:v>
                </c:pt>
                <c:pt idx="553">
                  <c:v>2.1531736230509529E-4</c:v>
                </c:pt>
                <c:pt idx="554">
                  <c:v>2.1539402193610494E-4</c:v>
                </c:pt>
                <c:pt idx="555">
                  <c:v>2.1547120130903101E-4</c:v>
                </c:pt>
                <c:pt idx="556">
                  <c:v>2.1554889771688445E-4</c:v>
                </c:pt>
                <c:pt idx="557">
                  <c:v>2.1562710847144206E-4</c:v>
                </c:pt>
                <c:pt idx="558">
                  <c:v>2.1570583090308425E-4</c:v>
                </c:pt>
                <c:pt idx="559">
                  <c:v>2.1578506236063436E-4</c:v>
                </c:pt>
                <c:pt idx="560">
                  <c:v>2.1586480021119989E-4</c:v>
                </c:pt>
                <c:pt idx="561">
                  <c:v>2.1594504184001471E-4</c:v>
                </c:pt>
                <c:pt idx="562">
                  <c:v>2.160257846502838E-4</c:v>
                </c:pt>
                <c:pt idx="563">
                  <c:v>2.1610702606302879E-4</c:v>
                </c:pt>
                <c:pt idx="564">
                  <c:v>2.1618876351693563E-4</c:v>
                </c:pt>
                <c:pt idx="565">
                  <c:v>2.1627099446820349E-4</c:v>
                </c:pt>
                <c:pt idx="566">
                  <c:v>2.1635371639039535E-4</c:v>
                </c:pt>
                <c:pt idx="567">
                  <c:v>2.1643692677429012E-4</c:v>
                </c:pt>
                <c:pt idx="568">
                  <c:v>2.1652062312773625E-4</c:v>
                </c:pt>
                <c:pt idx="569">
                  <c:v>2.1660480297550688E-4</c:v>
                </c:pt>
                <c:pt idx="570">
                  <c:v>2.1668946385915624E-4</c:v>
                </c:pt>
                <c:pt idx="571">
                  <c:v>2.1677460333687786E-4</c:v>
                </c:pt>
                <c:pt idx="572">
                  <c:v>2.1686021898336392E-4</c:v>
                </c:pt>
                <c:pt idx="573">
                  <c:v>2.1694630838966624E-4</c:v>
                </c:pt>
                <c:pt idx="574">
                  <c:v>2.1703286916305845E-4</c:v>
                </c:pt>
                <c:pt idx="575">
                  <c:v>2.1711989892689979E-4</c:v>
                </c:pt>
                <c:pt idx="576">
                  <c:v>2.1720739532049999E-4</c:v>
                </c:pt>
                <c:pt idx="577">
                  <c:v>2.1729535599898599E-4</c:v>
                </c:pt>
                <c:pt idx="578">
                  <c:v>2.1738377863316934E-4</c:v>
                </c:pt>
                <c:pt idx="579">
                  <c:v>2.1747266090941551E-4</c:v>
                </c:pt>
                <c:pt idx="580">
                  <c:v>2.1756200052951426E-4</c:v>
                </c:pt>
                <c:pt idx="581">
                  <c:v>2.1765179521055107E-4</c:v>
                </c:pt>
                <c:pt idx="582">
                  <c:v>2.1774204268478045E-4</c:v>
                </c:pt>
                <c:pt idx="583">
                  <c:v>2.178327406995E-4</c:v>
                </c:pt>
                <c:pt idx="584">
                  <c:v>2.1792388701692572E-4</c:v>
                </c:pt>
                <c:pt idx="585">
                  <c:v>2.1801547941406908E-4</c:v>
                </c:pt>
                <c:pt idx="586">
                  <c:v>2.1810751568261457E-4</c:v>
                </c:pt>
                <c:pt idx="587">
                  <c:v>2.1819999362879914E-4</c:v>
                </c:pt>
                <c:pt idx="588">
                  <c:v>2.1829291107329231E-4</c:v>
                </c:pt>
                <c:pt idx="589">
                  <c:v>2.183862658510778E-4</c:v>
                </c:pt>
                <c:pt idx="590">
                  <c:v>2.1848005581133611E-4</c:v>
                </c:pt>
                <c:pt idx="591">
                  <c:v>2.1857427881732844E-4</c:v>
                </c:pt>
                <c:pt idx="592">
                  <c:v>2.1866893274628159E-4</c:v>
                </c:pt>
                <c:pt idx="593">
                  <c:v>2.1876401548927407E-4</c:v>
                </c:pt>
                <c:pt idx="594">
                  <c:v>2.1885952495112319E-4</c:v>
                </c:pt>
                <c:pt idx="595">
                  <c:v>2.1895545905027368E-4</c:v>
                </c:pt>
                <c:pt idx="596">
                  <c:v>2.1905181571868664E-4</c:v>
                </c:pt>
                <c:pt idx="597">
                  <c:v>2.1914859290173035E-4</c:v>
                </c:pt>
                <c:pt idx="598">
                  <c:v>2.1924578855807167E-4</c:v>
                </c:pt>
                <c:pt idx="599">
                  <c:v>2.1934340065956861E-4</c:v>
                </c:pt>
                <c:pt idx="600">
                  <c:v>2.1944142719116391E-4</c:v>
                </c:pt>
                <c:pt idx="601">
                  <c:v>2.1953986615077988E-4</c:v>
                </c:pt>
                <c:pt idx="602">
                  <c:v>2.1963871554921371E-4</c:v>
                </c:pt>
                <c:pt idx="603">
                  <c:v>2.1973797341003469E-4</c:v>
                </c:pt>
                <c:pt idx="604">
                  <c:v>2.1983763776948123E-4</c:v>
                </c:pt>
                <c:pt idx="605">
                  <c:v>2.1993770667635992E-4</c:v>
                </c:pt>
                <c:pt idx="606">
                  <c:v>2.200381781919451E-4</c:v>
                </c:pt>
                <c:pt idx="607">
                  <c:v>2.2013905038987925E-4</c:v>
                </c:pt>
                <c:pt idx="608">
                  <c:v>2.2024032135607477E-4</c:v>
                </c:pt>
                <c:pt idx="609">
                  <c:v>2.2034198918861628E-4</c:v>
                </c:pt>
                <c:pt idx="610">
                  <c:v>2.2044405199766397E-4</c:v>
                </c:pt>
                <c:pt idx="611">
                  <c:v>2.2054650790535814E-4</c:v>
                </c:pt>
                <c:pt idx="612">
                  <c:v>2.2064935504572414E-4</c:v>
                </c:pt>
                <c:pt idx="613">
                  <c:v>2.2075259156457874E-4</c:v>
                </c:pt>
                <c:pt idx="614">
                  <c:v>2.2085621561943692E-4</c:v>
                </c:pt>
                <c:pt idx="615">
                  <c:v>2.2096022537941996E-4</c:v>
                </c:pt>
                <c:pt idx="616">
                  <c:v>2.2106461902516409E-4</c:v>
                </c:pt>
                <c:pt idx="617">
                  <c:v>2.2116939474873008E-4</c:v>
                </c:pt>
                <c:pt idx="618">
                  <c:v>2.2127455075351369E-4</c:v>
                </c:pt>
                <c:pt idx="619">
                  <c:v>2.2138008525415714E-4</c:v>
                </c:pt>
                <c:pt idx="620">
                  <c:v>2.214859964764611E-4</c:v>
                </c:pt>
                <c:pt idx="621">
                  <c:v>2.2159228265729766E-4</c:v>
                </c:pt>
                <c:pt idx="622">
                  <c:v>2.2169894204452411E-4</c:v>
                </c:pt>
                <c:pt idx="623">
                  <c:v>2.2180597289689761E-4</c:v>
                </c:pt>
                <c:pt idx="624">
                  <c:v>2.2191337348399047E-4</c:v>
                </c:pt>
                <c:pt idx="625">
                  <c:v>2.2202114208610629E-4</c:v>
                </c:pt>
                <c:pt idx="626">
                  <c:v>2.2212927699419695E-4</c:v>
                </c:pt>
                <c:pt idx="627">
                  <c:v>2.2223777650978041E-4</c:v>
                </c:pt>
                <c:pt idx="628">
                  <c:v>2.2234663894485896E-4</c:v>
                </c:pt>
                <c:pt idx="629">
                  <c:v>2.2245586262183872E-4</c:v>
                </c:pt>
                <c:pt idx="630">
                  <c:v>2.2256544587344925E-4</c:v>
                </c:pt>
                <c:pt idx="631">
                  <c:v>2.2267538704266471E-4</c:v>
                </c:pt>
                <c:pt idx="632">
                  <c:v>2.2278568448262485E-4</c:v>
                </c:pt>
                <c:pt idx="633">
                  <c:v>2.2289633655655762E-4</c:v>
                </c:pt>
                <c:pt idx="634">
                  <c:v>2.2300734163770153E-4</c:v>
                </c:pt>
                <c:pt idx="635">
                  <c:v>2.2311869810922978E-4</c:v>
                </c:pt>
                <c:pt idx="636">
                  <c:v>2.2323040436417411E-4</c:v>
                </c:pt>
                <c:pt idx="637">
                  <c:v>2.2334245880534996E-4</c:v>
                </c:pt>
                <c:pt idx="638">
                  <c:v>2.2345485984528207E-4</c:v>
                </c:pt>
                <c:pt idx="639">
                  <c:v>2.23567605906131E-4</c:v>
                </c:pt>
                <c:pt idx="640">
                  <c:v>2.2368069541961973E-4</c:v>
                </c:pt>
                <c:pt idx="641">
                  <c:v>2.2379412682696178E-4</c:v>
                </c:pt>
                <c:pt idx="642">
                  <c:v>2.2390789857878917E-4</c:v>
                </c:pt>
                <c:pt idx="643">
                  <c:v>2.2402200913508165E-4</c:v>
                </c:pt>
                <c:pt idx="644">
                  <c:v>2.2413645696509616E-4</c:v>
                </c:pt>
                <c:pt idx="645">
                  <c:v>2.2425124054729713E-4</c:v>
                </c:pt>
                <c:pt idx="646">
                  <c:v>2.2436635836928722E-4</c:v>
                </c:pt>
                <c:pt idx="647">
                  <c:v>2.2448180892773915E-4</c:v>
                </c:pt>
                <c:pt idx="648">
                  <c:v>2.2459759072832741E-4</c:v>
                </c:pt>
                <c:pt idx="649">
                  <c:v>2.2471370228566132E-4</c:v>
                </c:pt>
                <c:pt idx="650">
                  <c:v>2.2483014212321812E-4</c:v>
                </c:pt>
                <c:pt idx="651">
                  <c:v>2.2494690877327699E-4</c:v>
                </c:pt>
                <c:pt idx="652">
                  <c:v>2.2506400077685354E-4</c:v>
                </c:pt>
                <c:pt idx="653">
                  <c:v>2.2518141668363489E-4</c:v>
                </c:pt>
                <c:pt idx="654">
                  <c:v>2.2529915505191547E-4</c:v>
                </c:pt>
                <c:pt idx="655">
                  <c:v>2.2541721444853296E-4</c:v>
                </c:pt>
                <c:pt idx="656">
                  <c:v>2.2553559344880544E-4</c:v>
                </c:pt>
                <c:pt idx="657">
                  <c:v>2.2565429063646852E-4</c:v>
                </c:pt>
                <c:pt idx="658">
                  <c:v>2.2577330460361346E-4</c:v>
                </c:pt>
                <c:pt idx="659">
                  <c:v>2.2589263395062536E-4</c:v>
                </c:pt>
                <c:pt idx="660">
                  <c:v>2.260122772861226E-4</c:v>
                </c:pt>
                <c:pt idx="661">
                  <c:v>2.2613223322689589E-4</c:v>
                </c:pt>
                <c:pt idx="662">
                  <c:v>2.2625250039784873E-4</c:v>
                </c:pt>
                <c:pt idx="663">
                  <c:v>2.2637307743193785E-4</c:v>
                </c:pt>
                <c:pt idx="664">
                  <c:v>2.2649396297011446E-4</c:v>
                </c:pt>
                <c:pt idx="665">
                  <c:v>2.2661515566126575E-4</c:v>
                </c:pt>
                <c:pt idx="666">
                  <c:v>2.2673665416215709E-4</c:v>
                </c:pt>
                <c:pt idx="667">
                  <c:v>2.2685845713737478E-4</c:v>
                </c:pt>
                <c:pt idx="668">
                  <c:v>2.2698056325926922E-4</c:v>
                </c:pt>
                <c:pt idx="669">
                  <c:v>2.2710297120789836E-4</c:v>
                </c:pt>
                <c:pt idx="670">
                  <c:v>2.2722567967097199E-4</c:v>
                </c:pt>
                <c:pt idx="671">
                  <c:v>2.2734868734379659E-4</c:v>
                </c:pt>
                <c:pt idx="672">
                  <c:v>2.2747199292921992E-4</c:v>
                </c:pt>
                <c:pt idx="673">
                  <c:v>2.2759559513757711E-4</c:v>
                </c:pt>
                <c:pt idx="674">
                  <c:v>2.277194926866364E-4</c:v>
                </c:pt>
                <c:pt idx="675">
                  <c:v>2.2784368430154588E-4</c:v>
                </c:pt>
                <c:pt idx="676">
                  <c:v>2.2796816871478037E-4</c:v>
                </c:pt>
                <c:pt idx="677">
                  <c:v>2.2809294466608881E-4</c:v>
                </c:pt>
                <c:pt idx="678">
                  <c:v>2.2821801090244215E-4</c:v>
                </c:pt>
                <c:pt idx="679">
                  <c:v>2.2834336617798194E-4</c:v>
                </c:pt>
                <c:pt idx="680">
                  <c:v>2.2846900925396876E-4</c:v>
                </c:pt>
                <c:pt idx="681">
                  <c:v>2.2859493889873167E-4</c:v>
                </c:pt>
                <c:pt idx="682">
                  <c:v>2.2872115388761774E-4</c:v>
                </c:pt>
                <c:pt idx="683">
                  <c:v>2.2884765300294223E-4</c:v>
                </c:pt>
                <c:pt idx="684">
                  <c:v>2.2897443503393911E-4</c:v>
                </c:pt>
                <c:pt idx="685">
                  <c:v>2.2910149877671191E-4</c:v>
                </c:pt>
                <c:pt idx="686">
                  <c:v>2.2922884303418504E-4</c:v>
                </c:pt>
                <c:pt idx="687">
                  <c:v>2.2935646661605578E-4</c:v>
                </c:pt>
                <c:pt idx="688">
                  <c:v>2.2948436833874599E-4</c:v>
                </c:pt>
                <c:pt idx="689">
                  <c:v>2.2961254702535532E-4</c:v>
                </c:pt>
                <c:pt idx="690">
                  <c:v>2.2974100150561366E-4</c:v>
                </c:pt>
                <c:pt idx="691">
                  <c:v>2.2986973061583471E-4</c:v>
                </c:pt>
                <c:pt idx="692">
                  <c:v>2.299987331988697E-4</c:v>
                </c:pt>
                <c:pt idx="693">
                  <c:v>2.3012800810406168E-4</c:v>
                </c:pt>
                <c:pt idx="694">
                  <c:v>2.3025755418719992E-4</c:v>
                </c:pt>
                <c:pt idx="695">
                  <c:v>2.3038737031047483E-4</c:v>
                </c:pt>
                <c:pt idx="696">
                  <c:v>2.3051745534243334E-4</c:v>
                </c:pt>
                <c:pt idx="697">
                  <c:v>2.3064780815793448E-4</c:v>
                </c:pt>
                <c:pt idx="698">
                  <c:v>2.3077842763810557E-4</c:v>
                </c:pt>
                <c:pt idx="699">
                  <c:v>2.3090931267029843E-4</c:v>
                </c:pt>
                <c:pt idx="700">
                  <c:v>2.3104046214804632E-4</c:v>
                </c:pt>
                <c:pt idx="701">
                  <c:v>2.3117187497102094E-4</c:v>
                </c:pt>
                <c:pt idx="702">
                  <c:v>2.3130355004499014E-4</c:v>
                </c:pt>
                <c:pt idx="703">
                  <c:v>2.3143548628177548E-4</c:v>
                </c:pt>
                <c:pt idx="704">
                  <c:v>2.3156768259921057E-4</c:v>
                </c:pt>
                <c:pt idx="705">
                  <c:v>2.3170013792109958E-4</c:v>
                </c:pt>
                <c:pt idx="706">
                  <c:v>2.3183285117717631E-4</c:v>
                </c:pt>
                <c:pt idx="707">
                  <c:v>2.3196582130306296E-4</c:v>
                </c:pt>
                <c:pt idx="708">
                  <c:v>2.3209904724023013E-4</c:v>
                </c:pt>
                <c:pt idx="709">
                  <c:v>2.3223252793595653E-4</c:v>
                </c:pt>
                <c:pt idx="710">
                  <c:v>2.323662623432892E-4</c:v>
                </c:pt>
                <c:pt idx="711">
                  <c:v>2.3250024942100394E-4</c:v>
                </c:pt>
                <c:pt idx="712">
                  <c:v>2.3263448813356648E-4</c:v>
                </c:pt>
                <c:pt idx="713">
                  <c:v>2.3276897745109338E-4</c:v>
                </c:pt>
                <c:pt idx="714">
                  <c:v>2.3290371634931371E-4</c:v>
                </c:pt>
                <c:pt idx="715">
                  <c:v>2.3303870380953065E-4</c:v>
                </c:pt>
                <c:pt idx="716">
                  <c:v>2.3317393881858395E-4</c:v>
                </c:pt>
                <c:pt idx="717">
                  <c:v>2.333094203688122E-4</c:v>
                </c:pt>
                <c:pt idx="718">
                  <c:v>2.3344514745801546E-4</c:v>
                </c:pt>
                <c:pt idx="719">
                  <c:v>2.3358111908941838E-4</c:v>
                </c:pt>
                <c:pt idx="720">
                  <c:v>2.3371733427163371E-4</c:v>
                </c:pt>
                <c:pt idx="721">
                  <c:v>2.3385379201862585E-4</c:v>
                </c:pt>
                <c:pt idx="722">
                  <c:v>2.3399049134967463E-4</c:v>
                </c:pt>
                <c:pt idx="723">
                  <c:v>2.3412743128933965E-4</c:v>
                </c:pt>
                <c:pt idx="724">
                  <c:v>2.3426461086742493E-4</c:v>
                </c:pt>
                <c:pt idx="725">
                  <c:v>2.3440202911894354E-4</c:v>
                </c:pt>
                <c:pt idx="726">
                  <c:v>2.3453968508408278E-4</c:v>
                </c:pt>
                <c:pt idx="727">
                  <c:v>2.346775778081694E-4</c:v>
                </c:pt>
                <c:pt idx="728">
                  <c:v>2.348157063416355E-4</c:v>
                </c:pt>
                <c:pt idx="729">
                  <c:v>2.3495406973998419E-4</c:v>
                </c:pt>
                <c:pt idx="730">
                  <c:v>2.3509266706375594E-4</c:v>
                </c:pt>
                <c:pt idx="731">
                  <c:v>2.3523149737849505E-4</c:v>
                </c:pt>
                <c:pt idx="732">
                  <c:v>2.3537055975471612E-4</c:v>
                </c:pt>
                <c:pt idx="733">
                  <c:v>2.3550985326787165E-4</c:v>
                </c:pt>
                <c:pt idx="734">
                  <c:v>2.3564937699831854E-4</c:v>
                </c:pt>
                <c:pt idx="735">
                  <c:v>2.3578913003128606E-4</c:v>
                </c:pt>
                <c:pt idx="736">
                  <c:v>2.3592911145684366E-4</c:v>
                </c:pt>
                <c:pt idx="737">
                  <c:v>2.360693203698687E-4</c:v>
                </c:pt>
                <c:pt idx="738">
                  <c:v>2.3620975587001507E-4</c:v>
                </c:pt>
                <c:pt idx="739">
                  <c:v>2.3635041706168144E-4</c:v>
                </c:pt>
                <c:pt idx="740">
                  <c:v>2.3649130305398029E-4</c:v>
                </c:pt>
                <c:pt idx="741">
                  <c:v>2.3663241296070678E-4</c:v>
                </c:pt>
                <c:pt idx="742">
                  <c:v>2.3677374590030795E-4</c:v>
                </c:pt>
                <c:pt idx="743">
                  <c:v>2.3691530099585249E-4</c:v>
                </c:pt>
                <c:pt idx="744">
                  <c:v>2.3705707737500036E-4</c:v>
                </c:pt>
                <c:pt idx="745">
                  <c:v>2.3719907416997271E-4</c:v>
                </c:pt>
                <c:pt idx="746">
                  <c:v>2.3734129051752211E-4</c:v>
                </c:pt>
                <c:pt idx="747">
                  <c:v>2.3748372555890322E-4</c:v>
                </c:pt>
                <c:pt idx="748">
                  <c:v>2.3762637843984322E-4</c:v>
                </c:pt>
                <c:pt idx="749">
                  <c:v>2.3776924831051286E-4</c:v>
                </c:pt>
                <c:pt idx="750">
                  <c:v>2.3791233432549766E-4</c:v>
                </c:pt>
                <c:pt idx="751">
                  <c:v>2.3805563564376918E-4</c:v>
                </c:pt>
                <c:pt idx="752">
                  <c:v>2.3819915142865656E-4</c:v>
                </c:pt>
                <c:pt idx="753">
                  <c:v>2.3834288084781846E-4</c:v>
                </c:pt>
                <c:pt idx="754">
                  <c:v>2.3848682307321515E-4</c:v>
                </c:pt>
                <c:pt idx="755">
                  <c:v>2.3863097728108043E-4</c:v>
                </c:pt>
                <c:pt idx="756">
                  <c:v>2.3877534265189456E-4</c:v>
                </c:pt>
                <c:pt idx="757">
                  <c:v>2.3891991837035652E-4</c:v>
                </c:pt>
                <c:pt idx="758">
                  <c:v>2.3906470362535713E-4</c:v>
                </c:pt>
                <c:pt idx="759">
                  <c:v>2.3920969760995208E-4</c:v>
                </c:pt>
                <c:pt idx="760">
                  <c:v>2.3935489952133527E-4</c:v>
                </c:pt>
                <c:pt idx="761">
                  <c:v>2.3950030856081226E-4</c:v>
                </c:pt>
                <c:pt idx="762">
                  <c:v>2.3964592393377389E-4</c:v>
                </c:pt>
                <c:pt idx="763">
                  <c:v>2.3979174484967054E-4</c:v>
                </c:pt>
                <c:pt idx="764">
                  <c:v>2.3993777052198581E-4</c:v>
                </c:pt>
                <c:pt idx="765">
                  <c:v>2.4008400016821104E-4</c:v>
                </c:pt>
                <c:pt idx="766">
                  <c:v>2.4023043300982005E-4</c:v>
                </c:pt>
                <c:pt idx="767">
                  <c:v>2.4037706827224317E-4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72-4439-989C-BA61BC83AAF3}"/>
            </c:ext>
          </c:extLst>
        </c:ser>
        <c:ser>
          <c:idx val="7"/>
          <c:order val="7"/>
          <c:tx>
            <c:v>T/W_ceiling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Constraints!$U$22:$U$789</c:f>
              <c:numCache>
                <c:formatCode>General</c:formatCode>
                <c:ptCount val="768"/>
                <c:pt idx="0">
                  <c:v>0.50455462575947096</c:v>
                </c:pt>
                <c:pt idx="1">
                  <c:v>0.49476012909655509</c:v>
                </c:pt>
                <c:pt idx="2">
                  <c:v>0.4856412691604497</c:v>
                </c:pt>
                <c:pt idx="3">
                  <c:v>0.47712377797966921</c:v>
                </c:pt>
                <c:pt idx="4">
                  <c:v>0.46914433627547147</c:v>
                </c:pt>
                <c:pt idx="5">
                  <c:v>0.46164858196781383</c:v>
                </c:pt>
                <c:pt idx="6">
                  <c:v>0.45458954424457582</c:v>
                </c:pt>
                <c:pt idx="7">
                  <c:v>0.44792639973437898</c:v>
                </c:pt>
                <c:pt idx="8">
                  <c:v>0.44162347530040957</c:v>
                </c:pt>
                <c:pt idx="9">
                  <c:v>0.43564944167353981</c:v>
                </c:pt>
                <c:pt idx="10">
                  <c:v>0.42997665621214642</c:v>
                </c:pt>
                <c:pt idx="11">
                  <c:v>0.42458062325420154</c:v>
                </c:pt>
                <c:pt idx="12">
                  <c:v>0.41943954797927208</c:v>
                </c:pt>
                <c:pt idx="13">
                  <c:v>0.41453396521517866</c:v>
                </c:pt>
                <c:pt idx="14">
                  <c:v>0.40984642875112909</c:v>
                </c:pt>
                <c:pt idx="15">
                  <c:v>0.40536124983632249</c:v>
                </c:pt>
                <c:pt idx="16">
                  <c:v>0.40106427591879984</c:v>
                </c:pt>
                <c:pt idx="17">
                  <c:v>0.39694270250540176</c:v>
                </c:pt>
                <c:pt idx="18">
                  <c:v>0.39298491243849298</c:v>
                </c:pt>
                <c:pt idx="19">
                  <c:v>0.38918033798945939</c:v>
                </c:pt>
                <c:pt idx="20">
                  <c:v>0.38551934203713123</c:v>
                </c:pt>
                <c:pt idx="21">
                  <c:v>0.38199311528628421</c:v>
                </c:pt>
                <c:pt idx="22">
                  <c:v>0.37859358702847451</c:v>
                </c:pt>
                <c:pt idx="23">
                  <c:v>0.37531334738575806</c:v>
                </c:pt>
                <c:pt idx="24">
                  <c:v>0.37214557933096404</c:v>
                </c:pt>
                <c:pt idx="25">
                  <c:v>0.36908399906422373</c:v>
                </c:pt>
                <c:pt idx="26">
                  <c:v>0.36612280355833748</c:v>
                </c:pt>
                <c:pt idx="27">
                  <c:v>0.36325662427608785</c:v>
                </c:pt>
                <c:pt idx="28">
                  <c:v>0.36048048621921652</c:v>
                </c:pt>
                <c:pt idx="29">
                  <c:v>0.3577897715980754</c:v>
                </c:pt>
                <c:pt idx="30">
                  <c:v>0.3551801875181636</c:v>
                </c:pt>
                <c:pt idx="31">
                  <c:v>0.35264773716900577</c:v>
                </c:pt>
                <c:pt idx="32">
                  <c:v>0.3501886940754102</c:v>
                </c:pt>
                <c:pt idx="33">
                  <c:v>0.34779957903370579</c:v>
                </c:pt>
                <c:pt idx="34">
                  <c:v>0.34547713940822411</c:v>
                </c:pt>
                <c:pt idx="35">
                  <c:v>0.343218330507787</c:v>
                </c:pt>
                <c:pt idx="36">
                  <c:v>0.34102029879965806</c:v>
                </c:pt>
                <c:pt idx="37">
                  <c:v>0.33888036675048122</c:v>
                </c:pt>
                <c:pt idx="38">
                  <c:v>0.33679601911106188</c:v>
                </c:pt>
                <c:pt idx="39">
                  <c:v>0.33476489048523189</c:v>
                </c:pt>
                <c:pt idx="40">
                  <c:v>0.33278475404309421</c:v>
                </c:pt>
                <c:pt idx="41">
                  <c:v>0.33085351125619256</c:v>
                </c:pt>
                <c:pt idx="42">
                  <c:v>0.32896918254702534</c:v>
                </c:pt>
                <c:pt idx="43">
                  <c:v>0.32712989875818282</c:v>
                </c:pt>
                <c:pt idx="44">
                  <c:v>0.32533389335753221</c:v>
                </c:pt>
                <c:pt idx="45">
                  <c:v>0.32357949530555452</c:v>
                </c:pt>
                <c:pt idx="46">
                  <c:v>0.32186512251936988</c:v>
                </c:pt>
                <c:pt idx="47">
                  <c:v>0.32018927587534118</c:v>
                </c:pt>
                <c:pt idx="48">
                  <c:v>0.31855053369858122</c:v>
                </c:pt>
                <c:pt idx="49">
                  <c:v>0.31694754669332603</c:v>
                </c:pt>
                <c:pt idx="50">
                  <c:v>0.31537903327308658</c:v>
                </c:pt>
                <c:pt idx="51">
                  <c:v>0.31384377525384788</c:v>
                </c:pt>
                <c:pt idx="52">
                  <c:v>0.31234061387742451</c:v>
                </c:pt>
                <c:pt idx="53">
                  <c:v>0.31086844613547182</c:v>
                </c:pt>
                <c:pt idx="54">
                  <c:v>0.30942622136765258</c:v>
                </c:pt>
                <c:pt idx="55">
                  <c:v>0.30801293811011909</c:v>
                </c:pt>
                <c:pt idx="56">
                  <c:v>0.30662764117282859</c:v>
                </c:pt>
                <c:pt idx="57">
                  <c:v>0.30526941892631271</c:v>
                </c:pt>
                <c:pt idx="58">
                  <c:v>0.30393740078038789</c:v>
                </c:pt>
                <c:pt idx="59">
                  <c:v>0.30263075483896462</c:v>
                </c:pt>
                <c:pt idx="60">
                  <c:v>0.30134868571660023</c:v>
                </c:pt>
                <c:pt idx="61">
                  <c:v>0.30009043250377632</c:v>
                </c:pt>
                <c:pt idx="62">
                  <c:v>0.29885526686907493</c:v>
                </c:pt>
                <c:pt idx="63">
                  <c:v>0.29764249128749792</c:v>
                </c:pt>
                <c:pt idx="64">
                  <c:v>0.29645143738514224</c:v>
                </c:pt>
                <c:pt idx="65">
                  <c:v>0.29528146439130248</c:v>
                </c:pt>
                <c:pt idx="66">
                  <c:v>0.29413195768986056</c:v>
                </c:pt>
                <c:pt idx="67">
                  <c:v>0.29300232746252108</c:v>
                </c:pt>
                <c:pt idx="68">
                  <c:v>0.29189200741708954</c:v>
                </c:pt>
                <c:pt idx="69">
                  <c:v>0.29080045359456369</c:v>
                </c:pt>
                <c:pt idx="70">
                  <c:v>0.28972714324933069</c:v>
                </c:pt>
                <c:pt idx="71">
                  <c:v>0.28867157379723379</c:v>
                </c:pt>
                <c:pt idx="72">
                  <c:v>0.28763326182669935</c:v>
                </c:pt>
                <c:pt idx="73">
                  <c:v>0.28661174216850505</c:v>
                </c:pt>
                <c:pt idx="74">
                  <c:v>0.28560656702012416</c:v>
                </c:pt>
                <c:pt idx="75">
                  <c:v>0.28461730512089967</c:v>
                </c:pt>
                <c:pt idx="76">
                  <c:v>0.28364354097460043</c:v>
                </c:pt>
                <c:pt idx="77">
                  <c:v>0.28268487411617327</c:v>
                </c:pt>
                <c:pt idx="78">
                  <c:v>0.28174091841975379</c:v>
                </c:pt>
                <c:pt idx="79">
                  <c:v>0.28081130144521915</c:v>
                </c:pt>
                <c:pt idx="80">
                  <c:v>0.27989566382077163</c:v>
                </c:pt>
                <c:pt idx="81">
                  <c:v>0.27899365865922843</c:v>
                </c:pt>
                <c:pt idx="82">
                  <c:v>0.27810495100586385</c:v>
                </c:pt>
                <c:pt idx="83">
                  <c:v>0.27722921731580841</c:v>
                </c:pt>
                <c:pt idx="84">
                  <c:v>0.27636614495915263</c:v>
                </c:pt>
                <c:pt idx="85">
                  <c:v>0.27551543175203674</c:v>
                </c:pt>
                <c:pt idx="86">
                  <c:v>0.2746767855121286</c:v>
                </c:pt>
                <c:pt idx="87">
                  <c:v>0.27384992363700489</c:v>
                </c:pt>
                <c:pt idx="88">
                  <c:v>0.27303457270405418</c:v>
                </c:pt>
                <c:pt idx="89">
                  <c:v>0.27223046809061485</c:v>
                </c:pt>
                <c:pt idx="90">
                  <c:v>0.27143735361315052</c:v>
                </c:pt>
                <c:pt idx="91">
                  <c:v>0.270654981184344</c:v>
                </c:pt>
                <c:pt idx="92">
                  <c:v>0.26988311048706948</c:v>
                </c:pt>
                <c:pt idx="93">
                  <c:v>0.26912150866426787</c:v>
                </c:pt>
                <c:pt idx="94">
                  <c:v>0.26836995002381814</c:v>
                </c:pt>
                <c:pt idx="95">
                  <c:v>0.26762821575755447</c:v>
                </c:pt>
                <c:pt idx="96">
                  <c:v>0.26689609367363459</c:v>
                </c:pt>
                <c:pt idx="97">
                  <c:v>0.26617337794151663</c:v>
                </c:pt>
                <c:pt idx="98">
                  <c:v>0.26545986884884809</c:v>
                </c:pt>
                <c:pt idx="99">
                  <c:v>0.26475537256961457</c:v>
                </c:pt>
                <c:pt idx="100">
                  <c:v>0.2640597009429379</c:v>
                </c:pt>
                <c:pt idx="101">
                  <c:v>0.26337267126194963</c:v>
                </c:pt>
                <c:pt idx="102">
                  <c:v>0.26269410607220212</c:v>
                </c:pt>
                <c:pt idx="103">
                  <c:v>0.26202383297911269</c:v>
                </c:pt>
                <c:pt idx="104">
                  <c:v>0.26136168446396546</c:v>
                </c:pt>
                <c:pt idx="105">
                  <c:v>0.26070749770802598</c:v>
                </c:pt>
                <c:pt idx="106">
                  <c:v>0.26006111442434848</c:v>
                </c:pt>
                <c:pt idx="107">
                  <c:v>0.25942238069688145</c:v>
                </c:pt>
                <c:pt idx="108">
                  <c:v>0.25879114682650073</c:v>
                </c:pt>
                <c:pt idx="109">
                  <c:v>0.25816726718361965</c:v>
                </c:pt>
                <c:pt idx="110">
                  <c:v>0.25755060006704689</c:v>
                </c:pt>
                <c:pt idx="111">
                  <c:v>0.2569410075687818</c:v>
                </c:pt>
                <c:pt idx="112">
                  <c:v>0.25633835544445405</c:v>
                </c:pt>
                <c:pt idx="113">
                  <c:v>0.25574251298913109</c:v>
                </c:pt>
                <c:pt idx="114">
                  <c:v>0.2551533529182326</c:v>
                </c:pt>
                <c:pt idx="115">
                  <c:v>0.25457075125330597</c:v>
                </c:pt>
                <c:pt idx="116">
                  <c:v>0.25399458721242923</c:v>
                </c:pt>
                <c:pt idx="117">
                  <c:v>0.25342474310502261</c:v>
                </c:pt>
                <c:pt idx="118">
                  <c:v>0.25286110423085933</c:v>
                </c:pt>
                <c:pt idx="119">
                  <c:v>0.25230355878308053</c:v>
                </c:pt>
                <c:pt idx="120">
                  <c:v>0.25175199775502594</c:v>
                </c:pt>
                <c:pt idx="121">
                  <c:v>0.25120631485070677</c:v>
                </c:pt>
                <c:pt idx="122">
                  <c:v>0.25066640639875126</c:v>
                </c:pt>
                <c:pt idx="123">
                  <c:v>0.25013217126966625</c:v>
                </c:pt>
                <c:pt idx="124">
                  <c:v>0.24960351079626464</c:v>
                </c:pt>
                <c:pt idx="125">
                  <c:v>0.24908032869711583</c:v>
                </c:pt>
                <c:pt idx="126">
                  <c:v>0.24856253100288572</c:v>
                </c:pt>
                <c:pt idx="127">
                  <c:v>0.24805002598543635</c:v>
                </c:pt>
                <c:pt idx="128">
                  <c:v>0.24754272408956557</c:v>
                </c:pt>
                <c:pt idx="129">
                  <c:v>0.24704053786727076</c:v>
                </c:pt>
                <c:pt idx="130">
                  <c:v>0.24654338191442621</c:v>
                </c:pt>
                <c:pt idx="131">
                  <c:v>0.24605117280977157</c:v>
                </c:pt>
                <c:pt idx="132">
                  <c:v>0.24556382905611121</c:v>
                </c:pt>
                <c:pt idx="133">
                  <c:v>0.24508127102363064</c:v>
                </c:pt>
                <c:pt idx="134">
                  <c:v>0.24460342089524131</c:v>
                </c:pt>
                <c:pt idx="135">
                  <c:v>0.24413020261386748</c:v>
                </c:pt>
                <c:pt idx="136">
                  <c:v>0.24366154183159441</c:v>
                </c:pt>
                <c:pt idx="137">
                  <c:v>0.24319736586060109</c:v>
                </c:pt>
                <c:pt idx="138">
                  <c:v>0.24273760362580413</c:v>
                </c:pt>
                <c:pt idx="139">
                  <c:v>0.24228218561914128</c:v>
                </c:pt>
                <c:pt idx="140">
                  <c:v>0.24183104385543033</c:v>
                </c:pt>
                <c:pt idx="141">
                  <c:v>0.24138411182973685</c:v>
                </c:pt>
                <c:pt idx="142">
                  <c:v>0.24094132447619282</c:v>
                </c:pt>
                <c:pt idx="143">
                  <c:v>0.24050261812820611</c:v>
                </c:pt>
                <c:pt idx="144">
                  <c:v>0.2400679304800068</c:v>
                </c:pt>
                <c:pt idx="145">
                  <c:v>0.23963720054947746</c:v>
                </c:pt>
                <c:pt idx="146">
                  <c:v>0.23921036864221631</c:v>
                </c:pt>
                <c:pt idx="147">
                  <c:v>0.23878737631678601</c:v>
                </c:pt>
                <c:pt idx="148">
                  <c:v>0.23836816635110197</c:v>
                </c:pt>
                <c:pt idx="149">
                  <c:v>0.23795268270991576</c:v>
                </c:pt>
                <c:pt idx="150">
                  <c:v>0.23754087051335271</c:v>
                </c:pt>
                <c:pt idx="151">
                  <c:v>0.23713267600646221</c:v>
                </c:pt>
                <c:pt idx="152">
                  <c:v>0.23672804652974372</c:v>
                </c:pt>
                <c:pt idx="153">
                  <c:v>0.23632693049061082</c:v>
                </c:pt>
                <c:pt idx="154">
                  <c:v>0.23592927733575869</c:v>
                </c:pt>
                <c:pt idx="155">
                  <c:v>0.23553503752440147</c:v>
                </c:pt>
                <c:pt idx="156">
                  <c:v>0.23514416250234671</c:v>
                </c:pt>
                <c:pt idx="157">
                  <c:v>0.23475660467687698</c:v>
                </c:pt>
                <c:pt idx="158">
                  <c:v>0.23437231739240855</c:v>
                </c:pt>
                <c:pt idx="159">
                  <c:v>0.23399125490689893</c:v>
                </c:pt>
                <c:pt idx="160">
                  <c:v>0.23361337236897659</c:v>
                </c:pt>
                <c:pt idx="161">
                  <c:v>0.23323862579576624</c:v>
                </c:pt>
                <c:pt idx="162">
                  <c:v>0.23286697205138551</c:v>
                </c:pt>
                <c:pt idx="163">
                  <c:v>0.2324983688260884</c:v>
                </c:pt>
                <c:pt idx="164">
                  <c:v>0.23213277461603346</c:v>
                </c:pt>
                <c:pt idx="165">
                  <c:v>0.23177014870365384</c:v>
                </c:pt>
                <c:pt idx="166">
                  <c:v>0.23141045113860897</c:v>
                </c:pt>
                <c:pt idx="167">
                  <c:v>0.23105364271929693</c:v>
                </c:pt>
                <c:pt idx="168">
                  <c:v>0.23069968497490861</c:v>
                </c:pt>
                <c:pt idx="169">
                  <c:v>0.23034854014800465</c:v>
                </c:pt>
                <c:pt idx="170">
                  <c:v>0.2300001711775975</c:v>
                </c:pt>
                <c:pt idx="171">
                  <c:v>0.22965454168272129</c:v>
                </c:pt>
                <c:pt idx="172">
                  <c:v>0.22931161594647298</c:v>
                </c:pt>
                <c:pt idx="173">
                  <c:v>0.22897135890050865</c:v>
                </c:pt>
                <c:pt idx="174">
                  <c:v>0.22863373610998033</c:v>
                </c:pt>
                <c:pt idx="175">
                  <c:v>0.22829871375889796</c:v>
                </c:pt>
                <c:pt idx="176">
                  <c:v>0.22796625863590242</c:v>
                </c:pt>
                <c:pt idx="177">
                  <c:v>0.2276363381204371</c:v>
                </c:pt>
                <c:pt idx="178">
                  <c:v>0.22730892016930285</c:v>
                </c:pt>
                <c:pt idx="179">
                  <c:v>0.22698397330358616</c:v>
                </c:pt>
                <c:pt idx="180">
                  <c:v>0.22666146659594649</c:v>
                </c:pt>
                <c:pt idx="181">
                  <c:v>0.22634136965825233</c:v>
                </c:pt>
                <c:pt idx="182">
                  <c:v>0.22602365262955404</c:v>
                </c:pt>
                <c:pt idx="183">
                  <c:v>0.22570828616438321</c:v>
                </c:pt>
                <c:pt idx="184">
                  <c:v>0.22539524142136758</c:v>
                </c:pt>
                <c:pt idx="185">
                  <c:v>0.22508449005215203</c:v>
                </c:pt>
                <c:pt idx="186">
                  <c:v>0.22477600419061577</c:v>
                </c:pt>
                <c:pt idx="187">
                  <c:v>0.22446975644237599</c:v>
                </c:pt>
                <c:pt idx="188">
                  <c:v>0.22416571987456982</c:v>
                </c:pt>
                <c:pt idx="189">
                  <c:v>0.2238638680059053</c:v>
                </c:pt>
                <c:pt idx="190">
                  <c:v>0.22356417479697327</c:v>
                </c:pt>
                <c:pt idx="191">
                  <c:v>0.2232666146408121</c:v>
                </c:pt>
                <c:pt idx="192">
                  <c:v>0.22297116235371761</c:v>
                </c:pt>
                <c:pt idx="193">
                  <c:v>0.22267779316629024</c:v>
                </c:pt>
                <c:pt idx="194">
                  <c:v>0.22238648271471301</c:v>
                </c:pt>
                <c:pt idx="195">
                  <c:v>0.2220972070322525</c:v>
                </c:pt>
                <c:pt idx="196">
                  <c:v>0.22180994254097677</c:v>
                </c:pt>
                <c:pt idx="197">
                  <c:v>0.2215246660436832</c:v>
                </c:pt>
                <c:pt idx="198">
                  <c:v>0.22124135471603046</c:v>
                </c:pt>
                <c:pt idx="199">
                  <c:v>0.22095998609886808</c:v>
                </c:pt>
                <c:pt idx="200">
                  <c:v>0.22068053809075822</c:v>
                </c:pt>
                <c:pt idx="201">
                  <c:v>0.22040298894068339</c:v>
                </c:pt>
                <c:pt idx="202">
                  <c:v>0.22012731724093573</c:v>
                </c:pt>
                <c:pt idx="203">
                  <c:v>0.21985350192018099</c:v>
                </c:pt>
                <c:pt idx="204">
                  <c:v>0.21958152223669375</c:v>
                </c:pt>
                <c:pt idx="205">
                  <c:v>0.21931135777175753</c:v>
                </c:pt>
                <c:pt idx="206">
                  <c:v>0.21904298842322667</c:v>
                </c:pt>
                <c:pt idx="207">
                  <c:v>0.2187763943992429</c:v>
                </c:pt>
                <c:pt idx="208">
                  <c:v>0.21851155621210533</c:v>
                </c:pt>
                <c:pt idx="209">
                  <c:v>0.21824845467228632</c:v>
                </c:pt>
                <c:pt idx="210">
                  <c:v>0.21798707088259187</c:v>
                </c:pt>
                <c:pt idx="211">
                  <c:v>0.21772738623246002</c:v>
                </c:pt>
                <c:pt idx="212">
                  <c:v>0.21746938239239566</c:v>
                </c:pt>
                <c:pt idx="213">
                  <c:v>0.21721304130853614</c:v>
                </c:pt>
                <c:pt idx="214">
                  <c:v>0.21695834519734486</c:v>
                </c:pt>
                <c:pt idx="215">
                  <c:v>0.21670527654042948</c:v>
                </c:pt>
                <c:pt idx="216">
                  <c:v>0.21645381807948064</c:v>
                </c:pt>
                <c:pt idx="217">
                  <c:v>0.21620395281132862</c:v>
                </c:pt>
                <c:pt idx="218">
                  <c:v>0.21595566398311394</c:v>
                </c:pt>
                <c:pt idx="219">
                  <c:v>0.21570893508756972</c:v>
                </c:pt>
                <c:pt idx="220">
                  <c:v>0.2154637498584118</c:v>
                </c:pt>
                <c:pt idx="221">
                  <c:v>0.2152200922658345</c:v>
                </c:pt>
                <c:pt idx="222">
                  <c:v>0.21497794651210858</c:v>
                </c:pt>
                <c:pt idx="223">
                  <c:v>0.21473729702727926</c:v>
                </c:pt>
                <c:pt idx="224">
                  <c:v>0.21449812846496097</c:v>
                </c:pt>
                <c:pt idx="225">
                  <c:v>0.21426042569822701</c:v>
                </c:pt>
                <c:pt idx="226">
                  <c:v>0.21402417381559058</c:v>
                </c:pt>
                <c:pt idx="227">
                  <c:v>0.21378935811707611</c:v>
                </c:pt>
                <c:pt idx="228">
                  <c:v>0.21355596411037739</c:v>
                </c:pt>
                <c:pt idx="229">
                  <c:v>0.21332397750710055</c:v>
                </c:pt>
                <c:pt idx="230">
                  <c:v>0.21309338421909016</c:v>
                </c:pt>
                <c:pt idx="231">
                  <c:v>0.21286417035483562</c:v>
                </c:pt>
                <c:pt idx="232">
                  <c:v>0.21263632221595613</c:v>
                </c:pt>
                <c:pt idx="233">
                  <c:v>0.21240982629376221</c:v>
                </c:pt>
                <c:pt idx="234">
                  <c:v>0.21218466926589158</c:v>
                </c:pt>
                <c:pt idx="235">
                  <c:v>0.21196083799301813</c:v>
                </c:pt>
                <c:pt idx="236">
                  <c:v>0.21173831951563082</c:v>
                </c:pt>
                <c:pt idx="237">
                  <c:v>0.21151710105088245</c:v>
                </c:pt>
                <c:pt idx="238">
                  <c:v>0.21129716998950532</c:v>
                </c:pt>
                <c:pt idx="239">
                  <c:v>0.21107851389279231</c:v>
                </c:pt>
                <c:pt idx="240">
                  <c:v>0.21086112048964195</c:v>
                </c:pt>
                <c:pt idx="241">
                  <c:v>0.21064497767366622</c:v>
                </c:pt>
                <c:pt idx="242">
                  <c:v>0.21043007350035828</c:v>
                </c:pt>
                <c:pt idx="243">
                  <c:v>0.21021639618432053</c:v>
                </c:pt>
                <c:pt idx="244">
                  <c:v>0.21000393409654966</c:v>
                </c:pt>
                <c:pt idx="245">
                  <c:v>0.20979267576177829</c:v>
                </c:pt>
                <c:pt idx="246">
                  <c:v>0.20958260985587196</c:v>
                </c:pt>
                <c:pt idx="247">
                  <c:v>0.20937372520327935</c:v>
                </c:pt>
                <c:pt idx="248">
                  <c:v>0.20916601077453528</c:v>
                </c:pt>
                <c:pt idx="249">
                  <c:v>0.20895945568381441</c:v>
                </c:pt>
                <c:pt idx="250">
                  <c:v>0.20875404918653506</c:v>
                </c:pt>
                <c:pt idx="251">
                  <c:v>0.2085497806770118</c:v>
                </c:pt>
                <c:pt idx="252">
                  <c:v>0.2083466396861553</c:v>
                </c:pt>
                <c:pt idx="253">
                  <c:v>0.20814461587921856</c:v>
                </c:pt>
                <c:pt idx="254">
                  <c:v>0.20794369905358889</c:v>
                </c:pt>
                <c:pt idx="255">
                  <c:v>0.20774387913662326</c:v>
                </c:pt>
                <c:pt idx="256">
                  <c:v>0.20754514618352771</c:v>
                </c:pt>
                <c:pt idx="257">
                  <c:v>0.20734749037527836</c:v>
                </c:pt>
                <c:pt idx="258">
                  <c:v>0.20715090201658359</c:v>
                </c:pt>
                <c:pt idx="259">
                  <c:v>0.20695537153388679</c:v>
                </c:pt>
                <c:pt idx="260">
                  <c:v>0.20676088947340798</c:v>
                </c:pt>
                <c:pt idx="261">
                  <c:v>0.20656744649922404</c:v>
                </c:pt>
                <c:pt idx="262">
                  <c:v>0.20637503339138633</c:v>
                </c:pt>
                <c:pt idx="263">
                  <c:v>0.20618364104407491</c:v>
                </c:pt>
                <c:pt idx="264">
                  <c:v>0.20599326046378866</c:v>
                </c:pt>
                <c:pt idx="265">
                  <c:v>0.20580388276757006</c:v>
                </c:pt>
                <c:pt idx="266">
                  <c:v>0.20561549918126454</c:v>
                </c:pt>
                <c:pt idx="267">
                  <c:v>0.20542810103781306</c:v>
                </c:pt>
                <c:pt idx="268">
                  <c:v>0.20524167977557697</c:v>
                </c:pt>
                <c:pt idx="269">
                  <c:v>0.20505622693669545</c:v>
                </c:pt>
                <c:pt idx="270">
                  <c:v>0.20487173416547347</c:v>
                </c:pt>
                <c:pt idx="271">
                  <c:v>0.20468819320680087</c:v>
                </c:pt>
                <c:pt idx="272">
                  <c:v>0.2045055959046006</c:v>
                </c:pt>
                <c:pt idx="273">
                  <c:v>0.20432393420030662</c:v>
                </c:pt>
                <c:pt idx="274">
                  <c:v>0.20414320013137002</c:v>
                </c:pt>
                <c:pt idx="275">
                  <c:v>0.20396338582979312</c:v>
                </c:pt>
                <c:pt idx="276">
                  <c:v>0.20378448352069098</c:v>
                </c:pt>
                <c:pt idx="277">
                  <c:v>0.20360648552087918</c:v>
                </c:pt>
                <c:pt idx="278">
                  <c:v>0.20342938423748788</c:v>
                </c:pt>
                <c:pt idx="279">
                  <c:v>0.20325317216660177</c:v>
                </c:pt>
                <c:pt idx="280">
                  <c:v>0.20307784189192424</c:v>
                </c:pt>
                <c:pt idx="281">
                  <c:v>0.2029033860834667</c:v>
                </c:pt>
                <c:pt idx="282">
                  <c:v>0.20272979749626119</c:v>
                </c:pt>
                <c:pt idx="283">
                  <c:v>0.20255706896909687</c:v>
                </c:pt>
                <c:pt idx="284">
                  <c:v>0.20238519342327899</c:v>
                </c:pt>
                <c:pt idx="285">
                  <c:v>0.20221416386141058</c:v>
                </c:pt>
                <c:pt idx="286">
                  <c:v>0.20204397336619595</c:v>
                </c:pt>
                <c:pt idx="287">
                  <c:v>0.2018746150992653</c:v>
                </c:pt>
                <c:pt idx="288">
                  <c:v>0.20170608230002107</c:v>
                </c:pt>
                <c:pt idx="289">
                  <c:v>0.20153836828450403</c:v>
                </c:pt>
                <c:pt idx="290">
                  <c:v>0.20137146644428014</c:v>
                </c:pt>
                <c:pt idx="291">
                  <c:v>0.20120537024534685</c:v>
                </c:pt>
                <c:pt idx="292">
                  <c:v>0.20104007322705869</c:v>
                </c:pt>
                <c:pt idx="293">
                  <c:v>0.20087556900107129</c:v>
                </c:pt>
                <c:pt idx="294">
                  <c:v>0.20071185125030544</c:v>
                </c:pt>
                <c:pt idx="295">
                  <c:v>0.20054891372792705</c:v>
                </c:pt>
                <c:pt idx="296">
                  <c:v>0.20038675025634703</c:v>
                </c:pt>
                <c:pt idx="297">
                  <c:v>0.20022535472623659</c:v>
                </c:pt>
                <c:pt idx="298">
                  <c:v>0.20006472109556125</c:v>
                </c:pt>
                <c:pt idx="299">
                  <c:v>0.19990484338863077</c:v>
                </c:pt>
                <c:pt idx="300">
                  <c:v>0.1997457156951648</c:v>
                </c:pt>
                <c:pt idx="301">
                  <c:v>0.19958733216937602</c:v>
                </c:pt>
                <c:pt idx="302">
                  <c:v>0.19942968702906749</c:v>
                </c:pt>
                <c:pt idx="303">
                  <c:v>0.19927277455474654</c:v>
                </c:pt>
                <c:pt idx="304">
                  <c:v>0.19911658908875285</c:v>
                </c:pt>
                <c:pt idx="305">
                  <c:v>0.19896112503440178</c:v>
                </c:pt>
                <c:pt idx="306">
                  <c:v>0.19880637685514191</c:v>
                </c:pt>
                <c:pt idx="307">
                  <c:v>0.19865233907372709</c:v>
                </c:pt>
                <c:pt idx="308">
                  <c:v>0.19849900627140216</c:v>
                </c:pt>
                <c:pt idx="309">
                  <c:v>0.19834637308710204</c:v>
                </c:pt>
                <c:pt idx="310">
                  <c:v>0.19819443421666488</c:v>
                </c:pt>
                <c:pt idx="311">
                  <c:v>0.19804318441205726</c:v>
                </c:pt>
                <c:pt idx="312">
                  <c:v>0.19789261848061368</c:v>
                </c:pt>
                <c:pt idx="313">
                  <c:v>0.19774273128428688</c:v>
                </c:pt>
                <c:pt idx="314">
                  <c:v>0.19759351773891204</c:v>
                </c:pt>
                <c:pt idx="315">
                  <c:v>0.19744497281348222</c:v>
                </c:pt>
                <c:pt idx="316">
                  <c:v>0.19729709152943581</c:v>
                </c:pt>
                <c:pt idx="317">
                  <c:v>0.19714986895995601</c:v>
                </c:pt>
                <c:pt idx="318">
                  <c:v>0.19700330022928098</c:v>
                </c:pt>
                <c:pt idx="319">
                  <c:v>0.19685738051202603</c:v>
                </c:pt>
                <c:pt idx="320">
                  <c:v>0.19671210503251596</c:v>
                </c:pt>
                <c:pt idx="321">
                  <c:v>0.196567469064129</c:v>
                </c:pt>
                <c:pt idx="322">
                  <c:v>0.19642346792865062</c:v>
                </c:pt>
                <c:pt idx="323">
                  <c:v>0.19628009699563803</c:v>
                </c:pt>
                <c:pt idx="324">
                  <c:v>0.196137351681795</c:v>
                </c:pt>
                <c:pt idx="325">
                  <c:v>0.19599522745035608</c:v>
                </c:pt>
                <c:pt idx="326">
                  <c:v>0.19585371981048141</c:v>
                </c:pt>
                <c:pt idx="327">
                  <c:v>0.1957128243166604</c:v>
                </c:pt>
                <c:pt idx="328">
                  <c:v>0.19557253656812526</c:v>
                </c:pt>
                <c:pt idx="329">
                  <c:v>0.19543285220827378</c:v>
                </c:pt>
                <c:pt idx="330">
                  <c:v>0.19529376692410089</c:v>
                </c:pt>
                <c:pt idx="331">
                  <c:v>0.19515527644563938</c:v>
                </c:pt>
                <c:pt idx="332">
                  <c:v>0.19501737654540946</c:v>
                </c:pt>
                <c:pt idx="333">
                  <c:v>0.19488006303787664</c:v>
                </c:pt>
                <c:pt idx="334">
                  <c:v>0.19474333177891795</c:v>
                </c:pt>
                <c:pt idx="335">
                  <c:v>0.19460717866529698</c:v>
                </c:pt>
                <c:pt idx="336">
                  <c:v>0.19447159963414656</c:v>
                </c:pt>
                <c:pt idx="337">
                  <c:v>0.19433659066245934</c:v>
                </c:pt>
                <c:pt idx="338">
                  <c:v>0.1942021477665869</c:v>
                </c:pt>
                <c:pt idx="339">
                  <c:v>0.1940682670017454</c:v>
                </c:pt>
                <c:pt idx="340">
                  <c:v>0.19393494446153003</c:v>
                </c:pt>
                <c:pt idx="341">
                  <c:v>0.1938021762774359</c:v>
                </c:pt>
                <c:pt idx="342">
                  <c:v>0.19366995861838654</c:v>
                </c:pt>
                <c:pt idx="343">
                  <c:v>0.19353828769027015</c:v>
                </c:pt>
                <c:pt idx="344">
                  <c:v>0.19340715973548162</c:v>
                </c:pt>
                <c:pt idx="345">
                  <c:v>0.19327657103247231</c:v>
                </c:pt>
                <c:pt idx="346">
                  <c:v>0.19314651789530679</c:v>
                </c:pt>
                <c:pt idx="347">
                  <c:v>0.19301699667322547</c:v>
                </c:pt>
                <c:pt idx="348">
                  <c:v>0.19288800375021437</c:v>
                </c:pt>
                <c:pt idx="349">
                  <c:v>0.19275953554458103</c:v>
                </c:pt>
                <c:pt idx="350">
                  <c:v>0.19263158850853679</c:v>
                </c:pt>
                <c:pt idx="351">
                  <c:v>0.19250415912778535</c:v>
                </c:pt>
                <c:pt idx="352">
                  <c:v>0.19237724392111721</c:v>
                </c:pt>
                <c:pt idx="353">
                  <c:v>0.19225083944001059</c:v>
                </c:pt>
                <c:pt idx="354">
                  <c:v>0.19212494226823729</c:v>
                </c:pt>
                <c:pt idx="355">
                  <c:v>0.19199954902147531</c:v>
                </c:pt>
                <c:pt idx="356">
                  <c:v>0.19187465634692677</c:v>
                </c:pt>
                <c:pt idx="357">
                  <c:v>0.19175026092294117</c:v>
                </c:pt>
                <c:pt idx="358">
                  <c:v>0.19162635945864442</c:v>
                </c:pt>
                <c:pt idx="359">
                  <c:v>0.19150294869357321</c:v>
                </c:pt>
                <c:pt idx="360">
                  <c:v>0.19138002539731455</c:v>
                </c:pt>
                <c:pt idx="361">
                  <c:v>0.1912575863691508</c:v>
                </c:pt>
                <c:pt idx="362">
                  <c:v>0.19113562843770954</c:v>
                </c:pt>
                <c:pt idx="363">
                  <c:v>0.19101414846061832</c:v>
                </c:pt>
                <c:pt idx="364">
                  <c:v>0.19089314332416493</c:v>
                </c:pt>
                <c:pt idx="365">
                  <c:v>0.19077260994296208</c:v>
                </c:pt>
                <c:pt idx="366">
                  <c:v>0.19065254525961706</c:v>
                </c:pt>
                <c:pt idx="367">
                  <c:v>0.19053294624440559</c:v>
                </c:pt>
                <c:pt idx="368">
                  <c:v>0.19041380989495132</c:v>
                </c:pt>
                <c:pt idx="369">
                  <c:v>0.19029513323590896</c:v>
                </c:pt>
                <c:pt idx="370">
                  <c:v>0.19017691331865194</c:v>
                </c:pt>
                <c:pt idx="371">
                  <c:v>0.19005914722096523</c:v>
                </c:pt>
                <c:pt idx="372">
                  <c:v>0.18994183204674159</c:v>
                </c:pt>
                <c:pt idx="373">
                  <c:v>0.18982496492568257</c:v>
                </c:pt>
                <c:pt idx="374">
                  <c:v>0.18970854301300349</c:v>
                </c:pt>
                <c:pt idx="375">
                  <c:v>0.18959256348914255</c:v>
                </c:pt>
                <c:pt idx="376">
                  <c:v>0.18947702355947427</c:v>
                </c:pt>
                <c:pt idx="377">
                  <c:v>0.18936192045402625</c:v>
                </c:pt>
                <c:pt idx="378">
                  <c:v>0.18924725142720067</c:v>
                </c:pt>
                <c:pt idx="379">
                  <c:v>0.18913301375749897</c:v>
                </c:pt>
                <c:pt idx="380">
                  <c:v>0.18901920474725051</c:v>
                </c:pt>
                <c:pt idx="381">
                  <c:v>0.18890582172234535</c:v>
                </c:pt>
                <c:pt idx="382">
                  <c:v>0.18879286203196993</c:v>
                </c:pt>
                <c:pt idx="383">
                  <c:v>0.18868032304834703</c:v>
                </c:pt>
                <c:pt idx="384">
                  <c:v>0.1885682021664789</c:v>
                </c:pt>
                <c:pt idx="385">
                  <c:v>0.1884564968038942</c:v>
                </c:pt>
                <c:pt idx="386">
                  <c:v>0.18834520440039781</c:v>
                </c:pt>
                <c:pt idx="387">
                  <c:v>0.1882343224178247</c:v>
                </c:pt>
                <c:pt idx="388">
                  <c:v>0.18812384833979662</c:v>
                </c:pt>
                <c:pt idx="389">
                  <c:v>0.18801377967148253</c:v>
                </c:pt>
                <c:pt idx="390">
                  <c:v>0.18790411393936135</c:v>
                </c:pt>
                <c:pt idx="391">
                  <c:v>0.18779484869098928</c:v>
                </c:pt>
                <c:pt idx="392">
                  <c:v>0.18768598149476889</c:v>
                </c:pt>
                <c:pt idx="393">
                  <c:v>0.18757750993972203</c:v>
                </c:pt>
                <c:pt idx="394">
                  <c:v>0.18746943163526547</c:v>
                </c:pt>
                <c:pt idx="395">
                  <c:v>0.18736174421098978</c:v>
                </c:pt>
                <c:pt idx="396">
                  <c:v>0.18725444531644103</c:v>
                </c:pt>
                <c:pt idx="397">
                  <c:v>0.18714753262090483</c:v>
                </c:pt>
                <c:pt idx="398">
                  <c:v>0.18704100381319444</c:v>
                </c:pt>
                <c:pt idx="399">
                  <c:v>0.18693485660144027</c:v>
                </c:pt>
                <c:pt idx="400">
                  <c:v>0.18682908871288306</c:v>
                </c:pt>
                <c:pt idx="401">
                  <c:v>0.18672369789366955</c:v>
                </c:pt>
                <c:pt idx="402">
                  <c:v>0.18661868190865058</c:v>
                </c:pt>
                <c:pt idx="403">
                  <c:v>0.18651403854118223</c:v>
                </c:pt>
                <c:pt idx="404">
                  <c:v>0.18640976559292902</c:v>
                </c:pt>
                <c:pt idx="405">
                  <c:v>0.1863058608836701</c:v>
                </c:pt>
                <c:pt idx="406">
                  <c:v>0.18620232225110789</c:v>
                </c:pt>
                <c:pt idx="407">
                  <c:v>0.18609914755067886</c:v>
                </c:pt>
                <c:pt idx="408">
                  <c:v>0.18599633465536713</c:v>
                </c:pt>
                <c:pt idx="409">
                  <c:v>0.18589388145552013</c:v>
                </c:pt>
                <c:pt idx="410">
                  <c:v>0.18579178585866696</c:v>
                </c:pt>
                <c:pt idx="411">
                  <c:v>0.18569004578933884</c:v>
                </c:pt>
                <c:pt idx="412">
                  <c:v>0.18558865918889181</c:v>
                </c:pt>
                <c:pt idx="413">
                  <c:v>0.18548762401533186</c:v>
                </c:pt>
                <c:pt idx="414">
                  <c:v>0.1853869382431424</c:v>
                </c:pt>
                <c:pt idx="415">
                  <c:v>0.18528659986311308</c:v>
                </c:pt>
                <c:pt idx="416">
                  <c:v>0.18518660688217214</c:v>
                </c:pt>
                <c:pt idx="417">
                  <c:v>0.18508695732321967</c:v>
                </c:pt>
                <c:pt idx="418">
                  <c:v>0.18498764922496352</c:v>
                </c:pt>
                <c:pt idx="419">
                  <c:v>0.18488868064175729</c:v>
                </c:pt>
                <c:pt idx="420">
                  <c:v>0.18479004964343998</c:v>
                </c:pt>
                <c:pt idx="421">
                  <c:v>0.18469175431517809</c:v>
                </c:pt>
                <c:pt idx="422">
                  <c:v>0.18459379275730947</c:v>
                </c:pt>
                <c:pt idx="423">
                  <c:v>0.18449616308518912</c:v>
                </c:pt>
                <c:pt idx="424">
                  <c:v>0.18439886342903669</c:v>
                </c:pt>
                <c:pt idx="425">
                  <c:v>0.1843018919337864</c:v>
                </c:pt>
                <c:pt idx="426">
                  <c:v>0.18420524675893829</c:v>
                </c:pt>
                <c:pt idx="427">
                  <c:v>0.18410892607841145</c:v>
                </c:pt>
                <c:pt idx="428">
                  <c:v>0.18401292808039946</c:v>
                </c:pt>
                <c:pt idx="429">
                  <c:v>0.18391725096722666</c:v>
                </c:pt>
                <c:pt idx="430">
                  <c:v>0.18382189295520743</c:v>
                </c:pt>
                <c:pt idx="431">
                  <c:v>0.18372685227450603</c:v>
                </c:pt>
                <c:pt idx="432">
                  <c:v>0.18363212716899863</c:v>
                </c:pt>
                <c:pt idx="433">
                  <c:v>0.18353771589613752</c:v>
                </c:pt>
                <c:pt idx="434">
                  <c:v>0.18344361672681594</c:v>
                </c:pt>
                <c:pt idx="435">
                  <c:v>0.18334982794523533</c:v>
                </c:pt>
                <c:pt idx="436">
                  <c:v>0.18325634784877376</c:v>
                </c:pt>
                <c:pt idx="437">
                  <c:v>0.18316317474785648</c:v>
                </c:pt>
                <c:pt idx="438">
                  <c:v>0.18307030696582716</c:v>
                </c:pt>
                <c:pt idx="439">
                  <c:v>0.18297774283882146</c:v>
                </c:pt>
                <c:pt idx="440">
                  <c:v>0.18288548071564195</c:v>
                </c:pt>
                <c:pt idx="441">
                  <c:v>0.1827935189576339</c:v>
                </c:pt>
                <c:pt idx="442">
                  <c:v>0.18270185593856367</c:v>
                </c:pt>
                <c:pt idx="443">
                  <c:v>0.18261049004449739</c:v>
                </c:pt>
                <c:pt idx="444">
                  <c:v>0.18251941967368202</c:v>
                </c:pt>
                <c:pt idx="445">
                  <c:v>0.18242864323642705</c:v>
                </c:pt>
                <c:pt idx="446">
                  <c:v>0.18233815915498824</c:v>
                </c:pt>
                <c:pt idx="447">
                  <c:v>0.18224796586345224</c:v>
                </c:pt>
                <c:pt idx="448">
                  <c:v>0.18215806180762301</c:v>
                </c:pt>
                <c:pt idx="449">
                  <c:v>0.18206844544490908</c:v>
                </c:pt>
                <c:pt idx="450">
                  <c:v>0.18197911524421237</c:v>
                </c:pt>
                <c:pt idx="451">
                  <c:v>0.18189006968581869</c:v>
                </c:pt>
                <c:pt idx="452">
                  <c:v>0.18180130726128874</c:v>
                </c:pt>
                <c:pt idx="453">
                  <c:v>0.18171282647335091</c:v>
                </c:pt>
                <c:pt idx="454">
                  <c:v>0.18162462583579542</c:v>
                </c:pt>
                <c:pt idx="455">
                  <c:v>0.18153670387336907</c:v>
                </c:pt>
                <c:pt idx="456">
                  <c:v>0.18144905912167197</c:v>
                </c:pt>
                <c:pt idx="457">
                  <c:v>0.18136169012705489</c:v>
                </c:pt>
                <c:pt idx="458">
                  <c:v>0.18127459544651803</c:v>
                </c:pt>
                <c:pt idx="459">
                  <c:v>0.18118777364761091</c:v>
                </c:pt>
                <c:pt idx="460">
                  <c:v>0.18110122330833367</c:v>
                </c:pt>
                <c:pt idx="461">
                  <c:v>0.18101494301703877</c:v>
                </c:pt>
                <c:pt idx="462">
                  <c:v>0.18092893137233465</c:v>
                </c:pt>
                <c:pt idx="463">
                  <c:v>0.18084318698299007</c:v>
                </c:pt>
                <c:pt idx="464">
                  <c:v>0.18075770846783951</c:v>
                </c:pt>
                <c:pt idx="465">
                  <c:v>0.18067249445568978</c:v>
                </c:pt>
                <c:pt idx="466">
                  <c:v>0.18058754358522763</c:v>
                </c:pt>
                <c:pt idx="467">
                  <c:v>0.18050285450492842</c:v>
                </c:pt>
                <c:pt idx="468">
                  <c:v>0.18041842587296575</c:v>
                </c:pt>
                <c:pt idx="469">
                  <c:v>0.1803342563571223</c:v>
                </c:pt>
                <c:pt idx="470">
                  <c:v>0.18025034463470135</c:v>
                </c:pt>
                <c:pt idx="471">
                  <c:v>0.18016668939243966</c:v>
                </c:pt>
                <c:pt idx="472">
                  <c:v>0.18008328932642104</c:v>
                </c:pt>
                <c:pt idx="473">
                  <c:v>0.18000014314199103</c:v>
                </c:pt>
                <c:pt idx="474">
                  <c:v>0.17991724955367244</c:v>
                </c:pt>
                <c:pt idx="475">
                  <c:v>0.17983460728508194</c:v>
                </c:pt>
                <c:pt idx="476">
                  <c:v>0.17975221506884745</c:v>
                </c:pt>
                <c:pt idx="477">
                  <c:v>0.1796700716465266</c:v>
                </c:pt>
                <c:pt idx="478">
                  <c:v>0.17958817576852598</c:v>
                </c:pt>
                <c:pt idx="479">
                  <c:v>0.17950652619402108</c:v>
                </c:pt>
                <c:pt idx="480">
                  <c:v>0.17942512169087771</c:v>
                </c:pt>
                <c:pt idx="481">
                  <c:v>0.17934396103557365</c:v>
                </c:pt>
                <c:pt idx="482">
                  <c:v>0.17926304301312135</c:v>
                </c:pt>
                <c:pt idx="483">
                  <c:v>0.17918236641699187</c:v>
                </c:pt>
                <c:pt idx="484">
                  <c:v>0.17910193004903896</c:v>
                </c:pt>
                <c:pt idx="485">
                  <c:v>0.17902173271942445</c:v>
                </c:pt>
                <c:pt idx="486">
                  <c:v>0.17894177324654453</c:v>
                </c:pt>
                <c:pt idx="487">
                  <c:v>0.17886205045695619</c:v>
                </c:pt>
                <c:pt idx="488">
                  <c:v>0.17878256318530544</c:v>
                </c:pt>
                <c:pt idx="489">
                  <c:v>0.17870331027425518</c:v>
                </c:pt>
                <c:pt idx="490">
                  <c:v>0.17862429057441495</c:v>
                </c:pt>
                <c:pt idx="491">
                  <c:v>0.1785455029442706</c:v>
                </c:pt>
                <c:pt idx="492">
                  <c:v>0.17846694625011505</c:v>
                </c:pt>
                <c:pt idx="493">
                  <c:v>0.17838861936598005</c:v>
                </c:pt>
                <c:pt idx="494">
                  <c:v>0.17831052117356783</c:v>
                </c:pt>
                <c:pt idx="495">
                  <c:v>0.17823265056218479</c:v>
                </c:pt>
                <c:pt idx="496">
                  <c:v>0.17815500642867452</c:v>
                </c:pt>
                <c:pt idx="497">
                  <c:v>0.17807758767735249</c:v>
                </c:pt>
                <c:pt idx="498">
                  <c:v>0.17800039321994096</c:v>
                </c:pt>
                <c:pt idx="499">
                  <c:v>0.1779234219755049</c:v>
                </c:pt>
                <c:pt idx="500">
                  <c:v>0.17784667287038813</c:v>
                </c:pt>
                <c:pt idx="501">
                  <c:v>0.17777014483815085</c:v>
                </c:pt>
                <c:pt idx="502">
                  <c:v>0.1776938368195069</c:v>
                </c:pt>
                <c:pt idx="503">
                  <c:v>0.17761774776226258</c:v>
                </c:pt>
                <c:pt idx="504">
                  <c:v>0.17754187662125562</c:v>
                </c:pt>
                <c:pt idx="505">
                  <c:v>0.17746622235829457</c:v>
                </c:pt>
                <c:pt idx="506">
                  <c:v>0.17739078394209956</c:v>
                </c:pt>
                <c:pt idx="507">
                  <c:v>0.17731556034824317</c:v>
                </c:pt>
                <c:pt idx="508">
                  <c:v>0.17724055055909171</c:v>
                </c:pt>
                <c:pt idx="509">
                  <c:v>0.17716575356374778</c:v>
                </c:pt>
                <c:pt idx="510">
                  <c:v>0.17709116835799271</c:v>
                </c:pt>
                <c:pt idx="511">
                  <c:v>0.1770167939442302</c:v>
                </c:pt>
                <c:pt idx="512">
                  <c:v>0.17694262933143026</c:v>
                </c:pt>
                <c:pt idx="513">
                  <c:v>0.17686867353507341</c:v>
                </c:pt>
                <c:pt idx="514">
                  <c:v>0.17679492557709625</c:v>
                </c:pt>
                <c:pt idx="515">
                  <c:v>0.17672138448583682</c:v>
                </c:pt>
                <c:pt idx="516">
                  <c:v>0.17664804929598099</c:v>
                </c:pt>
                <c:pt idx="517">
                  <c:v>0.17657491904850919</c:v>
                </c:pt>
                <c:pt idx="518">
                  <c:v>0.17650199279064366</c:v>
                </c:pt>
                <c:pt idx="519">
                  <c:v>0.17642926957579647</c:v>
                </c:pt>
                <c:pt idx="520">
                  <c:v>0.17635674846351768</c:v>
                </c:pt>
                <c:pt idx="521">
                  <c:v>0.17628442851944459</c:v>
                </c:pt>
                <c:pt idx="522">
                  <c:v>0.17621230881525091</c:v>
                </c:pt>
                <c:pt idx="523">
                  <c:v>0.17614038842859681</c:v>
                </c:pt>
                <c:pt idx="524">
                  <c:v>0.17606866644307934</c:v>
                </c:pt>
                <c:pt idx="525">
                  <c:v>0.17599714194818339</c:v>
                </c:pt>
                <c:pt idx="526">
                  <c:v>0.17592581403923324</c:v>
                </c:pt>
                <c:pt idx="527">
                  <c:v>0.17585468181734437</c:v>
                </c:pt>
                <c:pt idx="528">
                  <c:v>0.175783744389376</c:v>
                </c:pt>
                <c:pt idx="529">
                  <c:v>0.17571300086788383</c:v>
                </c:pt>
                <c:pt idx="530">
                  <c:v>0.17564245037107351</c:v>
                </c:pt>
                <c:pt idx="531">
                  <c:v>0.17557209202275448</c:v>
                </c:pt>
                <c:pt idx="532">
                  <c:v>0.17550192495229439</c:v>
                </c:pt>
                <c:pt idx="533">
                  <c:v>0.17543194829457354</c:v>
                </c:pt>
                <c:pt idx="534">
                  <c:v>0.17536216118994041</c:v>
                </c:pt>
                <c:pt idx="535">
                  <c:v>0.17529256278416688</c:v>
                </c:pt>
                <c:pt idx="536">
                  <c:v>0.17522315222840495</c:v>
                </c:pt>
                <c:pt idx="537">
                  <c:v>0.17515392867914273</c:v>
                </c:pt>
                <c:pt idx="538">
                  <c:v>0.17508489129816138</c:v>
                </c:pt>
                <c:pt idx="539">
                  <c:v>0.17501603925249298</c:v>
                </c:pt>
                <c:pt idx="540">
                  <c:v>0.17494737171437769</c:v>
                </c:pt>
                <c:pt idx="541">
                  <c:v>0.17487888786122244</c:v>
                </c:pt>
                <c:pt idx="542">
                  <c:v>0.17481058687555934</c:v>
                </c:pt>
                <c:pt idx="543">
                  <c:v>0.17474246794500456</c:v>
                </c:pt>
                <c:pt idx="544">
                  <c:v>0.17467453026221808</c:v>
                </c:pt>
                <c:pt idx="545">
                  <c:v>0.17460677302486324</c:v>
                </c:pt>
                <c:pt idx="546">
                  <c:v>0.17453919543556698</c:v>
                </c:pt>
                <c:pt idx="547">
                  <c:v>0.17447179670188054</c:v>
                </c:pt>
                <c:pt idx="548">
                  <c:v>0.17440457603624035</c:v>
                </c:pt>
                <c:pt idx="549">
                  <c:v>0.17433753265592927</c:v>
                </c:pt>
                <c:pt idx="550">
                  <c:v>0.17427066578303868</c:v>
                </c:pt>
                <c:pt idx="551">
                  <c:v>0.17420397464443008</c:v>
                </c:pt>
                <c:pt idx="552">
                  <c:v>0.17413745847169781</c:v>
                </c:pt>
                <c:pt idx="553">
                  <c:v>0.17407111650113205</c:v>
                </c:pt>
                <c:pt idx="554">
                  <c:v>0.17400494797368149</c:v>
                </c:pt>
                <c:pt idx="555">
                  <c:v>0.17393895213491739</c:v>
                </c:pt>
                <c:pt idx="556">
                  <c:v>0.17387312823499701</c:v>
                </c:pt>
                <c:pt idx="557">
                  <c:v>0.17380747552862819</c:v>
                </c:pt>
                <c:pt idx="558">
                  <c:v>0.17374199327503356</c:v>
                </c:pt>
                <c:pt idx="559">
                  <c:v>0.17367668073791584</c:v>
                </c:pt>
                <c:pt idx="560">
                  <c:v>0.1736115371854226</c:v>
                </c:pt>
                <c:pt idx="561">
                  <c:v>0.17354656189011231</c:v>
                </c:pt>
                <c:pt idx="562">
                  <c:v>0.17348175412891975</c:v>
                </c:pt>
                <c:pt idx="563">
                  <c:v>0.17341711318312258</c:v>
                </c:pt>
                <c:pt idx="564">
                  <c:v>0.17335263833830755</c:v>
                </c:pt>
                <c:pt idx="565">
                  <c:v>0.17328832888433779</c:v>
                </c:pt>
                <c:pt idx="566">
                  <c:v>0.17322418411531937</c:v>
                </c:pt>
                <c:pt idx="567">
                  <c:v>0.1731602033295693</c:v>
                </c:pt>
                <c:pt idx="568">
                  <c:v>0.17309638582958287</c:v>
                </c:pt>
                <c:pt idx="569">
                  <c:v>0.17303273092200205</c:v>
                </c:pt>
                <c:pt idx="570">
                  <c:v>0.17296923791758356</c:v>
                </c:pt>
                <c:pt idx="571">
                  <c:v>0.17290590613116774</c:v>
                </c:pt>
                <c:pt idx="572">
                  <c:v>0.17284273488164748</c:v>
                </c:pt>
                <c:pt idx="573">
                  <c:v>0.17277972349193729</c:v>
                </c:pt>
                <c:pt idx="574">
                  <c:v>0.17271687128894289</c:v>
                </c:pt>
                <c:pt idx="575">
                  <c:v>0.17265417760353119</c:v>
                </c:pt>
                <c:pt idx="576">
                  <c:v>0.17259164177050007</c:v>
                </c:pt>
                <c:pt idx="577">
                  <c:v>0.17252926312854905</c:v>
                </c:pt>
                <c:pt idx="578">
                  <c:v>0.1724670410202496</c:v>
                </c:pt>
                <c:pt idx="579">
                  <c:v>0.1724049747920163</c:v>
                </c:pt>
                <c:pt idx="580">
                  <c:v>0.17234306379407782</c:v>
                </c:pt>
                <c:pt idx="581">
                  <c:v>0.17228130738044858</c:v>
                </c:pt>
                <c:pt idx="582">
                  <c:v>0.1722197049089001</c:v>
                </c:pt>
                <c:pt idx="583">
                  <c:v>0.17215825574093332</c:v>
                </c:pt>
                <c:pt idx="584">
                  <c:v>0.1720969592417505</c:v>
                </c:pt>
                <c:pt idx="585">
                  <c:v>0.17203581478022789</c:v>
                </c:pt>
                <c:pt idx="586">
                  <c:v>0.17197482172888826</c:v>
                </c:pt>
                <c:pt idx="587">
                  <c:v>0.17191397946387399</c:v>
                </c:pt>
                <c:pt idx="588">
                  <c:v>0.17185328736492034</c:v>
                </c:pt>
                <c:pt idx="589">
                  <c:v>0.17179274481532847</c:v>
                </c:pt>
                <c:pt idx="590">
                  <c:v>0.1717323512019398</c:v>
                </c:pt>
                <c:pt idx="591">
                  <c:v>0.17167210591510929</c:v>
                </c:pt>
                <c:pt idx="592">
                  <c:v>0.17161200834868004</c:v>
                </c:pt>
                <c:pt idx="593">
                  <c:v>0.17155205789995726</c:v>
                </c:pt>
                <c:pt idx="594">
                  <c:v>0.17149225396968334</c:v>
                </c:pt>
                <c:pt idx="595">
                  <c:v>0.17143259596201238</c:v>
                </c:pt>
                <c:pt idx="596">
                  <c:v>0.17137308328448536</c:v>
                </c:pt>
                <c:pt idx="597">
                  <c:v>0.17131371534800538</c:v>
                </c:pt>
                <c:pt idx="598">
                  <c:v>0.17125449156681327</c:v>
                </c:pt>
                <c:pt idx="599">
                  <c:v>0.17119541135846306</c:v>
                </c:pt>
                <c:pt idx="600">
                  <c:v>0.17113647414379843</c:v>
                </c:pt>
                <c:pt idx="601">
                  <c:v>0.17107767934692827</c:v>
                </c:pt>
                <c:pt idx="602">
                  <c:v>0.17101902639520342</c:v>
                </c:pt>
                <c:pt idx="603">
                  <c:v>0.17096051471919316</c:v>
                </c:pt>
                <c:pt idx="604">
                  <c:v>0.17090214375266194</c:v>
                </c:pt>
                <c:pt idx="605">
                  <c:v>0.1708439129325463</c:v>
                </c:pt>
                <c:pt idx="606">
                  <c:v>0.17078582169893242</c:v>
                </c:pt>
                <c:pt idx="607">
                  <c:v>0.17072786949503305</c:v>
                </c:pt>
                <c:pt idx="608">
                  <c:v>0.17067005576716524</c:v>
                </c:pt>
                <c:pt idx="609">
                  <c:v>0.17061237996472833</c:v>
                </c:pt>
                <c:pt idx="610">
                  <c:v>0.17055484154018177</c:v>
                </c:pt>
                <c:pt idx="611">
                  <c:v>0.17049743994902317</c:v>
                </c:pt>
                <c:pt idx="612">
                  <c:v>0.1704401746497668</c:v>
                </c:pt>
                <c:pt idx="613">
                  <c:v>0.17038304510392205</c:v>
                </c:pt>
                <c:pt idx="614">
                  <c:v>0.17032605077597246</c:v>
                </c:pt>
                <c:pt idx="615">
                  <c:v>0.17026919113335418</c:v>
                </c:pt>
                <c:pt idx="616">
                  <c:v>0.17021246564643533</c:v>
                </c:pt>
                <c:pt idx="617">
                  <c:v>0.17015587378849539</c:v>
                </c:pt>
                <c:pt idx="618">
                  <c:v>0.17009941503570419</c:v>
                </c:pt>
                <c:pt idx="619">
                  <c:v>0.17004308886710223</c:v>
                </c:pt>
                <c:pt idx="620">
                  <c:v>0.16998689476457987</c:v>
                </c:pt>
                <c:pt idx="621">
                  <c:v>0.16993083221285765</c:v>
                </c:pt>
                <c:pt idx="622">
                  <c:v>0.16987490069946637</c:v>
                </c:pt>
                <c:pt idx="623">
                  <c:v>0.16981909971472742</c:v>
                </c:pt>
                <c:pt idx="624">
                  <c:v>0.16976342875173311</c:v>
                </c:pt>
                <c:pt idx="625">
                  <c:v>0.1697078873063278</c:v>
                </c:pt>
                <c:pt idx="626">
                  <c:v>0.16965247487708801</c:v>
                </c:pt>
                <c:pt idx="627">
                  <c:v>0.16959719096530418</c:v>
                </c:pt>
                <c:pt idx="628">
                  <c:v>0.16954203507496113</c:v>
                </c:pt>
                <c:pt idx="629">
                  <c:v>0.16948700671271982</c:v>
                </c:pt>
                <c:pt idx="630">
                  <c:v>0.16943210538789871</c:v>
                </c:pt>
                <c:pt idx="631">
                  <c:v>0.16937733061245519</c:v>
                </c:pt>
                <c:pt idx="632">
                  <c:v>0.16932268190096778</c:v>
                </c:pt>
                <c:pt idx="633">
                  <c:v>0.16926815877061749</c:v>
                </c:pt>
                <c:pt idx="634">
                  <c:v>0.16921376074117045</c:v>
                </c:pt>
                <c:pt idx="635">
                  <c:v>0.16915948733495972</c:v>
                </c:pt>
                <c:pt idx="636">
                  <c:v>0.16910533807686812</c:v>
                </c:pt>
                <c:pt idx="637">
                  <c:v>0.16905131249431019</c:v>
                </c:pt>
                <c:pt idx="638">
                  <c:v>0.16899741011721542</c:v>
                </c:pt>
                <c:pt idx="639">
                  <c:v>0.1689436304780107</c:v>
                </c:pt>
                <c:pt idx="640">
                  <c:v>0.16888997311160342</c:v>
                </c:pt>
                <c:pt idx="641">
                  <c:v>0.1688364375553647</c:v>
                </c:pt>
                <c:pt idx="642">
                  <c:v>0.16878302334911233</c:v>
                </c:pt>
                <c:pt idx="643">
                  <c:v>0.16872973003509442</c:v>
                </c:pt>
                <c:pt idx="644">
                  <c:v>0.16867655715797286</c:v>
                </c:pt>
                <c:pt idx="645">
                  <c:v>0.16862350426480693</c:v>
                </c:pt>
                <c:pt idx="646">
                  <c:v>0.16857057090503713</c:v>
                </c:pt>
                <c:pt idx="647">
                  <c:v>0.16851775663046911</c:v>
                </c:pt>
                <c:pt idx="648">
                  <c:v>0.16846506099525771</c:v>
                </c:pt>
                <c:pt idx="649">
                  <c:v>0.16841248355589117</c:v>
                </c:pt>
                <c:pt idx="650">
                  <c:v>0.16836002387117546</c:v>
                </c:pt>
                <c:pt idx="651">
                  <c:v>0.16830768150221861</c:v>
                </c:pt>
                <c:pt idx="652">
                  <c:v>0.16825545601241571</c:v>
                </c:pt>
                <c:pt idx="653">
                  <c:v>0.16820334696743289</c:v>
                </c:pt>
                <c:pt idx="654">
                  <c:v>0.16815135393519282</c:v>
                </c:pt>
                <c:pt idx="655">
                  <c:v>0.16809947648585927</c:v>
                </c:pt>
                <c:pt idx="656">
                  <c:v>0.16804771419182257</c:v>
                </c:pt>
                <c:pt idx="657">
                  <c:v>0.16799606662768418</c:v>
                </c:pt>
                <c:pt idx="658">
                  <c:v>0.16794453337024273</c:v>
                </c:pt>
                <c:pt idx="659">
                  <c:v>0.16789311399847884</c:v>
                </c:pt>
                <c:pt idx="660">
                  <c:v>0.16784180809354105</c:v>
                </c:pt>
                <c:pt idx="661">
                  <c:v>0.1677906152387314</c:v>
                </c:pt>
                <c:pt idx="662">
                  <c:v>0.16773953501949115</c:v>
                </c:pt>
                <c:pt idx="663">
                  <c:v>0.16768856702338675</c:v>
                </c:pt>
                <c:pt idx="664">
                  <c:v>0.16763771084009579</c:v>
                </c:pt>
                <c:pt idx="665">
                  <c:v>0.16758696606139326</c:v>
                </c:pt>
                <c:pt idx="666">
                  <c:v>0.16753633228113757</c:v>
                </c:pt>
                <c:pt idx="667">
                  <c:v>0.16748580909525712</c:v>
                </c:pt>
                <c:pt idx="668">
                  <c:v>0.16743539610173658</c:v>
                </c:pt>
                <c:pt idx="669">
                  <c:v>0.16738509290060352</c:v>
                </c:pt>
                <c:pt idx="670">
                  <c:v>0.16733489909391519</c:v>
                </c:pt>
                <c:pt idx="671">
                  <c:v>0.1672848142857451</c:v>
                </c:pt>
                <c:pt idx="672">
                  <c:v>0.1672348380821701</c:v>
                </c:pt>
                <c:pt idx="673">
                  <c:v>0.16718497009125716</c:v>
                </c:pt>
                <c:pt idx="674">
                  <c:v>0.16713520992305061</c:v>
                </c:pt>
                <c:pt idx="675">
                  <c:v>0.16708555718955936</c:v>
                </c:pt>
                <c:pt idx="676">
                  <c:v>0.16703601150474404</c:v>
                </c:pt>
                <c:pt idx="677">
                  <c:v>0.16698657248450449</c:v>
                </c:pt>
                <c:pt idx="678">
                  <c:v>0.16693723974666735</c:v>
                </c:pt>
                <c:pt idx="679">
                  <c:v>0.16688801291097338</c:v>
                </c:pt>
                <c:pt idx="680">
                  <c:v>0.16683889159906545</c:v>
                </c:pt>
                <c:pt idx="681">
                  <c:v>0.1667898754344761</c:v>
                </c:pt>
                <c:pt idx="682">
                  <c:v>0.16674096404261557</c:v>
                </c:pt>
                <c:pt idx="683">
                  <c:v>0.16669215705075971</c:v>
                </c:pt>
                <c:pt idx="684">
                  <c:v>0.16664345408803805</c:v>
                </c:pt>
                <c:pt idx="685">
                  <c:v>0.16659485478542202</c:v>
                </c:pt>
                <c:pt idx="686">
                  <c:v>0.16654635877571305</c:v>
                </c:pt>
                <c:pt idx="687">
                  <c:v>0.16649796569353117</c:v>
                </c:pt>
                <c:pt idx="688">
                  <c:v>0.16644967517530318</c:v>
                </c:pt>
                <c:pt idx="689">
                  <c:v>0.16640148685925144</c:v>
                </c:pt>
                <c:pt idx="690">
                  <c:v>0.16635340038538216</c:v>
                </c:pt>
                <c:pt idx="691">
                  <c:v>0.16630541539547447</c:v>
                </c:pt>
                <c:pt idx="692">
                  <c:v>0.16625753153306899</c:v>
                </c:pt>
                <c:pt idx="693">
                  <c:v>0.16620974844345665</c:v>
                </c:pt>
                <c:pt idx="694">
                  <c:v>0.16616206577366796</c:v>
                </c:pt>
                <c:pt idx="695">
                  <c:v>0.16611448317246164</c:v>
                </c:pt>
                <c:pt idx="696">
                  <c:v>0.16606700029031418</c:v>
                </c:pt>
                <c:pt idx="697">
                  <c:v>0.16601961677940866</c:v>
                </c:pt>
                <c:pt idx="698">
                  <c:v>0.16597233229362429</c:v>
                </c:pt>
                <c:pt idx="699">
                  <c:v>0.16592514648852591</c:v>
                </c:pt>
                <c:pt idx="700">
                  <c:v>0.165878059021353</c:v>
                </c:pt>
                <c:pt idx="701">
                  <c:v>0.16583106955100971</c:v>
                </c:pt>
                <c:pt idx="702">
                  <c:v>0.16578417773805421</c:v>
                </c:pt>
                <c:pt idx="703">
                  <c:v>0.1657373832446884</c:v>
                </c:pt>
                <c:pt idx="704">
                  <c:v>0.16569068573474782</c:v>
                </c:pt>
                <c:pt idx="705">
                  <c:v>0.16564408487369148</c:v>
                </c:pt>
                <c:pt idx="706">
                  <c:v>0.16559758032859159</c:v>
                </c:pt>
                <c:pt idx="707">
                  <c:v>0.16555117176812389</c:v>
                </c:pt>
                <c:pt idx="708">
                  <c:v>0.16550485886255747</c:v>
                </c:pt>
                <c:pt idx="709">
                  <c:v>0.16545864128374502</c:v>
                </c:pt>
                <c:pt idx="710">
                  <c:v>0.16541251870511323</c:v>
                </c:pt>
                <c:pt idx="711">
                  <c:v>0.16536649080165278</c:v>
                </c:pt>
                <c:pt idx="712">
                  <c:v>0.16532055724990891</c:v>
                </c:pt>
                <c:pt idx="713">
                  <c:v>0.16527471772797192</c:v>
                </c:pt>
                <c:pt idx="714">
                  <c:v>0.16522897191546765</c:v>
                </c:pt>
                <c:pt idx="715">
                  <c:v>0.16518331949354792</c:v>
                </c:pt>
                <c:pt idx="716">
                  <c:v>0.16513776014488143</c:v>
                </c:pt>
                <c:pt idx="717">
                  <c:v>0.16509229355364435</c:v>
                </c:pt>
                <c:pt idx="718">
                  <c:v>0.16504691940551125</c:v>
                </c:pt>
                <c:pt idx="719">
                  <c:v>0.1650016373876457</c:v>
                </c:pt>
                <c:pt idx="720">
                  <c:v>0.16495644718869162</c:v>
                </c:pt>
                <c:pt idx="721">
                  <c:v>0.16491134849876396</c:v>
                </c:pt>
                <c:pt idx="722">
                  <c:v>0.16486634100943989</c:v>
                </c:pt>
                <c:pt idx="723">
                  <c:v>0.16482142441374992</c:v>
                </c:pt>
                <c:pt idx="724">
                  <c:v>0.16477659840616918</c:v>
                </c:pt>
                <c:pt idx="725">
                  <c:v>0.16473186268260859</c:v>
                </c:pt>
                <c:pt idx="726">
                  <c:v>0.16468721694040633</c:v>
                </c:pt>
                <c:pt idx="727">
                  <c:v>0.16464266087831891</c:v>
                </c:pt>
                <c:pt idx="728">
                  <c:v>0.16459819419651317</c:v>
                </c:pt>
                <c:pt idx="729">
                  <c:v>0.16455381659655732</c:v>
                </c:pt>
                <c:pt idx="730">
                  <c:v>0.16450952778141281</c:v>
                </c:pt>
                <c:pt idx="731">
                  <c:v>0.1644653274554258</c:v>
                </c:pt>
                <c:pt idx="732">
                  <c:v>0.16442121532431903</c:v>
                </c:pt>
                <c:pt idx="733">
                  <c:v>0.16437719109518345</c:v>
                </c:pt>
                <c:pt idx="734">
                  <c:v>0.16433325447647021</c:v>
                </c:pt>
                <c:pt idx="735">
                  <c:v>0.16428940517798238</c:v>
                </c:pt>
                <c:pt idx="736">
                  <c:v>0.16424564291086702</c:v>
                </c:pt>
                <c:pt idx="737">
                  <c:v>0.16420196738760712</c:v>
                </c:pt>
                <c:pt idx="738">
                  <c:v>0.16415837832201374</c:v>
                </c:pt>
                <c:pt idx="739">
                  <c:v>0.16411487542921799</c:v>
                </c:pt>
                <c:pt idx="740">
                  <c:v>0.16407145842566345</c:v>
                </c:pt>
                <c:pt idx="741">
                  <c:v>0.16402812702909814</c:v>
                </c:pt>
                <c:pt idx="742">
                  <c:v>0.16398488095856698</c:v>
                </c:pt>
                <c:pt idx="743">
                  <c:v>0.16394171993440415</c:v>
                </c:pt>
                <c:pt idx="744">
                  <c:v>0.16389864367822532</c:v>
                </c:pt>
                <c:pt idx="745">
                  <c:v>0.16385565191292045</c:v>
                </c:pt>
                <c:pt idx="746">
                  <c:v>0.16381274436264578</c:v>
                </c:pt>
                <c:pt idx="747">
                  <c:v>0.16376992075281691</c:v>
                </c:pt>
                <c:pt idx="748">
                  <c:v>0.16372718081010118</c:v>
                </c:pt>
                <c:pt idx="749">
                  <c:v>0.16368452426241037</c:v>
                </c:pt>
                <c:pt idx="750">
                  <c:v>0.16364195083889335</c:v>
                </c:pt>
                <c:pt idx="751">
                  <c:v>0.16359946026992905</c:v>
                </c:pt>
                <c:pt idx="752">
                  <c:v>0.16355705228711903</c:v>
                </c:pt>
                <c:pt idx="753">
                  <c:v>0.16351472662328065</c:v>
                </c:pt>
                <c:pt idx="754">
                  <c:v>0.16347248301243977</c:v>
                </c:pt>
                <c:pt idx="755">
                  <c:v>0.16343032118982384</c:v>
                </c:pt>
                <c:pt idx="756">
                  <c:v>0.16338824089185486</c:v>
                </c:pt>
                <c:pt idx="757">
                  <c:v>0.16334624185614255</c:v>
                </c:pt>
                <c:pt idx="758">
                  <c:v>0.16330432382147742</c:v>
                </c:pt>
                <c:pt idx="759">
                  <c:v>0.16326248652782388</c:v>
                </c:pt>
                <c:pt idx="760">
                  <c:v>0.16322072971631368</c:v>
                </c:pt>
                <c:pt idx="761">
                  <c:v>0.16317905312923892</c:v>
                </c:pt>
                <c:pt idx="762">
                  <c:v>0.16313745651004552</c:v>
                </c:pt>
                <c:pt idx="763">
                  <c:v>0.16309593960332663</c:v>
                </c:pt>
                <c:pt idx="764">
                  <c:v>0.1630545021548159</c:v>
                </c:pt>
                <c:pt idx="765">
                  <c:v>0.16301314391138108</c:v>
                </c:pt>
                <c:pt idx="766">
                  <c:v>0.16297186462101731</c:v>
                </c:pt>
                <c:pt idx="767">
                  <c:v>0.16293066403284107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F72-4439-989C-BA61BC83A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954864"/>
        <c:axId val="1613921887"/>
      </c:scatterChart>
      <c:valAx>
        <c:axId val="29095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W/S (N/m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13921887"/>
        <c:crosses val="autoZero"/>
        <c:crossBetween val="midCat"/>
      </c:valAx>
      <c:valAx>
        <c:axId val="161392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T/W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095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Climb constraint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-1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Constraints!$A$22:$A$142</c:f>
              <c:numCache>
                <c:formatCode>General</c:formatCode>
                <c:ptCount val="121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</c:numCache>
            </c:numRef>
          </c:xVal>
          <c:yVal>
            <c:numRef>
              <c:f>Constraints!$J$22:$J$142</c:f>
              <c:numCache>
                <c:formatCode>General</c:formatCode>
                <c:ptCount val="121"/>
                <c:pt idx="0">
                  <c:v>0.12808970626964514</c:v>
                </c:pt>
                <c:pt idx="1">
                  <c:v>0.12754253760090795</c:v>
                </c:pt>
                <c:pt idx="2">
                  <c:v>0.12715465066525952</c:v>
                </c:pt>
                <c:pt idx="3">
                  <c:v>0.12690609164960664</c:v>
                </c:pt>
                <c:pt idx="4">
                  <c:v>0.12678020783209154</c:v>
                </c:pt>
                <c:pt idx="5">
                  <c:v>0.12676298827436477</c:v>
                </c:pt>
                <c:pt idx="6">
                  <c:v>0.12684255662150859</c:v>
                </c:pt>
                <c:pt idx="7">
                  <c:v>0.12700877657636045</c:v>
                </c:pt>
                <c:pt idx="8">
                  <c:v>0.12725294188150973</c:v>
                </c:pt>
                <c:pt idx="9">
                  <c:v>0.12756753041226271</c:v>
                </c:pt>
                <c:pt idx="10">
                  <c:v>0.12794600742289569</c:v>
                </c:pt>
                <c:pt idx="11">
                  <c:v>0.12838266684847305</c:v>
                </c:pt>
                <c:pt idx="12">
                  <c:v>0.1288725023388588</c:v>
                </c:pt>
                <c:pt idx="13">
                  <c:v>0.12941110171926412</c:v>
                </c:pt>
                <c:pt idx="14">
                  <c:v>0.12999456005529231</c:v>
                </c:pt>
                <c:pt idx="15">
                  <c:v>0.13061940760256255</c:v>
                </c:pt>
                <c:pt idx="16">
                  <c:v>0.13128254974758857</c:v>
                </c:pt>
                <c:pt idx="17">
                  <c:v>0.13198121667212193</c:v>
                </c:pt>
                <c:pt idx="18">
                  <c:v>0.13271292095055423</c:v>
                </c:pt>
                <c:pt idx="19">
                  <c:v>0.13347542165719423</c:v>
                </c:pt>
                <c:pt idx="20">
                  <c:v>0.13426669384483422</c:v>
                </c:pt>
                <c:pt idx="21">
                  <c:v>0.13508490247814942</c:v>
                </c:pt>
                <c:pt idx="22">
                  <c:v>0.13592838008000502</c:v>
                </c:pt>
                <c:pt idx="23">
                  <c:v>0.13679560748674924</c:v>
                </c:pt>
                <c:pt idx="24">
                  <c:v>0.13768519721834871</c:v>
                </c:pt>
                <c:pt idx="25">
                  <c:v>0.13859587905704424</c:v>
                </c:pt>
                <c:pt idx="26">
                  <c:v>0.13952648749884941</c:v>
                </c:pt>
                <c:pt idx="27">
                  <c:v>0.14047595079932815</c:v>
                </c:pt>
                <c:pt idx="28">
                  <c:v>0.14144328138149731</c:v>
                </c:pt>
                <c:pt idx="29">
                  <c:v>0.14242756741158452</c:v>
                </c:pt>
                <c:pt idx="30">
                  <c:v>0.14342796537943853</c:v>
                </c:pt>
                <c:pt idx="31">
                  <c:v>0.14444369354597517</c:v>
                </c:pt>
                <c:pt idx="32">
                  <c:v>0.14547402614119967</c:v>
                </c:pt>
                <c:pt idx="33">
                  <c:v>0.14651828821391183</c:v>
                </c:pt>
                <c:pt idx="34">
                  <c:v>0.14757585104884002</c:v>
                </c:pt>
                <c:pt idx="35">
                  <c:v>0.14864612807919403</c:v>
                </c:pt>
                <c:pt idx="36">
                  <c:v>0.14972857123290303</c:v>
                </c:pt>
                <c:pt idx="37">
                  <c:v>0.15082266765946123</c:v>
                </c:pt>
                <c:pt idx="38">
                  <c:v>0.15192793679161437</c:v>
                </c:pt>
                <c:pt idx="39">
                  <c:v>0.15304392770231931</c:v>
                </c:pt>
                <c:pt idx="40">
                  <c:v>0.15417021672267581</c:v>
                </c:pt>
                <c:pt idx="41">
                  <c:v>0.15530640529102191</c:v>
                </c:pt>
                <c:pt idx="42">
                  <c:v>0.15645211800722364</c:v>
                </c:pt>
                <c:pt idx="43">
                  <c:v>0.1576070008694811</c:v>
                </c:pt>
                <c:pt idx="44">
                  <c:v>0.15877071967380293</c:v>
                </c:pt>
                <c:pt idx="45">
                  <c:v>0.15994295855873739</c:v>
                </c:pt>
                <c:pt idx="46">
                  <c:v>0.16112341868005511</c:v>
                </c:pt>
                <c:pt idx="47">
                  <c:v>0.16231181700190064</c:v>
                </c:pt>
                <c:pt idx="48">
                  <c:v>0.16350788519251186</c:v>
                </c:pt>
                <c:pt idx="49">
                  <c:v>0.16471136861398256</c:v>
                </c:pt>
                <c:pt idx="50">
                  <c:v>0.16592202539674217</c:v>
                </c:pt>
                <c:pt idx="51">
                  <c:v>0.16713962559047402</c:v>
                </c:pt>
                <c:pt idx="52">
                  <c:v>0.16836395038410965</c:v>
                </c:pt>
                <c:pt idx="53">
                  <c:v>0.16959479138834177</c:v>
                </c:pt>
                <c:pt idx="54">
                  <c:v>0.17083194997480269</c:v>
                </c:pt>
                <c:pt idx="55">
                  <c:v>0.17207523666667771</c:v>
                </c:pt>
                <c:pt idx="56">
                  <c:v>0.17332447057607131</c:v>
                </c:pt>
                <c:pt idx="57">
                  <c:v>0.17457947888392694</c:v>
                </c:pt>
                <c:pt idx="58">
                  <c:v>0.17584009635873077</c:v>
                </c:pt>
                <c:pt idx="59">
                  <c:v>0.17710616491060852</c:v>
                </c:pt>
                <c:pt idx="60">
                  <c:v>0.17837753317776245</c:v>
                </c:pt>
                <c:pt idx="61">
                  <c:v>0.17965405614249416</c:v>
                </c:pt>
                <c:pt idx="62">
                  <c:v>0.18093559477432736</c:v>
                </c:pt>
                <c:pt idx="63">
                  <c:v>0.18222201569798085</c:v>
                </c:pt>
                <c:pt idx="64">
                  <c:v>0.18351319088415646</c:v>
                </c:pt>
                <c:pt idx="65">
                  <c:v>0.1848089973612955</c:v>
                </c:pt>
                <c:pt idx="66">
                  <c:v>0.18610931694662852</c:v>
                </c:pt>
                <c:pt idx="67">
                  <c:v>0.18741403599499518</c:v>
                </c:pt>
                <c:pt idx="68">
                  <c:v>0.18872304516404903</c:v>
                </c:pt>
                <c:pt idx="69">
                  <c:v>0.19003623919458507</c:v>
                </c:pt>
                <c:pt idx="70">
                  <c:v>0.1913535167048383</c:v>
                </c:pt>
                <c:pt idx="71">
                  <c:v>0.19267477999770372</c:v>
                </c:pt>
                <c:pt idx="72">
                  <c:v>0.19399993487991585</c:v>
                </c:pt>
                <c:pt idx="73">
                  <c:v>0.19532889049231025</c:v>
                </c:pt>
                <c:pt idx="74">
                  <c:v>0.19666155915036124</c:v>
                </c:pt>
                <c:pt idx="75">
                  <c:v>0.1979978561942588</c:v>
                </c:pt>
                <c:pt idx="76">
                  <c:v>0.19933769984784699</c:v>
                </c:pt>
                <c:pt idx="77">
                  <c:v>0.20068101108580191</c:v>
                </c:pt>
                <c:pt idx="78">
                  <c:v>0.20202771350847756</c:v>
                </c:pt>
                <c:pt idx="79">
                  <c:v>0.20337773322389313</c:v>
                </c:pt>
                <c:pt idx="80">
                  <c:v>0.20473099873637665</c:v>
                </c:pt>
                <c:pt idx="81">
                  <c:v>0.20608744084141833</c:v>
                </c:pt>
                <c:pt idx="82">
                  <c:v>0.20744699252632087</c:v>
                </c:pt>
                <c:pt idx="83">
                  <c:v>0.20880958887626552</c:v>
                </c:pt>
                <c:pt idx="84">
                  <c:v>0.21017516698544242</c:v>
                </c:pt>
                <c:pt idx="85">
                  <c:v>0.21154366587291845</c:v>
                </c:pt>
                <c:pt idx="86">
                  <c:v>0.21291502640294183</c:v>
                </c:pt>
                <c:pt idx="87">
                  <c:v>0.21428919120940307</c:v>
                </c:pt>
                <c:pt idx="88">
                  <c:v>0.21566610462419389</c:v>
                </c:pt>
                <c:pt idx="89">
                  <c:v>0.2170457126092229</c:v>
                </c:pt>
                <c:pt idx="90">
                  <c:v>0.21842796269186476</c:v>
                </c:pt>
                <c:pt idx="91">
                  <c:v>0.21981280390363542</c:v>
                </c:pt>
                <c:pt idx="92">
                  <c:v>0.22120018672189967</c:v>
                </c:pt>
                <c:pt idx="93">
                  <c:v>0.22259006301443207</c:v>
                </c:pt>
                <c:pt idx="94">
                  <c:v>0.22398238598666267</c:v>
                </c:pt>
                <c:pt idx="95">
                  <c:v>0.22537711013145265</c:v>
                </c:pt>
                <c:pt idx="96">
                  <c:v>0.22677419118125311</c:v>
                </c:pt>
                <c:pt idx="97">
                  <c:v>0.22817358606251198</c:v>
                </c:pt>
                <c:pt idx="98">
                  <c:v>0.22957525285220157</c:v>
                </c:pt>
                <c:pt idx="99">
                  <c:v>0.23097915073634862</c:v>
                </c:pt>
                <c:pt idx="100">
                  <c:v>0.23238523997045527</c:v>
                </c:pt>
                <c:pt idx="101">
                  <c:v>0.23379348184170803</c:v>
                </c:pt>
                <c:pt idx="102">
                  <c:v>0.23520383863287653</c:v>
                </c:pt>
                <c:pt idx="103">
                  <c:v>0.23661627358781195</c:v>
                </c:pt>
                <c:pt idx="104">
                  <c:v>0.23803075087845907</c:v>
                </c:pt>
                <c:pt idx="105">
                  <c:v>0.23944723557330233</c:v>
                </c:pt>
                <c:pt idx="106">
                  <c:v>0.24086569360717033</c:v>
                </c:pt>
                <c:pt idx="107">
                  <c:v>0.24228609175232882</c:v>
                </c:pt>
                <c:pt idx="108">
                  <c:v>0.24370839759079499</c:v>
                </c:pt>
                <c:pt idx="109">
                  <c:v>0.24513257948781159</c:v>
                </c:pt>
                <c:pt idx="110">
                  <c:v>0.24655860656642187</c:v>
                </c:pt>
                <c:pt idx="111">
                  <c:v>0.24798644868308989</c:v>
                </c:pt>
                <c:pt idx="112">
                  <c:v>0.24941607640431485</c:v>
                </c:pt>
                <c:pt idx="113">
                  <c:v>0.25084746098419003</c:v>
                </c:pt>
                <c:pt idx="114">
                  <c:v>0.25228057434286011</c:v>
                </c:pt>
                <c:pt idx="115">
                  <c:v>0.25371538904583424</c:v>
                </c:pt>
                <c:pt idx="116">
                  <c:v>0.25515187828411223</c:v>
                </c:pt>
                <c:pt idx="117">
                  <c:v>0.25659001585508684</c:v>
                </c:pt>
                <c:pt idx="118">
                  <c:v>0.25802977614418426</c:v>
                </c:pt>
                <c:pt idx="119">
                  <c:v>0.25947113410720896</c:v>
                </c:pt>
                <c:pt idx="120">
                  <c:v>0.26091406525335975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64-428A-BA19-1B034D313964}"/>
            </c:ext>
          </c:extLst>
        </c:ser>
        <c:ser>
          <c:idx val="1"/>
          <c:order val="1"/>
          <c:tx>
            <c:v>-2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Constraints!$K$22:$K$789</c:f>
              <c:numCache>
                <c:formatCode>General</c:formatCode>
                <c:ptCount val="768"/>
                <c:pt idx="0">
                  <c:v>1.3699618543525907</c:v>
                </c:pt>
                <c:pt idx="1">
                  <c:v>1.3385029313316024</c:v>
                </c:pt>
                <c:pt idx="2">
                  <c:v>1.3093614584469431</c:v>
                </c:pt>
                <c:pt idx="3">
                  <c:v>1.2822795853757936</c:v>
                </c:pt>
                <c:pt idx="4">
                  <c:v>1.2570378549957513</c:v>
                </c:pt>
                <c:pt idx="5">
                  <c:v>1.2334481602486054</c:v>
                </c:pt>
                <c:pt idx="6">
                  <c:v>1.2113482173115342</c:v>
                </c:pt>
                <c:pt idx="7">
                  <c:v>1.1905971839868146</c:v>
                </c:pt>
                <c:pt idx="8">
                  <c:v>1.1710721531725115</c:v>
                </c:pt>
                <c:pt idx="9">
                  <c:v>1.1526653222009249</c:v>
                </c:pt>
                <c:pt idx="10">
                  <c:v>1.1352816893712632</c:v>
                </c:pt>
                <c:pt idx="11">
                  <c:v>1.118837165490691</c:v>
                </c:pt>
                <c:pt idx="12">
                  <c:v>1.1032570149009842</c:v>
                </c:pt>
                <c:pt idx="13">
                  <c:v>1.0884745601716823</c:v>
                </c:pt>
                <c:pt idx="14">
                  <c:v>1.0744300993541831</c:v>
                </c:pt>
                <c:pt idx="15">
                  <c:v>1.0610699957859377</c:v>
                </c:pt>
                <c:pt idx="16">
                  <c:v>1.0483459088764078</c:v>
                </c:pt>
                <c:pt idx="17">
                  <c:v>1.0362141407857799</c:v>
                </c:pt>
                <c:pt idx="18">
                  <c:v>1.0246350789201353</c:v>
                </c:pt>
                <c:pt idx="19">
                  <c:v>1.0135727180741632</c:v>
                </c:pt>
                <c:pt idx="20">
                  <c:v>1.0029942491200483</c:v>
                </c:pt>
                <c:pt idx="21">
                  <c:v>0.99286970356557536</c:v>
                </c:pt>
                <c:pt idx="22">
                  <c:v>0.9831716452328374</c:v>
                </c:pt>
                <c:pt idx="23">
                  <c:v>0.97387490185193948</c:v>
                </c:pt>
                <c:pt idx="24">
                  <c:v>0.96495633060584574</c:v>
                </c:pt>
                <c:pt idx="25">
                  <c:v>0.95639461266724601</c:v>
                </c:pt>
                <c:pt idx="26">
                  <c:v>0.94817007258548169</c:v>
                </c:pt>
                <c:pt idx="27">
                  <c:v>0.94026451904944852</c:v>
                </c:pt>
                <c:pt idx="28">
                  <c:v>0.93266110410081915</c:v>
                </c:pt>
                <c:pt idx="29">
                  <c:v>0.92534419832427406</c:v>
                </c:pt>
                <c:pt idx="30">
                  <c:v>0.91829927991615201</c:v>
                </c:pt>
                <c:pt idx="31">
                  <c:v>0.91151283584457632</c:v>
                </c:pt>
                <c:pt idx="32">
                  <c:v>0.90497227357436172</c:v>
                </c:pt>
                <c:pt idx="33">
                  <c:v>0.89866584204811306</c:v>
                </c:pt>
                <c:pt idx="34">
                  <c:v>0.89258256079839571</c:v>
                </c:pt>
                <c:pt idx="35">
                  <c:v>0.88671215622071675</c:v>
                </c:pt>
                <c:pt idx="36">
                  <c:v>0.88104500416819209</c:v>
                </c:pt>
                <c:pt idx="37">
                  <c:v>0.87557207814019633</c:v>
                </c:pt>
                <c:pt idx="38">
                  <c:v>0.87028490243222889</c:v>
                </c:pt>
                <c:pt idx="39">
                  <c:v>0.86517550969538615</c:v>
                </c:pt>
                <c:pt idx="40">
                  <c:v>0.86023640242337851</c:v>
                </c:pt>
                <c:pt idx="41">
                  <c:v>0.85546051794481892</c:v>
                </c:pt>
                <c:pt idx="42">
                  <c:v>0.85084119655002144</c:v>
                </c:pt>
                <c:pt idx="43">
                  <c:v>0.84637215242606567</c:v>
                </c:pt>
                <c:pt idx="44">
                  <c:v>0.84204744711243196</c:v>
                </c:pt>
                <c:pt idx="45">
                  <c:v>0.83786146522297944</c:v>
                </c:pt>
                <c:pt idx="46">
                  <c:v>0.83380889220916865</c:v>
                </c:pt>
                <c:pt idx="47">
                  <c:v>0.82988469396483144</c:v>
                </c:pt>
                <c:pt idx="48">
                  <c:v>0.82608409809498584</c:v>
                </c:pt>
                <c:pt idx="49">
                  <c:v>0.82240257669065264</c:v>
                </c:pt>
                <c:pt idx="50">
                  <c:v>0.81883583046868313</c:v>
                </c:pt>
                <c:pt idx="51">
                  <c:v>0.81537977415062413</c:v>
                </c:pt>
                <c:pt idx="52">
                  <c:v>0.81203052296786926</c:v>
                </c:pt>
                <c:pt idx="53">
                  <c:v>0.80878438019201271</c:v>
                </c:pt>
                <c:pt idx="54">
                  <c:v>0.80563782559964903</c:v>
                </c:pt>
                <c:pt idx="55">
                  <c:v>0.80258750479000329</c:v>
                </c:pt>
                <c:pt idx="56">
                  <c:v>0.79963021928189004</c:v>
                </c:pt>
                <c:pt idx="57">
                  <c:v>0.79676291732371096</c:v>
                </c:pt>
                <c:pt idx="58">
                  <c:v>0.79398268535662275</c:v>
                </c:pt>
                <c:pt idx="59">
                  <c:v>0.7912867400767285</c:v>
                </c:pt>
                <c:pt idx="60">
                  <c:v>0.78867242104726154</c:v>
                </c:pt>
                <c:pt idx="61">
                  <c:v>0.7861371838163016</c:v>
                </c:pt>
                <c:pt idx="62">
                  <c:v>0.78367859349965519</c:v>
                </c:pt>
                <c:pt idx="63">
                  <c:v>0.78129431879221145</c:v>
                </c:pt>
                <c:pt idx="64">
                  <c:v>0.77898212637437514</c:v>
                </c:pt>
                <c:pt idx="65">
                  <c:v>0.77673987568315406</c:v>
                </c:pt>
                <c:pt idx="66">
                  <c:v>0.77456551402014029</c:v>
                </c:pt>
                <c:pt idx="67">
                  <c:v>0.77245707197104352</c:v>
                </c:pt>
                <c:pt idx="68">
                  <c:v>0.77041265911359769</c:v>
                </c:pt>
                <c:pt idx="69">
                  <c:v>0.76843045999264192</c:v>
                </c:pt>
                <c:pt idx="70">
                  <c:v>0.7665087303429412</c:v>
                </c:pt>
                <c:pt idx="71">
                  <c:v>0.76464579354193329</c:v>
                </c:pt>
                <c:pt idx="72">
                  <c:v>0.7628400372760481</c:v>
                </c:pt>
                <c:pt idx="73">
                  <c:v>0.76108991040557328</c:v>
                </c:pt>
                <c:pt idx="74">
                  <c:v>0.75939392001424011</c:v>
                </c:pt>
                <c:pt idx="75">
                  <c:v>0.75775062863081466</c:v>
                </c:pt>
                <c:pt idx="76">
                  <c:v>0.75615865161096618</c:v>
                </c:pt>
                <c:pt idx="77">
                  <c:v>0.75461665466860639</c:v>
                </c:pt>
                <c:pt idx="78">
                  <c:v>0.75312335154671795</c:v>
                </c:pt>
                <c:pt idx="79">
                  <c:v>0.75167750181845849</c:v>
                </c:pt>
                <c:pt idx="80">
                  <c:v>0.75027790881001688</c:v>
                </c:pt>
                <c:pt idx="81">
                  <c:v>0.74892341763733383</c:v>
                </c:pt>
                <c:pt idx="82">
                  <c:v>0.74761291334939217</c:v>
                </c:pt>
                <c:pt idx="83">
                  <c:v>0.74634531917130076</c:v>
                </c:pt>
                <c:pt idx="84">
                  <c:v>0.74511959484090262</c:v>
                </c:pt>
                <c:pt idx="85">
                  <c:v>0.74393473503308027</c:v>
                </c:pt>
                <c:pt idx="86">
                  <c:v>0.74278976786634598</c:v>
                </c:pt>
                <c:pt idx="87">
                  <c:v>0.7416837534866898</c:v>
                </c:pt>
                <c:pt idx="88">
                  <c:v>0.74061578272400641</c:v>
                </c:pt>
                <c:pt idx="89">
                  <c:v>0.73958497581674809</c:v>
                </c:pt>
                <c:pt idx="90">
                  <c:v>0.73859048120074533</c:v>
                </c:pt>
                <c:pt idx="91">
                  <c:v>0.73763147435841914</c:v>
                </c:pt>
                <c:pt idx="92">
                  <c:v>0.73670715672485643</c:v>
                </c:pt>
                <c:pt idx="93">
                  <c:v>0.73581675464745699</c:v>
                </c:pt>
                <c:pt idx="94">
                  <c:v>0.73495951839608709</c:v>
                </c:pt>
                <c:pt idx="95">
                  <c:v>0.73413472122085888</c:v>
                </c:pt>
                <c:pt idx="96">
                  <c:v>0.73334165845485721</c:v>
                </c:pt>
                <c:pt idx="97">
                  <c:v>0.73257964665930286</c:v>
                </c:pt>
                <c:pt idx="98">
                  <c:v>0.73184802280879757</c:v>
                </c:pt>
                <c:pt idx="99">
                  <c:v>0.73114614351445217</c:v>
                </c:pt>
                <c:pt idx="100">
                  <c:v>0.73047338428283359</c:v>
                </c:pt>
                <c:pt idx="101">
                  <c:v>0.7298291388087943</c:v>
                </c:pt>
                <c:pt idx="102">
                  <c:v>0.72921281830037166</c:v>
                </c:pt>
                <c:pt idx="103">
                  <c:v>0.72862385083404968</c:v>
                </c:pt>
                <c:pt idx="104">
                  <c:v>0.72806168073878641</c:v>
                </c:pt>
                <c:pt idx="105">
                  <c:v>0.72752576800729951</c:v>
                </c:pt>
                <c:pt idx="106">
                  <c:v>0.72701558773319996</c:v>
                </c:pt>
                <c:pt idx="107">
                  <c:v>0.72653062957263836</c:v>
                </c:pt>
                <c:pt idx="108">
                  <c:v>0.72607039722921884</c:v>
                </c:pt>
                <c:pt idx="109">
                  <c:v>0.72563440796099687</c:v>
                </c:pt>
                <c:pt idx="110">
                  <c:v>0.72522219210845262</c:v>
                </c:pt>
                <c:pt idx="111">
                  <c:v>0.72483329264239504</c:v>
                </c:pt>
                <c:pt idx="112">
                  <c:v>0.72446726473080569</c:v>
                </c:pt>
                <c:pt idx="113">
                  <c:v>0.72412367532369859</c:v>
                </c:pt>
                <c:pt idx="114">
                  <c:v>0.72380210275511003</c:v>
                </c:pt>
                <c:pt idx="115">
                  <c:v>0.72350213636139493</c:v>
                </c:pt>
                <c:pt idx="116">
                  <c:v>0.72322337611504428</c:v>
                </c:pt>
                <c:pt idx="117">
                  <c:v>0.72296543227328325</c:v>
                </c:pt>
                <c:pt idx="118">
                  <c:v>0.72272792504074934</c:v>
                </c:pt>
                <c:pt idx="119">
                  <c:v>0.72251048424559294</c:v>
                </c:pt>
                <c:pt idx="120">
                  <c:v>0.72231274902836728</c:v>
                </c:pt>
                <c:pt idx="121">
                  <c:v>0.72213436754312177</c:v>
                </c:pt>
                <c:pt idx="122">
                  <c:v>0.72197499667013276</c:v>
                </c:pt>
                <c:pt idx="123">
                  <c:v>0.72183430173974239</c:v>
                </c:pt>
                <c:pt idx="124">
                  <c:v>0.72171195626680062</c:v>
                </c:pt>
                <c:pt idx="125">
                  <c:v>0.72160764169523395</c:v>
                </c:pt>
                <c:pt idx="126">
                  <c:v>0.72152104715228527</c:v>
                </c:pt>
                <c:pt idx="127">
                  <c:v>0.721451869211999</c:v>
                </c:pt>
                <c:pt idx="128">
                  <c:v>0.72139981166753864</c:v>
                </c:pt>
                <c:pt idx="129">
                  <c:v>0.7213645853119548</c:v>
                </c:pt>
                <c:pt idx="130">
                  <c:v>0.72134590772703044</c:v>
                </c:pt>
                <c:pt idx="131">
                  <c:v>0.72134350307985873</c:v>
                </c:pt>
                <c:pt idx="132">
                  <c:v>0.72135710192681812</c:v>
                </c:pt>
                <c:pt idx="133">
                  <c:v>0.72138644102462945</c:v>
                </c:pt>
                <c:pt idx="134">
                  <c:v>0.7214312631481965</c:v>
                </c:pt>
                <c:pt idx="135">
                  <c:v>0.72149131691494106</c:v>
                </c:pt>
                <c:pt idx="136">
                  <c:v>0.72156635661536406</c:v>
                </c:pt>
                <c:pt idx="137">
                  <c:v>0.7216561420495704</c:v>
                </c:pt>
                <c:pt idx="138">
                  <c:v>0.72176043836951487</c:v>
                </c:pt>
                <c:pt idx="139">
                  <c:v>0.7218790159267291</c:v>
                </c:pt>
                <c:pt idx="140">
                  <c:v>0.72201165012531154</c:v>
                </c:pt>
                <c:pt idx="141">
                  <c:v>0.72215812127996282</c:v>
                </c:pt>
                <c:pt idx="142">
                  <c:v>0.7223182144788638</c:v>
                </c:pt>
                <c:pt idx="143">
                  <c:v>0.72249171945120461</c:v>
                </c:pt>
                <c:pt idx="144">
                  <c:v>0.72267843043917723</c:v>
                </c:pt>
                <c:pt idx="145">
                  <c:v>0.72287814607425482</c:v>
                </c:pt>
                <c:pt idx="146">
                  <c:v>0.72309066925759102</c:v>
                </c:pt>
                <c:pt idx="147">
                  <c:v>0.72331580704437659</c:v>
                </c:pt>
                <c:pt idx="148">
                  <c:v>0.72355337053200031</c:v>
                </c:pt>
                <c:pt idx="149">
                  <c:v>0.72380317475186695</c:v>
                </c:pt>
                <c:pt idx="150">
                  <c:v>0.72406503856473137</c:v>
                </c:pt>
                <c:pt idx="151">
                  <c:v>0.72433878455941603</c:v>
                </c:pt>
                <c:pt idx="152">
                  <c:v>0.72462423895478079</c:v>
                </c:pt>
                <c:pt idx="153">
                  <c:v>0.72492123150482579</c:v>
                </c:pt>
                <c:pt idx="154">
                  <c:v>0.72522959540680665</c:v>
                </c:pt>
                <c:pt idx="155">
                  <c:v>0.72554916721225138</c:v>
                </c:pt>
                <c:pt idx="156">
                  <c:v>0.7258797867407708</c:v>
                </c:pt>
                <c:pt idx="157">
                  <c:v>0.72622129699655968</c:v>
                </c:pt>
                <c:pt idx="158">
                  <c:v>0.72657354408748986</c:v>
                </c:pt>
                <c:pt idx="159">
                  <c:v>0.72693637714670056</c:v>
                </c:pt>
                <c:pt idx="160">
                  <c:v>0.72730964825659472</c:v>
                </c:pt>
                <c:pt idx="161">
                  <c:v>0.72769321237515783</c:v>
                </c:pt>
                <c:pt idx="162">
                  <c:v>0.72808692726451052</c:v>
                </c:pt>
                <c:pt idx="163">
                  <c:v>0.72849065342162</c:v>
                </c:pt>
                <c:pt idx="164">
                  <c:v>0.72890425401109149</c:v>
                </c:pt>
                <c:pt idx="165">
                  <c:v>0.72932759479996689</c:v>
                </c:pt>
                <c:pt idx="166">
                  <c:v>0.72976054409445945</c:v>
                </c:pt>
                <c:pt idx="167">
                  <c:v>0.73020297267855849</c:v>
                </c:pt>
                <c:pt idx="168">
                  <c:v>0.73065475375443767</c:v>
                </c:pt>
                <c:pt idx="169">
                  <c:v>0.73111576288460478</c:v>
                </c:pt>
                <c:pt idx="170">
                  <c:v>0.73158587793573426</c:v>
                </c:pt>
                <c:pt idx="171">
                  <c:v>0.73206497902412371</c:v>
                </c:pt>
                <c:pt idx="172">
                  <c:v>0.73255294846272012</c:v>
                </c:pt>
                <c:pt idx="173">
                  <c:v>0.73304967070966187</c:v>
                </c:pt>
                <c:pt idx="174">
                  <c:v>0.73355503231828623</c:v>
                </c:pt>
                <c:pt idx="175">
                  <c:v>0.73406892188855277</c:v>
                </c:pt>
                <c:pt idx="176">
                  <c:v>0.73459123001983651</c:v>
                </c:pt>
                <c:pt idx="177">
                  <c:v>0.73512184926504376</c:v>
                </c:pt>
                <c:pt idx="178">
                  <c:v>0.73566067408600833</c:v>
                </c:pt>
                <c:pt idx="179">
                  <c:v>0.73620760081012648</c:v>
                </c:pt>
                <c:pt idx="180">
                  <c:v>0.73676252758818861</c:v>
                </c:pt>
                <c:pt idx="181">
                  <c:v>0.73732535435336977</c:v>
                </c:pt>
                <c:pt idx="182">
                  <c:v>0.73789598278134227</c:v>
                </c:pt>
                <c:pt idx="183">
                  <c:v>0.73847431625147331</c:v>
                </c:pt>
                <c:pt idx="184">
                  <c:v>0.73906025980907186</c:v>
                </c:pt>
                <c:pt idx="185">
                  <c:v>0.73965372012865516</c:v>
                </c:pt>
                <c:pt idx="186">
                  <c:v>0.74025460547819777</c:v>
                </c:pt>
                <c:pt idx="187">
                  <c:v>0.7408628256843357</c:v>
                </c:pt>
                <c:pt idx="188">
                  <c:v>0.74147829209849436</c:v>
                </c:pt>
                <c:pt idx="189">
                  <c:v>0.74210091756391161</c:v>
                </c:pt>
                <c:pt idx="190">
                  <c:v>0.74273061638352711</c:v>
                </c:pt>
                <c:pt idx="191">
                  <c:v>0.74336730428871389</c:v>
                </c:pt>
                <c:pt idx="192">
                  <c:v>0.74401089840882284</c:v>
                </c:pt>
                <c:pt idx="193">
                  <c:v>0.74466131724151796</c:v>
                </c:pt>
                <c:pt idx="194">
                  <c:v>0.7453184806238764</c:v>
                </c:pt>
                <c:pt idx="195">
                  <c:v>0.74598230970423085</c:v>
                </c:pt>
                <c:pt idx="196">
                  <c:v>0.74665272691473339</c:v>
                </c:pt>
                <c:pt idx="197">
                  <c:v>0.74732965594461442</c:v>
                </c:pt>
                <c:pt idx="198">
                  <c:v>0.74801302171412232</c:v>
                </c:pt>
                <c:pt idx="199">
                  <c:v>0.74870275034911771</c:v>
                </c:pt>
                <c:pt idx="200">
                  <c:v>0.74939876915630754</c:v>
                </c:pt>
                <c:pt idx="201">
                  <c:v>0.75010100659909584</c:v>
                </c:pt>
                <c:pt idx="202">
                  <c:v>0.75080939227403665</c:v>
                </c:pt>
                <c:pt idx="203">
                  <c:v>0.75152385688786993</c:v>
                </c:pt>
                <c:pt idx="204">
                  <c:v>0.75224433223512255</c:v>
                </c:pt>
                <c:pt idx="205">
                  <c:v>0.75297075117626044</c:v>
                </c:pt>
                <c:pt idx="206">
                  <c:v>0.75370304761637286</c:v>
                </c:pt>
                <c:pt idx="207">
                  <c:v>0.75444115648437726</c:v>
                </c:pt>
                <c:pt idx="208">
                  <c:v>0.75518501371272539</c:v>
                </c:pt>
                <c:pt idx="209">
                  <c:v>0.75593455621760064</c:v>
                </c:pt>
                <c:pt idx="210">
                  <c:v>0.75668972187958983</c:v>
                </c:pt>
                <c:pt idx="211">
                  <c:v>0.75745044952481744</c:v>
                </c:pt>
                <c:pt idx="212">
                  <c:v>0.75821667890652822</c:v>
                </c:pt>
                <c:pt idx="213">
                  <c:v>0.75898835068710679</c:v>
                </c:pt>
                <c:pt idx="214">
                  <c:v>0.75976540642052148</c:v>
                </c:pt>
                <c:pt idx="215">
                  <c:v>0.76054778853518035</c:v>
                </c:pt>
                <c:pt idx="216">
                  <c:v>0.76133544031718858</c:v>
                </c:pt>
                <c:pt idx="217">
                  <c:v>0.76212830589399516</c:v>
                </c:pt>
                <c:pt idx="218">
                  <c:v>0.76292633021842082</c:v>
                </c:pt>
                <c:pt idx="219">
                  <c:v>0.76372945905305212</c:v>
                </c:pt>
                <c:pt idx="220">
                  <c:v>0.76453763895499693</c:v>
                </c:pt>
                <c:pt idx="221">
                  <c:v>0.76535081726098819</c:v>
                </c:pt>
                <c:pt idx="222">
                  <c:v>0.7661689420728276</c:v>
                </c:pt>
                <c:pt idx="223">
                  <c:v>0.76699196224315958</c:v>
                </c:pt>
                <c:pt idx="224">
                  <c:v>0.76781982736156795</c:v>
                </c:pt>
                <c:pt idx="225">
                  <c:v>0.76865248774098549</c:v>
                </c:pt>
                <c:pt idx="226">
                  <c:v>0.76948989440440818</c:v>
                </c:pt>
                <c:pt idx="227">
                  <c:v>0.77033199907190686</c:v>
                </c:pt>
                <c:pt idx="228">
                  <c:v>0.77117875414792803</c:v>
                </c:pt>
                <c:pt idx="229">
                  <c:v>0.77203011270887523</c:v>
                </c:pt>
                <c:pt idx="230">
                  <c:v>0.77288602849096688</c:v>
                </c:pt>
                <c:pt idx="231">
                  <c:v>0.77374645587835822</c:v>
                </c:pt>
                <c:pt idx="232">
                  <c:v>0.77461134989152569</c:v>
                </c:pt>
                <c:pt idx="233">
                  <c:v>0.77548066617590417</c:v>
                </c:pt>
                <c:pt idx="234">
                  <c:v>0.77635436099077015</c:v>
                </c:pt>
                <c:pt idx="235">
                  <c:v>0.77723239119836762</c:v>
                </c:pt>
                <c:pt idx="236">
                  <c:v>0.77811471425326639</c:v>
                </c:pt>
                <c:pt idx="237">
                  <c:v>0.77900128819194991</c:v>
                </c:pt>
                <c:pt idx="238">
                  <c:v>0.77989207162262619</c:v>
                </c:pt>
                <c:pt idx="239">
                  <c:v>0.7807870237152551</c:v>
                </c:pt>
                <c:pt idx="240">
                  <c:v>0.78168610419178786</c:v>
                </c:pt>
                <c:pt idx="241">
                  <c:v>0.78258927331661299</c:v>
                </c:pt>
                <c:pt idx="242">
                  <c:v>0.78349649188720327</c:v>
                </c:pt>
                <c:pt idx="243">
                  <c:v>0.78440772122495916</c:v>
                </c:pt>
                <c:pt idx="244">
                  <c:v>0.78532292316624386</c:v>
                </c:pt>
                <c:pt idx="245">
                  <c:v>0.78624206005360464</c:v>
                </c:pt>
                <c:pt idx="246">
                  <c:v>0.78716509472717666</c:v>
                </c:pt>
                <c:pt idx="247">
                  <c:v>0.78809199051626466</c:v>
                </c:pt>
                <c:pt idx="248">
                  <c:v>0.78902271123109724</c:v>
                </c:pt>
                <c:pt idx="249">
                  <c:v>0.78995722115475175</c:v>
                </c:pt>
                <c:pt idx="250">
                  <c:v>0.79089548503524254</c:v>
                </c:pt>
                <c:pt idx="251">
                  <c:v>0.79183746807777178</c:v>
                </c:pt>
                <c:pt idx="252">
                  <c:v>0.79278313593713667</c:v>
                </c:pt>
                <c:pt idx="253">
                  <c:v>0.79373245471029075</c:v>
                </c:pt>
                <c:pt idx="254">
                  <c:v>0.7946853909290541</c:v>
                </c:pt>
                <c:pt idx="255">
                  <c:v>0.79564191155297104</c:v>
                </c:pt>
                <c:pt idx="256">
                  <c:v>0.79660198396231019</c:v>
                </c:pt>
                <c:pt idx="257">
                  <c:v>0.79756557595120359</c:v>
                </c:pt>
                <c:pt idx="258">
                  <c:v>0.79853265572092236</c:v>
                </c:pt>
                <c:pt idx="259">
                  <c:v>0.79950319187328556</c:v>
                </c:pt>
                <c:pt idx="260">
                  <c:v>0.80047715340419845</c:v>
                </c:pt>
                <c:pt idx="261">
                  <c:v>0.80145450969731868</c:v>
                </c:pt>
                <c:pt idx="262">
                  <c:v>0.80243523051784504</c:v>
                </c:pt>
                <c:pt idx="263">
                  <c:v>0.8034192860064282</c:v>
                </c:pt>
                <c:pt idx="264">
                  <c:v>0.80440664667320028</c:v>
                </c:pt>
                <c:pt idx="265">
                  <c:v>0.80539728339191829</c:v>
                </c:pt>
                <c:pt idx="266">
                  <c:v>0.80639116739422234</c:v>
                </c:pt>
                <c:pt idx="267">
                  <c:v>0.80738827026400384</c:v>
                </c:pt>
                <c:pt idx="268">
                  <c:v>0.80838856393188085</c:v>
                </c:pt>
                <c:pt idx="269">
                  <c:v>0.80939202066977978</c:v>
                </c:pt>
                <c:pt idx="270">
                  <c:v>0.81039861308561933</c:v>
                </c:pt>
                <c:pt idx="271">
                  <c:v>0.81140831411809666</c:v>
                </c:pt>
                <c:pt idx="272">
                  <c:v>0.81242109703157062</c:v>
                </c:pt>
                <c:pt idx="273">
                  <c:v>0.81343693541104201</c:v>
                </c:pt>
                <c:pt idx="274">
                  <c:v>0.81445580315722832</c:v>
                </c:pt>
                <c:pt idx="275">
                  <c:v>0.81547767448173003</c:v>
                </c:pt>
                <c:pt idx="276">
                  <c:v>0.81650252390228706</c:v>
                </c:pt>
                <c:pt idx="277">
                  <c:v>0.81753032623812427</c:v>
                </c:pt>
                <c:pt idx="278">
                  <c:v>0.81856105660538192</c:v>
                </c:pt>
                <c:pt idx="279">
                  <c:v>0.819594690412631</c:v>
                </c:pt>
                <c:pt idx="280">
                  <c:v>0.82063120335647177</c:v>
                </c:pt>
                <c:pt idx="281">
                  <c:v>0.821670571417211</c:v>
                </c:pt>
                <c:pt idx="282">
                  <c:v>0.82271277085462091</c:v>
                </c:pt>
                <c:pt idx="283">
                  <c:v>0.82375777820377305</c:v>
                </c:pt>
                <c:pt idx="284">
                  <c:v>0.82480557027094858</c:v>
                </c:pt>
                <c:pt idx="285">
                  <c:v>0.82585612412962339</c:v>
                </c:pt>
                <c:pt idx="286">
                  <c:v>0.82690941711652433</c:v>
                </c:pt>
                <c:pt idx="287">
                  <c:v>0.82796542682775676</c:v>
                </c:pt>
                <c:pt idx="288">
                  <c:v>0.82902413111500184</c:v>
                </c:pt>
                <c:pt idx="289">
                  <c:v>0.83008550808178161</c:v>
                </c:pt>
                <c:pt idx="290">
                  <c:v>0.83114953607978992</c:v>
                </c:pt>
                <c:pt idx="291">
                  <c:v>0.83221619370528921</c:v>
                </c:pt>
                <c:pt idx="292">
                  <c:v>0.83328545979557112</c:v>
                </c:pt>
                <c:pt idx="293">
                  <c:v>0.83435731342547848</c:v>
                </c:pt>
                <c:pt idx="294">
                  <c:v>0.83543173390398895</c:v>
                </c:pt>
                <c:pt idx="295">
                  <c:v>0.83650870077086004</c:v>
                </c:pt>
                <c:pt idx="296">
                  <c:v>0.83758819379332927</c:v>
                </c:pt>
                <c:pt idx="297">
                  <c:v>0.83867019296287526</c:v>
                </c:pt>
                <c:pt idx="298">
                  <c:v>0.83975467849203267</c:v>
                </c:pt>
                <c:pt idx="299">
                  <c:v>0.84084163081126384</c:v>
                </c:pt>
                <c:pt idx="300">
                  <c:v>0.84193103056588325</c:v>
                </c:pt>
                <c:pt idx="301">
                  <c:v>0.84302285861303505</c:v>
                </c:pt>
                <c:pt idx="302">
                  <c:v>0.84411709601872265</c:v>
                </c:pt>
                <c:pt idx="303">
                  <c:v>0.84521372405488926</c:v>
                </c:pt>
                <c:pt idx="304">
                  <c:v>0.84631272419654779</c:v>
                </c:pt>
                <c:pt idx="305">
                  <c:v>0.84741407811895875</c:v>
                </c:pt>
                <c:pt idx="306">
                  <c:v>0.84851776769485787</c:v>
                </c:pt>
                <c:pt idx="307">
                  <c:v>0.84962377499172859</c:v>
                </c:pt>
                <c:pt idx="308">
                  <c:v>0.85073208226912134</c:v>
                </c:pt>
                <c:pt idx="309">
                  <c:v>0.85184267197601748</c:v>
                </c:pt>
                <c:pt idx="310">
                  <c:v>0.85295552674823738</c:v>
                </c:pt>
                <c:pt idx="311">
                  <c:v>0.85407062940589218</c:v>
                </c:pt>
                <c:pt idx="312">
                  <c:v>0.85518796295087696</c:v>
                </c:pt>
                <c:pt idx="313">
                  <c:v>0.85630751056440624</c:v>
                </c:pt>
                <c:pt idx="314">
                  <c:v>0.85742925560458949</c:v>
                </c:pt>
                <c:pt idx="315">
                  <c:v>0.8585531816040477</c:v>
                </c:pt>
                <c:pt idx="316">
                  <c:v>0.85967927226756768</c:v>
                </c:pt>
                <c:pt idx="317">
                  <c:v>0.86080751146979573</c:v>
                </c:pt>
                <c:pt idx="318">
                  <c:v>0.86193788325296872</c:v>
                </c:pt>
                <c:pt idx="319">
                  <c:v>0.86307037182468149</c:v>
                </c:pt>
                <c:pt idx="320">
                  <c:v>0.8642049615556926</c:v>
                </c:pt>
                <c:pt idx="321">
                  <c:v>0.86534163697776156</c:v>
                </c:pt>
                <c:pt idx="322">
                  <c:v>0.86648038278152517</c:v>
                </c:pt>
                <c:pt idx="323">
                  <c:v>0.86762118381440634</c:v>
                </c:pt>
                <c:pt idx="324">
                  <c:v>0.8687640250785551</c:v>
                </c:pt>
                <c:pt idx="325">
                  <c:v>0.86990889172882491</c:v>
                </c:pt>
                <c:pt idx="326">
                  <c:v>0.87105576907077942</c:v>
                </c:pt>
                <c:pt idx="327">
                  <c:v>0.87220464255873187</c:v>
                </c:pt>
                <c:pt idx="328">
                  <c:v>0.87335549779381572</c:v>
                </c:pt>
                <c:pt idx="329">
                  <c:v>0.87450832052208438</c:v>
                </c:pt>
                <c:pt idx="330">
                  <c:v>0.87566309663264252</c:v>
                </c:pt>
                <c:pt idx="331">
                  <c:v>0.87681981215580662</c:v>
                </c:pt>
                <c:pt idx="332">
                  <c:v>0.87797845326129242</c:v>
                </c:pt>
                <c:pt idx="333">
                  <c:v>0.87913900625643371</c:v>
                </c:pt>
                <c:pt idx="334">
                  <c:v>0.88030145758442591</c:v>
                </c:pt>
                <c:pt idx="335">
                  <c:v>0.88146579382259937</c:v>
                </c:pt>
                <c:pt idx="336">
                  <c:v>0.88263200168071743</c:v>
                </c:pt>
                <c:pt idx="337">
                  <c:v>0.88380006799930277</c:v>
                </c:pt>
                <c:pt idx="338">
                  <c:v>0.88496997974798741</c:v>
                </c:pt>
                <c:pt idx="339">
                  <c:v>0.8861417240238898</c:v>
                </c:pt>
                <c:pt idx="340">
                  <c:v>0.88731528805001636</c:v>
                </c:pt>
                <c:pt idx="341">
                  <c:v>0.8884906591736863</c:v>
                </c:pt>
                <c:pt idx="342">
                  <c:v>0.8896678248649823</c:v>
                </c:pt>
                <c:pt idx="343">
                  <c:v>0.89084677271522295</c:v>
                </c:pt>
                <c:pt idx="344">
                  <c:v>0.89202749043546037</c:v>
                </c:pt>
                <c:pt idx="345">
                  <c:v>0.8932099658549979</c:v>
                </c:pt>
                <c:pt idx="346">
                  <c:v>0.89439418691993233</c:v>
                </c:pt>
                <c:pt idx="347">
                  <c:v>0.89558014169171773</c:v>
                </c:pt>
                <c:pt idx="348">
                  <c:v>0.89676781834574948</c:v>
                </c:pt>
                <c:pt idx="349">
                  <c:v>0.89795720516997091</c:v>
                </c:pt>
                <c:pt idx="350">
                  <c:v>0.89914829056349965</c:v>
                </c:pt>
                <c:pt idx="351">
                  <c:v>0.9003410630352755</c:v>
                </c:pt>
                <c:pt idx="352">
                  <c:v>0.9015355112027279</c:v>
                </c:pt>
                <c:pt idx="353">
                  <c:v>0.9027316237904619</c:v>
                </c:pt>
                <c:pt idx="354">
                  <c:v>0.90392938962896507</c:v>
                </c:pt>
                <c:pt idx="355">
                  <c:v>0.90512879765333398</c:v>
                </c:pt>
                <c:pt idx="356">
                  <c:v>0.90632983690201707</c:v>
                </c:pt>
                <c:pt idx="357">
                  <c:v>0.9075324965155771</c:v>
                </c:pt>
                <c:pt idx="358">
                  <c:v>0.90873676573547257</c:v>
                </c:pt>
                <c:pt idx="359">
                  <c:v>0.90994263390285535</c:v>
                </c:pt>
                <c:pt idx="360">
                  <c:v>0.91115009045738726</c:v>
                </c:pt>
                <c:pt idx="361">
                  <c:v>0.91235912493607141</c:v>
                </c:pt>
                <c:pt idx="362">
                  <c:v>0.91356972697210348</c:v>
                </c:pt>
                <c:pt idx="363">
                  <c:v>0.91478188629373769</c:v>
                </c:pt>
                <c:pt idx="364">
                  <c:v>0.91599559272316888</c:v>
                </c:pt>
                <c:pt idx="365">
                  <c:v>0.91721083617543153</c:v>
                </c:pt>
                <c:pt idx="366">
                  <c:v>0.9184276066573136</c:v>
                </c:pt>
                <c:pt idx="367">
                  <c:v>0.91964589426628729</c:v>
                </c:pt>
                <c:pt idx="368">
                  <c:v>0.92086568918945355</c:v>
                </c:pt>
                <c:pt idx="369">
                  <c:v>0.92208698170250136</c:v>
                </c:pt>
                <c:pt idx="370">
                  <c:v>0.92330976216868366</c:v>
                </c:pt>
                <c:pt idx="371">
                  <c:v>0.92453402103780591</c:v>
                </c:pt>
                <c:pt idx="372">
                  <c:v>0.92575974884522949</c:v>
                </c:pt>
                <c:pt idx="373">
                  <c:v>0.9269869362108889</c:v>
                </c:pt>
                <c:pt idx="374">
                  <c:v>0.92821557383832332</c:v>
                </c:pt>
                <c:pt idx="375">
                  <c:v>0.92944565251372091</c:v>
                </c:pt>
                <c:pt idx="376">
                  <c:v>0.93067716310497706</c:v>
                </c:pt>
                <c:pt idx="377">
                  <c:v>0.93191009656076496</c:v>
                </c:pt>
                <c:pt idx="378">
                  <c:v>0.93314444390962015</c:v>
                </c:pt>
                <c:pt idx="379">
                  <c:v>0.93438019625903634</c:v>
                </c:pt>
                <c:pt idx="380">
                  <c:v>0.9356173447945757</c:v>
                </c:pt>
                <c:pt idx="381">
                  <c:v>0.9368558807789884</c:v>
                </c:pt>
                <c:pt idx="382">
                  <c:v>0.93809579555134759</c:v>
                </c:pt>
                <c:pt idx="383">
                  <c:v>0.93933708052619336</c:v>
                </c:pt>
                <c:pt idx="384">
                  <c:v>0.9405797271926909</c:v>
                </c:pt>
                <c:pt idx="385">
                  <c:v>0.94182372711379758</c:v>
                </c:pt>
                <c:pt idx="386">
                  <c:v>0.9430690719254432</c:v>
                </c:pt>
                <c:pt idx="387">
                  <c:v>0.94431575333572093</c:v>
                </c:pt>
                <c:pt idx="388">
                  <c:v>0.94556376312408918</c:v>
                </c:pt>
                <c:pt idx="389">
                  <c:v>0.94681309314058293</c:v>
                </c:pt>
                <c:pt idx="390">
                  <c:v>0.94806373530503807</c:v>
                </c:pt>
                <c:pt idx="391">
                  <c:v>0.94931568160632451</c:v>
                </c:pt>
                <c:pt idx="392">
                  <c:v>0.95056892410158977</c:v>
                </c:pt>
                <c:pt idx="393">
                  <c:v>0.95182345491551268</c:v>
                </c:pt>
                <c:pt idx="394">
                  <c:v>0.95307926623956774</c:v>
                </c:pt>
                <c:pt idx="395">
                  <c:v>0.95433635033129804</c:v>
                </c:pt>
                <c:pt idx="396">
                  <c:v>0.95559469951359943</c:v>
                </c:pt>
                <c:pt idx="397">
                  <c:v>0.9568543061740119</c:v>
                </c:pt>
                <c:pt idx="398">
                  <c:v>0.95811516276402264</c:v>
                </c:pt>
                <c:pt idx="399">
                  <c:v>0.95937726179837668</c:v>
                </c:pt>
                <c:pt idx="400">
                  <c:v>0.96064059585439776</c:v>
                </c:pt>
                <c:pt idx="401">
                  <c:v>0.96190515757131667</c:v>
                </c:pt>
                <c:pt idx="402">
                  <c:v>0.96317093964960954</c:v>
                </c:pt>
                <c:pt idx="403">
                  <c:v>0.96443793485034468</c:v>
                </c:pt>
                <c:pt idx="404">
                  <c:v>0.96570613599453781</c:v>
                </c:pt>
                <c:pt idx="405">
                  <c:v>0.96697553596251429</c:v>
                </c:pt>
                <c:pt idx="406">
                  <c:v>0.96824612769328156</c:v>
                </c:pt>
                <c:pt idx="407">
                  <c:v>0.9695179041839096</c:v>
                </c:pt>
                <c:pt idx="408">
                  <c:v>0.97079085848891755</c:v>
                </c:pt>
                <c:pt idx="409">
                  <c:v>0.97206498371967009</c:v>
                </c:pt>
                <c:pt idx="410">
                  <c:v>0.97334027304378012</c:v>
                </c:pt>
                <c:pt idx="411">
                  <c:v>0.97461671968452057</c:v>
                </c:pt>
                <c:pt idx="412">
                  <c:v>0.97589431692024287</c:v>
                </c:pt>
                <c:pt idx="413">
                  <c:v>0.97717305808380184</c:v>
                </c:pt>
                <c:pt idx="414">
                  <c:v>0.97845293656199028</c:v>
                </c:pt>
                <c:pt idx="415">
                  <c:v>0.97973394579497886</c:v>
                </c:pt>
                <c:pt idx="416">
                  <c:v>0.98101607927576362</c:v>
                </c:pt>
                <c:pt idx="417">
                  <c:v>0.98229933054961993</c:v>
                </c:pt>
                <c:pt idx="418">
                  <c:v>0.98358369321356476</c:v>
                </c:pt>
                <c:pt idx="419">
                  <c:v>0.98486916091582444</c:v>
                </c:pt>
                <c:pt idx="420">
                  <c:v>0.98615572735530932</c:v>
                </c:pt>
                <c:pt idx="421">
                  <c:v>0.98744338628109496</c:v>
                </c:pt>
                <c:pt idx="422">
                  <c:v>0.98873213149191008</c:v>
                </c:pt>
                <c:pt idx="423">
                  <c:v>0.99002195683563121</c:v>
                </c:pt>
                <c:pt idx="424">
                  <c:v>0.99131285620878251</c:v>
                </c:pt>
                <c:pt idx="425">
                  <c:v>0.99260482355604296</c:v>
                </c:pt>
                <c:pt idx="426">
                  <c:v>0.99389785286975829</c:v>
                </c:pt>
                <c:pt idx="427">
                  <c:v>0.99519193818946072</c:v>
                </c:pt>
                <c:pt idx="428">
                  <c:v>0.99648707360139377</c:v>
                </c:pt>
                <c:pt idx="429">
                  <c:v>0.99778325323804129</c:v>
                </c:pt>
                <c:pt idx="430">
                  <c:v>0.99908047127766508</c:v>
                </c:pt>
                <c:pt idx="431">
                  <c:v>1.0003787219438469</c:v>
                </c:pt>
                <c:pt idx="432">
                  <c:v>1.0016779995050353</c:v>
                </c:pt>
                <c:pt idx="433">
                  <c:v>1.0029782982740993</c:v>
                </c:pt>
                <c:pt idx="434">
                  <c:v>1.0042796126078861</c:v>
                </c:pt>
                <c:pt idx="435">
                  <c:v>1.0055819369067858</c:v>
                </c:pt>
                <c:pt idx="436">
                  <c:v>1.0068852656142997</c:v>
                </c:pt>
                <c:pt idx="437">
                  <c:v>1.0081895932166156</c:v>
                </c:pt>
                <c:pt idx="438">
                  <c:v>1.0094949142421858</c:v>
                </c:pt>
                <c:pt idx="439">
                  <c:v>1.0108012232613133</c:v>
                </c:pt>
                <c:pt idx="440">
                  <c:v>1.0121085148857398</c:v>
                </c:pt>
                <c:pt idx="441">
                  <c:v>1.0134167837682411</c:v>
                </c:pt>
                <c:pt idx="442">
                  <c:v>1.0147260246022249</c:v>
                </c:pt>
                <c:pt idx="443">
                  <c:v>1.016036232121337</c:v>
                </c:pt>
                <c:pt idx="444">
                  <c:v>1.0173474010990682</c:v>
                </c:pt>
                <c:pt idx="445">
                  <c:v>1.018659526348368</c:v>
                </c:pt>
                <c:pt idx="446">
                  <c:v>1.019972602721263</c:v>
                </c:pt>
                <c:pt idx="447">
                  <c:v>1.0212866251084787</c:v>
                </c:pt>
                <c:pt idx="448">
                  <c:v>1.0226015884390673</c:v>
                </c:pt>
                <c:pt idx="449">
                  <c:v>1.0239174876800379</c:v>
                </c:pt>
                <c:pt idx="450">
                  <c:v>1.0252343178359922</c:v>
                </c:pt>
                <c:pt idx="451">
                  <c:v>1.0265520739487655</c:v>
                </c:pt>
                <c:pt idx="452">
                  <c:v>1.0278707510970695</c:v>
                </c:pt>
                <c:pt idx="453">
                  <c:v>1.0291903443961408</c:v>
                </c:pt>
                <c:pt idx="454">
                  <c:v>1.0305108489973933</c:v>
                </c:pt>
                <c:pt idx="455">
                  <c:v>1.0318322600880754</c:v>
                </c:pt>
                <c:pt idx="456">
                  <c:v>1.0331545728909286</c:v>
                </c:pt>
                <c:pt idx="457">
                  <c:v>1.0344777826638529</c:v>
                </c:pt>
                <c:pt idx="458">
                  <c:v>1.0358018846995747</c:v>
                </c:pt>
                <c:pt idx="459">
                  <c:v>1.0371268743253188</c:v>
                </c:pt>
                <c:pt idx="460">
                  <c:v>1.0384527469024838</c:v>
                </c:pt>
                <c:pt idx="461">
                  <c:v>1.039779497826322</c:v>
                </c:pt>
                <c:pt idx="462">
                  <c:v>1.0411071225256214</c:v>
                </c:pt>
                <c:pt idx="463">
                  <c:v>1.0424356164623945</c:v>
                </c:pt>
                <c:pt idx="464">
                  <c:v>1.0437649751315663</c:v>
                </c:pt>
                <c:pt idx="465">
                  <c:v>1.0450951940606696</c:v>
                </c:pt>
                <c:pt idx="466">
                  <c:v>1.0464262688095411</c:v>
                </c:pt>
                <c:pt idx="467">
                  <c:v>1.0477581949700234</c:v>
                </c:pt>
                <c:pt idx="468">
                  <c:v>1.0490909681656686</c:v>
                </c:pt>
                <c:pt idx="469">
                  <c:v>1.0504245840514446</c:v>
                </c:pt>
                <c:pt idx="470">
                  <c:v>1.0517590383134474</c:v>
                </c:pt>
                <c:pt idx="471">
                  <c:v>1.0530943266686146</c:v>
                </c:pt>
                <c:pt idx="472">
                  <c:v>1.0544304448644417</c:v>
                </c:pt>
                <c:pt idx="473">
                  <c:v>1.055767388678704</c:v>
                </c:pt>
                <c:pt idx="474">
                  <c:v>1.0571051539191783</c:v>
                </c:pt>
                <c:pt idx="475">
                  <c:v>1.0584437364233705</c:v>
                </c:pt>
                <c:pt idx="476">
                  <c:v>1.0597831320582454</c:v>
                </c:pt>
                <c:pt idx="477">
                  <c:v>1.0611233367199582</c:v>
                </c:pt>
                <c:pt idx="478">
                  <c:v>1.062464346333591</c:v>
                </c:pt>
                <c:pt idx="479">
                  <c:v>1.0638061568528903</c:v>
                </c:pt>
                <c:pt idx="480">
                  <c:v>1.0651487642600102</c:v>
                </c:pt>
                <c:pt idx="481">
                  <c:v>1.0664921645652541</c:v>
                </c:pt>
                <c:pt idx="482">
                  <c:v>1.0678363538068227</c:v>
                </c:pt>
                <c:pt idx="483">
                  <c:v>1.0691813280505655</c:v>
                </c:pt>
                <c:pt idx="484">
                  <c:v>1.0705270833897302</c:v>
                </c:pt>
                <c:pt idx="485">
                  <c:v>1.0718736159447202</c:v>
                </c:pt>
                <c:pt idx="486">
                  <c:v>1.0732209218628515</c:v>
                </c:pt>
                <c:pt idx="487">
                  <c:v>1.0745689973181132</c:v>
                </c:pt>
                <c:pt idx="488">
                  <c:v>1.0759178385109314</c:v>
                </c:pt>
                <c:pt idx="489">
                  <c:v>1.0772674416679342</c:v>
                </c:pt>
                <c:pt idx="490">
                  <c:v>1.0786178030417195</c:v>
                </c:pt>
                <c:pt idx="491">
                  <c:v>1.0799689189106263</c:v>
                </c:pt>
                <c:pt idx="492">
                  <c:v>1.0813207855785087</c:v>
                </c:pt>
                <c:pt idx="493">
                  <c:v>1.0826733993745092</c:v>
                </c:pt>
                <c:pt idx="494">
                  <c:v>1.084026756652839</c:v>
                </c:pt>
                <c:pt idx="495">
                  <c:v>1.0853808537925573</c:v>
                </c:pt>
                <c:pt idx="496">
                  <c:v>1.0867356871973546</c:v>
                </c:pt>
                <c:pt idx="497">
                  <c:v>1.0880912532953362</c:v>
                </c:pt>
                <c:pt idx="498">
                  <c:v>1.0894475485388118</c:v>
                </c:pt>
                <c:pt idx="499">
                  <c:v>1.090804569404084</c:v>
                </c:pt>
                <c:pt idx="500">
                  <c:v>1.0921623123912396</c:v>
                </c:pt>
                <c:pt idx="501">
                  <c:v>1.093520774023945</c:v>
                </c:pt>
                <c:pt idx="502">
                  <c:v>1.0948799508492406</c:v>
                </c:pt>
                <c:pt idx="503">
                  <c:v>1.0962398394373409</c:v>
                </c:pt>
                <c:pt idx="504">
                  <c:v>1.0976004363814345</c:v>
                </c:pt>
                <c:pt idx="505">
                  <c:v>1.0989617382974854</c:v>
                </c:pt>
                <c:pt idx="506">
                  <c:v>1.1003237418240392</c:v>
                </c:pt>
                <c:pt idx="507">
                  <c:v>1.1016864436220299</c:v>
                </c:pt>
                <c:pt idx="508">
                  <c:v>1.1030498403745872</c:v>
                </c:pt>
                <c:pt idx="509">
                  <c:v>1.104413928786848</c:v>
                </c:pt>
                <c:pt idx="510">
                  <c:v>1.1057787055857693</c:v>
                </c:pt>
                <c:pt idx="511">
                  <c:v>1.1071441675199425</c:v>
                </c:pt>
                <c:pt idx="512">
                  <c:v>1.1085103113594101</c:v>
                </c:pt>
                <c:pt idx="513">
                  <c:v>1.109877133895484</c:v>
                </c:pt>
                <c:pt idx="514">
                  <c:v>1.1112446319405653</c:v>
                </c:pt>
                <c:pt idx="515">
                  <c:v>1.1126128023279676</c:v>
                </c:pt>
                <c:pt idx="516">
                  <c:v>1.1139816419117405</c:v>
                </c:pt>
                <c:pt idx="517">
                  <c:v>1.1153511475664948</c:v>
                </c:pt>
                <c:pt idx="518">
                  <c:v>1.1167213161872307</c:v>
                </c:pt>
                <c:pt idx="519">
                  <c:v>1.1180921446891667</c:v>
                </c:pt>
                <c:pt idx="520">
                  <c:v>1.1194636300075722</c:v>
                </c:pt>
                <c:pt idx="521">
                  <c:v>1.1208357690975979</c:v>
                </c:pt>
                <c:pt idx="522">
                  <c:v>1.1222085589341113</c:v>
                </c:pt>
                <c:pt idx="523">
                  <c:v>1.1235819965115343</c:v>
                </c:pt>
                <c:pt idx="524">
                  <c:v>1.124956078843679</c:v>
                </c:pt>
                <c:pt idx="525">
                  <c:v>1.1263308029635883</c:v>
                </c:pt>
                <c:pt idx="526">
                  <c:v>1.1277061659233762</c:v>
                </c:pt>
                <c:pt idx="527">
                  <c:v>1.1290821647940721</c:v>
                </c:pt>
                <c:pt idx="528">
                  <c:v>1.1304587966654631</c:v>
                </c:pt>
                <c:pt idx="529">
                  <c:v>1.1318360586459413</c:v>
                </c:pt>
                <c:pt idx="530">
                  <c:v>1.1332139478623504</c:v>
                </c:pt>
                <c:pt idx="531">
                  <c:v>1.1345924614598353</c:v>
                </c:pt>
                <c:pt idx="532">
                  <c:v>1.1359715966016917</c:v>
                </c:pt>
                <c:pt idx="533">
                  <c:v>1.137351350469219</c:v>
                </c:pt>
                <c:pt idx="534">
                  <c:v>1.1387317202615728</c:v>
                </c:pt>
                <c:pt idx="535">
                  <c:v>1.14011270319562</c:v>
                </c:pt>
                <c:pt idx="536">
                  <c:v>1.1414942965057961</c:v>
                </c:pt>
                <c:pt idx="537">
                  <c:v>1.1428764974439611</c:v>
                </c:pt>
                <c:pt idx="538">
                  <c:v>1.1442593032792601</c:v>
                </c:pt>
                <c:pt idx="539">
                  <c:v>1.1456427112979832</c:v>
                </c:pt>
                <c:pt idx="540">
                  <c:v>1.1470267188034275</c:v>
                </c:pt>
                <c:pt idx="541">
                  <c:v>1.1484113231157602</c:v>
                </c:pt>
                <c:pt idx="542">
                  <c:v>1.1497965215718835</c:v>
                </c:pt>
                <c:pt idx="543">
                  <c:v>1.1511823115253004</c:v>
                </c:pt>
                <c:pt idx="544">
                  <c:v>1.1525686903459815</c:v>
                </c:pt>
                <c:pt idx="545">
                  <c:v>1.1539556554202341</c:v>
                </c:pt>
                <c:pt idx="546">
                  <c:v>1.155343204150572</c:v>
                </c:pt>
                <c:pt idx="547">
                  <c:v>1.1567313339555856</c:v>
                </c:pt>
                <c:pt idx="548">
                  <c:v>1.1581200422698161</c:v>
                </c:pt>
                <c:pt idx="549">
                  <c:v>1.1595093265436267</c:v>
                </c:pt>
                <c:pt idx="550">
                  <c:v>1.1608991842430791</c:v>
                </c:pt>
                <c:pt idx="551">
                  <c:v>1.162289612849809</c:v>
                </c:pt>
                <c:pt idx="552">
                  <c:v>1.1636806098609034</c:v>
                </c:pt>
                <c:pt idx="553">
                  <c:v>1.1650721727887783</c:v>
                </c:pt>
                <c:pt idx="554">
                  <c:v>1.166464299161059</c:v>
                </c:pt>
                <c:pt idx="555">
                  <c:v>1.1678569865204604</c:v>
                </c:pt>
                <c:pt idx="556">
                  <c:v>1.1692502324246692</c:v>
                </c:pt>
                <c:pt idx="557">
                  <c:v>1.1706440344462266</c:v>
                </c:pt>
                <c:pt idx="558">
                  <c:v>1.1720383901724114</c:v>
                </c:pt>
                <c:pt idx="559">
                  <c:v>1.1734332972051276</c:v>
                </c:pt>
                <c:pt idx="560">
                  <c:v>1.1748287531607884</c:v>
                </c:pt>
                <c:pt idx="561">
                  <c:v>1.1762247556702039</c:v>
                </c:pt>
                <c:pt idx="562">
                  <c:v>1.177621302378471</c:v>
                </c:pt>
                <c:pt idx="563">
                  <c:v>1.1790183909448606</c:v>
                </c:pt>
                <c:pt idx="564">
                  <c:v>1.1804160190427107</c:v>
                </c:pt>
                <c:pt idx="565">
                  <c:v>1.1818141843593157</c:v>
                </c:pt>
                <c:pt idx="566">
                  <c:v>1.1832128845958196</c:v>
                </c:pt>
                <c:pt idx="567">
                  <c:v>1.1846121174671105</c:v>
                </c:pt>
                <c:pt idx="568">
                  <c:v>1.1860118807017139</c:v>
                </c:pt>
                <c:pt idx="569">
                  <c:v>1.1874121720416895</c:v>
                </c:pt>
                <c:pt idx="570">
                  <c:v>1.1888129892425261</c:v>
                </c:pt>
                <c:pt idx="571">
                  <c:v>1.190214330073041</c:v>
                </c:pt>
                <c:pt idx="572">
                  <c:v>1.1916161923152768</c:v>
                </c:pt>
                <c:pt idx="573">
                  <c:v>1.1930185737644021</c:v>
                </c:pt>
                <c:pt idx="574">
                  <c:v>1.1944214722286102</c:v>
                </c:pt>
                <c:pt idx="575">
                  <c:v>1.1958248855290226</c:v>
                </c:pt>
                <c:pt idx="576">
                  <c:v>1.1972288114995893</c:v>
                </c:pt>
                <c:pt idx="577">
                  <c:v>1.1986332479869926</c:v>
                </c:pt>
                <c:pt idx="578">
                  <c:v>1.2000381928505508</c:v>
                </c:pt>
                <c:pt idx="579">
                  <c:v>1.2014436439621234</c:v>
                </c:pt>
                <c:pt idx="580">
                  <c:v>1.2028495992060169</c:v>
                </c:pt>
                <c:pt idx="581">
                  <c:v>1.2042560564788902</c:v>
                </c:pt>
                <c:pt idx="582">
                  <c:v>1.205663013689664</c:v>
                </c:pt>
                <c:pt idx="583">
                  <c:v>1.2070704687594276</c:v>
                </c:pt>
                <c:pt idx="584">
                  <c:v>1.2084784196213483</c:v>
                </c:pt>
                <c:pt idx="585">
                  <c:v>1.2098868642205818</c:v>
                </c:pt>
                <c:pt idx="586">
                  <c:v>1.2112958005141823</c:v>
                </c:pt>
                <c:pt idx="587">
                  <c:v>1.212705226471015</c:v>
                </c:pt>
                <c:pt idx="588">
                  <c:v>1.2141151400716674</c:v>
                </c:pt>
                <c:pt idx="589">
                  <c:v>1.2155255393083635</c:v>
                </c:pt>
                <c:pt idx="590">
                  <c:v>1.2169364221848769</c:v>
                </c:pt>
                <c:pt idx="591">
                  <c:v>1.2183477867164458</c:v>
                </c:pt>
                <c:pt idx="592">
                  <c:v>1.2197596309296892</c:v>
                </c:pt>
                <c:pt idx="593">
                  <c:v>1.2211719528625222</c:v>
                </c:pt>
                <c:pt idx="594">
                  <c:v>1.222584750564073</c:v>
                </c:pt>
                <c:pt idx="595">
                  <c:v>1.2239980220946018</c:v>
                </c:pt>
                <c:pt idx="596">
                  <c:v>1.2254117655254184</c:v>
                </c:pt>
                <c:pt idx="597">
                  <c:v>1.226825978938801</c:v>
                </c:pt>
                <c:pt idx="598">
                  <c:v>1.2282406604279168</c:v>
                </c:pt>
                <c:pt idx="599">
                  <c:v>1.2296558080967435</c:v>
                </c:pt>
                <c:pt idx="600">
                  <c:v>1.2310714200599886</c:v>
                </c:pt>
                <c:pt idx="601">
                  <c:v>1.2324874944430131</c:v>
                </c:pt>
                <c:pt idx="602">
                  <c:v>1.2339040293817534</c:v>
                </c:pt>
                <c:pt idx="603">
                  <c:v>1.2353210230226457</c:v>
                </c:pt>
                <c:pt idx="604">
                  <c:v>1.2367384735225491</c:v>
                </c:pt>
                <c:pt idx="605">
                  <c:v>1.2381563790486703</c:v>
                </c:pt>
                <c:pt idx="606">
                  <c:v>1.2395747377784905</c:v>
                </c:pt>
                <c:pt idx="607">
                  <c:v>1.240993547899689</c:v>
                </c:pt>
                <c:pt idx="608">
                  <c:v>1.2424128076100733</c:v>
                </c:pt>
                <c:pt idx="609">
                  <c:v>1.2438325151175031</c:v>
                </c:pt>
                <c:pt idx="610">
                  <c:v>1.2452526686398204</c:v>
                </c:pt>
                <c:pt idx="611">
                  <c:v>1.2466732664047777</c:v>
                </c:pt>
                <c:pt idx="612">
                  <c:v>1.2480943066499672</c:v>
                </c:pt>
                <c:pt idx="613">
                  <c:v>1.2495157876227505</c:v>
                </c:pt>
                <c:pt idx="614">
                  <c:v>1.2509377075801889</c:v>
                </c:pt>
                <c:pt idx="615">
                  <c:v>1.252360064788975</c:v>
                </c:pt>
                <c:pt idx="616">
                  <c:v>1.2537828575253651</c:v>
                </c:pt>
                <c:pt idx="617">
                  <c:v>1.2552060840751098</c:v>
                </c:pt>
                <c:pt idx="618">
                  <c:v>1.2566297427333875</c:v>
                </c:pt>
                <c:pt idx="619">
                  <c:v>1.258053831804739</c:v>
                </c:pt>
                <c:pt idx="620">
                  <c:v>1.2594783496029995</c:v>
                </c:pt>
                <c:pt idx="621">
                  <c:v>1.2609032944512357</c:v>
                </c:pt>
                <c:pt idx="622">
                  <c:v>1.2623286646816778</c:v>
                </c:pt>
                <c:pt idx="623">
                  <c:v>1.2637544586356579</c:v>
                </c:pt>
                <c:pt idx="624">
                  <c:v>1.2651806746635461</c:v>
                </c:pt>
                <c:pt idx="625">
                  <c:v>1.2666073111246852</c:v>
                </c:pt>
                <c:pt idx="626">
                  <c:v>1.2680343663873292</c:v>
                </c:pt>
                <c:pt idx="627">
                  <c:v>1.2694618388285832</c:v>
                </c:pt>
                <c:pt idx="628">
                  <c:v>1.2708897268343382</c:v>
                </c:pt>
                <c:pt idx="629">
                  <c:v>1.2723180287992122</c:v>
                </c:pt>
                <c:pt idx="630">
                  <c:v>1.2737467431264895</c:v>
                </c:pt>
                <c:pt idx="631">
                  <c:v>1.2751758682280601</c:v>
                </c:pt>
                <c:pt idx="632">
                  <c:v>1.2766054025243612</c:v>
                </c:pt>
                <c:pt idx="633">
                  <c:v>1.2780353444443164</c:v>
                </c:pt>
                <c:pt idx="634">
                  <c:v>1.2794656924252785</c:v>
                </c:pt>
                <c:pt idx="635">
                  <c:v>1.2808964449129721</c:v>
                </c:pt>
                <c:pt idx="636">
                  <c:v>1.2823276003614335</c:v>
                </c:pt>
                <c:pt idx="637">
                  <c:v>1.2837591572329567</c:v>
                </c:pt>
                <c:pt idx="638">
                  <c:v>1.2851911139980343</c:v>
                </c:pt>
                <c:pt idx="639">
                  <c:v>1.2866234691353031</c:v>
                </c:pt>
                <c:pt idx="640">
                  <c:v>1.2880562211314874</c:v>
                </c:pt>
                <c:pt idx="641">
                  <c:v>1.2894893684813449</c:v>
                </c:pt>
                <c:pt idx="642">
                  <c:v>1.2909229096876098</c:v>
                </c:pt>
                <c:pt idx="643">
                  <c:v>1.2923568432609418</c:v>
                </c:pt>
                <c:pt idx="644">
                  <c:v>1.2937911677198692</c:v>
                </c:pt>
                <c:pt idx="645">
                  <c:v>1.2952258815907376</c:v>
                </c:pt>
                <c:pt idx="646">
                  <c:v>1.2966609834076555</c:v>
                </c:pt>
                <c:pt idx="647">
                  <c:v>1.2980964717124424</c:v>
                </c:pt>
                <c:pt idx="648">
                  <c:v>1.2995323450545779</c:v>
                </c:pt>
                <c:pt idx="649">
                  <c:v>1.3009686019911484</c:v>
                </c:pt>
                <c:pt idx="650">
                  <c:v>1.3024052410867957</c:v>
                </c:pt>
                <c:pt idx="651">
                  <c:v>1.3038422609136682</c:v>
                </c:pt>
                <c:pt idx="652">
                  <c:v>1.3052796600513688</c:v>
                </c:pt>
                <c:pt idx="653">
                  <c:v>1.306717437086905</c:v>
                </c:pt>
                <c:pt idx="654">
                  <c:v>1.3081555906146409</c:v>
                </c:pt>
                <c:pt idx="655">
                  <c:v>1.3095941192362459</c:v>
                </c:pt>
                <c:pt idx="656">
                  <c:v>1.3110330215606476</c:v>
                </c:pt>
                <c:pt idx="657">
                  <c:v>1.3124722962039832</c:v>
                </c:pt>
                <c:pt idx="658">
                  <c:v>1.3139119417895497</c:v>
                </c:pt>
                <c:pt idx="659">
                  <c:v>1.3153519569477601</c:v>
                </c:pt>
                <c:pt idx="660">
                  <c:v>1.3167923403160922</c:v>
                </c:pt>
                <c:pt idx="661">
                  <c:v>1.3182330905390442</c:v>
                </c:pt>
                <c:pt idx="662">
                  <c:v>1.3196742062680877</c:v>
                </c:pt>
                <c:pt idx="663">
                  <c:v>1.3211156861616213</c:v>
                </c:pt>
                <c:pt idx="664">
                  <c:v>1.3225575288849261</c:v>
                </c:pt>
                <c:pt idx="665">
                  <c:v>1.3239997331101181</c:v>
                </c:pt>
                <c:pt idx="666">
                  <c:v>1.325442297516106</c:v>
                </c:pt>
                <c:pt idx="667">
                  <c:v>1.3268852207885447</c:v>
                </c:pt>
                <c:pt idx="668">
                  <c:v>1.3283285016197919</c:v>
                </c:pt>
                <c:pt idx="669">
                  <c:v>1.3297721387088635</c:v>
                </c:pt>
                <c:pt idx="670">
                  <c:v>1.331216130761391</c:v>
                </c:pt>
                <c:pt idx="671">
                  <c:v>1.332660476489578</c:v>
                </c:pt>
                <c:pt idx="672">
                  <c:v>1.3341051746121573</c:v>
                </c:pt>
                <c:pt idx="673">
                  <c:v>1.335550223854348</c:v>
                </c:pt>
                <c:pt idx="674">
                  <c:v>1.3369956229478139</c:v>
                </c:pt>
                <c:pt idx="675">
                  <c:v>1.3384413706306217</c:v>
                </c:pt>
                <c:pt idx="676">
                  <c:v>1.3398874656471995</c:v>
                </c:pt>
                <c:pt idx="677">
                  <c:v>1.3413339067482946</c:v>
                </c:pt>
                <c:pt idx="678">
                  <c:v>1.3427806926909345</c:v>
                </c:pt>
                <c:pt idx="679">
                  <c:v>1.3442278222383846</c:v>
                </c:pt>
                <c:pt idx="680">
                  <c:v>1.34567529416011</c:v>
                </c:pt>
                <c:pt idx="681">
                  <c:v>1.3471231072317331</c:v>
                </c:pt>
                <c:pt idx="682">
                  <c:v>1.3485712602349962</c:v>
                </c:pt>
                <c:pt idx="683">
                  <c:v>1.3500197519577215</c:v>
                </c:pt>
                <c:pt idx="684">
                  <c:v>1.3514685811937714</c:v>
                </c:pt>
                <c:pt idx="685">
                  <c:v>1.3529177467430116</c:v>
                </c:pt>
                <c:pt idx="686">
                  <c:v>1.3543672474112705</c:v>
                </c:pt>
                <c:pt idx="687">
                  <c:v>1.355817082010303</c:v>
                </c:pt>
                <c:pt idx="688">
                  <c:v>1.3572672493577524</c:v>
                </c:pt>
                <c:pt idx="689">
                  <c:v>1.3587177482771124</c:v>
                </c:pt>
                <c:pt idx="690">
                  <c:v>1.3601685775976897</c:v>
                </c:pt>
                <c:pt idx="691">
                  <c:v>1.3616197361545685</c:v>
                </c:pt>
                <c:pt idx="692">
                  <c:v>1.3630712227885728</c:v>
                </c:pt>
                <c:pt idx="693">
                  <c:v>1.3645230363462297</c:v>
                </c:pt>
                <c:pt idx="694">
                  <c:v>1.3659751756797345</c:v>
                </c:pt>
                <c:pt idx="695">
                  <c:v>1.3674276396469147</c:v>
                </c:pt>
                <c:pt idx="696">
                  <c:v>1.3688804271111938</c:v>
                </c:pt>
                <c:pt idx="697">
                  <c:v>1.3703335369415572</c:v>
                </c:pt>
                <c:pt idx="698">
                  <c:v>1.3717869680125161</c:v>
                </c:pt>
                <c:pt idx="699">
                  <c:v>1.3732407192040734</c:v>
                </c:pt>
                <c:pt idx="700">
                  <c:v>1.3746947894016901</c:v>
                </c:pt>
                <c:pt idx="701">
                  <c:v>1.3761491774962491</c:v>
                </c:pt>
                <c:pt idx="702">
                  <c:v>1.3776038823840238</c:v>
                </c:pt>
                <c:pt idx="703">
                  <c:v>1.3790589029666422</c:v>
                </c:pt>
                <c:pt idx="704">
                  <c:v>1.3805142381510558</c:v>
                </c:pt>
                <c:pt idx="705">
                  <c:v>1.3819698868495045</c:v>
                </c:pt>
                <c:pt idx="706">
                  <c:v>1.3834258479794845</c:v>
                </c:pt>
                <c:pt idx="707">
                  <c:v>1.3848821204637167</c:v>
                </c:pt>
                <c:pt idx="708">
                  <c:v>1.3863387032301122</c:v>
                </c:pt>
                <c:pt idx="709">
                  <c:v>1.387795595211742</c:v>
                </c:pt>
                <c:pt idx="710">
                  <c:v>1.3892527953468048</c:v>
                </c:pt>
                <c:pt idx="711">
                  <c:v>1.3907103025785941</c:v>
                </c:pt>
                <c:pt idx="712">
                  <c:v>1.3921681158554688</c:v>
                </c:pt>
                <c:pt idx="713">
                  <c:v>1.393626234130821</c:v>
                </c:pt>
                <c:pt idx="714">
                  <c:v>1.3950846563630441</c:v>
                </c:pt>
                <c:pt idx="715">
                  <c:v>1.3965433815155046</c:v>
                </c:pt>
                <c:pt idx="716">
                  <c:v>1.3980024085565088</c:v>
                </c:pt>
                <c:pt idx="717">
                  <c:v>1.3994617364592745</c:v>
                </c:pt>
                <c:pt idx="718">
                  <c:v>1.4009213642019009</c:v>
                </c:pt>
                <c:pt idx="719">
                  <c:v>1.4023812907673372</c:v>
                </c:pt>
                <c:pt idx="720">
                  <c:v>1.4038415151433552</c:v>
                </c:pt>
                <c:pt idx="721">
                  <c:v>1.4053020363225186</c:v>
                </c:pt>
                <c:pt idx="722">
                  <c:v>1.4067628533021539</c:v>
                </c:pt>
                <c:pt idx="723">
                  <c:v>1.4082239650843227</c:v>
                </c:pt>
                <c:pt idx="724">
                  <c:v>1.4096853706757908</c:v>
                </c:pt>
                <c:pt idx="725">
                  <c:v>1.4111470690880021</c:v>
                </c:pt>
                <c:pt idx="726">
                  <c:v>1.4126090593370484</c:v>
                </c:pt>
                <c:pt idx="727">
                  <c:v>1.4140713404436429</c:v>
                </c:pt>
                <c:pt idx="728">
                  <c:v>1.4155339114330916</c:v>
                </c:pt>
                <c:pt idx="729">
                  <c:v>1.4169967713352654</c:v>
                </c:pt>
                <c:pt idx="730">
                  <c:v>1.4184599191845724</c:v>
                </c:pt>
                <c:pt idx="731">
                  <c:v>1.4199233540199325</c:v>
                </c:pt>
                <c:pt idx="732">
                  <c:v>1.4213870748847479</c:v>
                </c:pt>
                <c:pt idx="733">
                  <c:v>1.4228510808268779</c:v>
                </c:pt>
                <c:pt idx="734">
                  <c:v>1.4243153708986118</c:v>
                </c:pt>
                <c:pt idx="735">
                  <c:v>1.4257799441566417</c:v>
                </c:pt>
                <c:pt idx="736">
                  <c:v>1.4272447996620379</c:v>
                </c:pt>
                <c:pt idx="737">
                  <c:v>1.4287099364802214</c:v>
                </c:pt>
                <c:pt idx="738">
                  <c:v>1.4301753536809376</c:v>
                </c:pt>
                <c:pt idx="739">
                  <c:v>1.4316410503382333</c:v>
                </c:pt>
                <c:pt idx="740">
                  <c:v>1.4331070255304279</c:v>
                </c:pt>
                <c:pt idx="741">
                  <c:v>1.4345732783400897</c:v>
                </c:pt>
                <c:pt idx="742">
                  <c:v>1.4360398078540113</c:v>
                </c:pt>
                <c:pt idx="743">
                  <c:v>1.4375066131631826</c:v>
                </c:pt>
                <c:pt idx="744">
                  <c:v>1.438973693362769</c:v>
                </c:pt>
                <c:pt idx="745">
                  <c:v>1.4404410475520839</c:v>
                </c:pt>
                <c:pt idx="746">
                  <c:v>1.4419086748345658</c:v>
                </c:pt>
                <c:pt idx="747">
                  <c:v>1.443376574317754</c:v>
                </c:pt>
                <c:pt idx="748">
                  <c:v>1.444844745113264</c:v>
                </c:pt>
                <c:pt idx="749">
                  <c:v>1.4463131863367642</c:v>
                </c:pt>
                <c:pt idx="750">
                  <c:v>1.4477818971079515</c:v>
                </c:pt>
                <c:pt idx="751">
                  <c:v>1.4492508765505281</c:v>
                </c:pt>
                <c:pt idx="752">
                  <c:v>1.4507201237921783</c:v>
                </c:pt>
                <c:pt idx="753">
                  <c:v>1.4521896379645451</c:v>
                </c:pt>
                <c:pt idx="754">
                  <c:v>1.4536594182032068</c:v>
                </c:pt>
                <c:pt idx="755">
                  <c:v>1.4551294636476546</c:v>
                </c:pt>
                <c:pt idx="756">
                  <c:v>1.4565997734412697</c:v>
                </c:pt>
                <c:pt idx="757">
                  <c:v>1.4580703467313003</c:v>
                </c:pt>
                <c:pt idx="758">
                  <c:v>1.45954118266884</c:v>
                </c:pt>
                <c:pt idx="759">
                  <c:v>1.461012280408805</c:v>
                </c:pt>
                <c:pt idx="760">
                  <c:v>1.4624836391099123</c:v>
                </c:pt>
                <c:pt idx="761">
                  <c:v>1.4639552579346571</c:v>
                </c:pt>
                <c:pt idx="762">
                  <c:v>1.4654271360492916</c:v>
                </c:pt>
                <c:pt idx="763">
                  <c:v>1.4668992726238039</c:v>
                </c:pt>
                <c:pt idx="764">
                  <c:v>1.4683716668318951</c:v>
                </c:pt>
                <c:pt idx="765">
                  <c:v>1.4698443178509588</c:v>
                </c:pt>
                <c:pt idx="766">
                  <c:v>1.4713172248620603</c:v>
                </c:pt>
                <c:pt idx="767">
                  <c:v>1.4727903870499146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64-428A-BA19-1B034D313964}"/>
            </c:ext>
          </c:extLst>
        </c:ser>
        <c:ser>
          <c:idx val="2"/>
          <c:order val="2"/>
          <c:tx>
            <c:v>-3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</c:numCache>
            </c:numRef>
          </c:xVal>
          <c:yVal>
            <c:numRef>
              <c:f>Constraints!$L$22:$L$789</c:f>
              <c:numCache>
                <c:formatCode>General</c:formatCode>
                <c:ptCount val="768"/>
                <c:pt idx="0">
                  <c:v>1.3056405319603592</c:v>
                </c:pt>
                <c:pt idx="1">
                  <c:v>1.2757317481168775</c:v>
                </c:pt>
                <c:pt idx="2">
                  <c:v>1.2480334838551457</c:v>
                </c:pt>
                <c:pt idx="3">
                  <c:v>1.2222996429726625</c:v>
                </c:pt>
                <c:pt idx="4">
                  <c:v>1.1983207896577726</c:v>
                </c:pt>
                <c:pt idx="5">
                  <c:v>1.1759174205399217</c:v>
                </c:pt>
                <c:pt idx="6">
                  <c:v>1.1549346856949949</c:v>
                </c:pt>
                <c:pt idx="7">
                  <c:v>1.1352382038910032</c:v>
                </c:pt>
                <c:pt idx="8">
                  <c:v>1.1167107138829524</c:v>
                </c:pt>
                <c:pt idx="9">
                  <c:v>1.0992493713720253</c:v>
                </c:pt>
                <c:pt idx="10">
                  <c:v>1.0827635495572561</c:v>
                </c:pt>
                <c:pt idx="11">
                  <c:v>1.0671730360846814</c:v>
                </c:pt>
                <c:pt idx="12">
                  <c:v>1.0524065446826236</c:v>
                </c:pt>
                <c:pt idx="13">
                  <c:v>1.0384004786022571</c:v>
                </c:pt>
                <c:pt idx="14">
                  <c:v>1.0250978970429774</c:v>
                </c:pt>
                <c:pt idx="15">
                  <c:v>1.0124476463434651</c:v>
                </c:pt>
                <c:pt idx="16">
                  <c:v>1.0004036257858382</c:v>
                </c:pt>
                <c:pt idx="17">
                  <c:v>0.98892416405060146</c:v>
                </c:pt>
                <c:pt idx="18">
                  <c:v>0.97797148714890214</c:v>
                </c:pt>
                <c:pt idx="19">
                  <c:v>0.96751126239120055</c:v>
                </c:pt>
                <c:pt idx="20">
                  <c:v>0.95751220588161534</c:v>
                </c:pt>
                <c:pt idx="21">
                  <c:v>0.94794574334287884</c:v>
                </c:pt>
                <c:pt idx="22">
                  <c:v>0.93878571591860227</c:v>
                </c:pt>
                <c:pt idx="23">
                  <c:v>0.93000812407318212</c:v>
                </c:pt>
                <c:pt idx="24">
                  <c:v>0.92159090389554943</c:v>
                </c:pt>
                <c:pt idx="25">
                  <c:v>0.91351373107242506</c:v>
                </c:pt>
                <c:pt idx="26">
                  <c:v>0.90575784857704911</c:v>
                </c:pt>
                <c:pt idx="27">
                  <c:v>0.89830591475707511</c:v>
                </c:pt>
                <c:pt idx="28">
                  <c:v>0.89114186902896064</c:v>
                </c:pt>
                <c:pt idx="29">
                  <c:v>0.8842508128180715</c:v>
                </c:pt>
                <c:pt idx="30">
                  <c:v>0.87761890374146367</c:v>
                </c:pt>
                <c:pt idx="31">
                  <c:v>0.87123326132784196</c:v>
                </c:pt>
                <c:pt idx="32">
                  <c:v>0.8650818828176251</c:v>
                </c:pt>
                <c:pt idx="33">
                  <c:v>0.859153567794263</c:v>
                </c:pt>
                <c:pt idx="34">
                  <c:v>0.85343785057307642</c:v>
                </c:pt>
                <c:pt idx="35">
                  <c:v>0.84792493942171365</c:v>
                </c:pt>
                <c:pt idx="36">
                  <c:v>0.84260566181148422</c:v>
                </c:pt>
                <c:pt idx="37">
                  <c:v>0.83747141500517741</c:v>
                </c:pt>
                <c:pt idx="38">
                  <c:v>0.83251412137758674</c:v>
                </c:pt>
                <c:pt idx="39">
                  <c:v>0.82772618794241226</c:v>
                </c:pt>
                <c:pt idx="40">
                  <c:v>0.82310046962559091</c:v>
                </c:pt>
                <c:pt idx="41">
                  <c:v>0.81863023588216177</c:v>
                </c:pt>
                <c:pt idx="42">
                  <c:v>0.81430914030293278</c:v>
                </c:pt>
                <c:pt idx="43">
                  <c:v>0.81013119289969304</c:v>
                </c:pt>
                <c:pt idx="44">
                  <c:v>0.80609073479450466</c:v>
                </c:pt>
                <c:pt idx="45">
                  <c:v>0.80218241507054233</c:v>
                </c:pt>
                <c:pt idx="46">
                  <c:v>0.79840116956973983</c:v>
                </c:pt>
                <c:pt idx="47">
                  <c:v>0.79474220144674601</c:v>
                </c:pt>
                <c:pt idx="48">
                  <c:v>0.79120096330986545</c:v>
                </c:pt>
                <c:pt idx="49">
                  <c:v>0.78777314079822647</c:v>
                </c:pt>
                <c:pt idx="50">
                  <c:v>0.78445463746068866</c:v>
                </c:pt>
                <c:pt idx="51">
                  <c:v>0.78124156081632878</c:v>
                </c:pt>
                <c:pt idx="52">
                  <c:v>0.77813020948896239</c:v>
                </c:pt>
                <c:pt idx="53">
                  <c:v>0.77511706131928126</c:v>
                </c:pt>
                <c:pt idx="54">
                  <c:v>0.7721987623680503</c:v>
                </c:pt>
                <c:pt idx="55">
                  <c:v>0.76937211673251649</c:v>
                </c:pt>
                <c:pt idx="56">
                  <c:v>0.76663407710593012</c:v>
                </c:pt>
                <c:pt idx="57">
                  <c:v>0.76398173601695629</c:v>
                </c:pt>
                <c:pt idx="58">
                  <c:v>0.76141231769187634</c:v>
                </c:pt>
                <c:pt idx="59">
                  <c:v>0.75892317048794622</c:v>
                </c:pt>
                <c:pt idx="60">
                  <c:v>0.75651175985114583</c:v>
                </c:pt>
                <c:pt idx="61">
                  <c:v>0.75417566175592166</c:v>
                </c:pt>
                <c:pt idx="62">
                  <c:v>0.75191255658843181</c:v>
                </c:pt>
                <c:pt idx="63">
                  <c:v>0.74972022343829581</c:v>
                </c:pt>
                <c:pt idx="64">
                  <c:v>0.74759653476701271</c:v>
                </c:pt>
                <c:pt idx="65">
                  <c:v>0.74553945142402722</c:v>
                </c:pt>
                <c:pt idx="66">
                  <c:v>0.74354701798397782</c:v>
                </c:pt>
                <c:pt idx="67">
                  <c:v>0.74161735838095844</c:v>
                </c:pt>
                <c:pt idx="68">
                  <c:v>0.73974867181769899</c:v>
                </c:pt>
                <c:pt idx="69">
                  <c:v>0.73793922892944086</c:v>
                </c:pt>
                <c:pt idx="70">
                  <c:v>0.73618736818398589</c:v>
                </c:pt>
                <c:pt idx="71">
                  <c:v>0.73449149250092893</c:v>
                </c:pt>
                <c:pt idx="72">
                  <c:v>0.73285006607448255</c:v>
                </c:pt>
                <c:pt idx="73">
                  <c:v>0.73126161138556611</c:v>
                </c:pt>
                <c:pt idx="74">
                  <c:v>0.72972470638997977</c:v>
                </c:pt>
                <c:pt idx="75">
                  <c:v>0.72823798187053712</c:v>
                </c:pt>
                <c:pt idx="76">
                  <c:v>0.72680011894197682</c:v>
                </c:pt>
                <c:pt idx="77">
                  <c:v>0.72540984669835029</c:v>
                </c:pt>
                <c:pt idx="78">
                  <c:v>0.7240659399933691</c:v>
                </c:pt>
                <c:pt idx="79">
                  <c:v>0.72276721734492777</c:v>
                </c:pt>
                <c:pt idx="80">
                  <c:v>0.72151253895567502</c:v>
                </c:pt>
                <c:pt idx="81">
                  <c:v>0.72030080484211845</c:v>
                </c:pt>
                <c:pt idx="82">
                  <c:v>0.71913095306530039</c:v>
                </c:pt>
                <c:pt idx="83">
                  <c:v>0.71800195805659328</c:v>
                </c:pt>
                <c:pt idx="84">
                  <c:v>0.71691282903263298</c:v>
                </c:pt>
                <c:pt idx="85">
                  <c:v>0.71586260849383665</c:v>
                </c:pt>
                <c:pt idx="86">
                  <c:v>0.71485037080134606</c:v>
                </c:pt>
                <c:pt idx="87">
                  <c:v>0.71387522082760335</c:v>
                </c:pt>
                <c:pt idx="88">
                  <c:v>0.7129362926761007</c:v>
                </c:pt>
                <c:pt idx="89">
                  <c:v>0.71203274846615128</c:v>
                </c:pt>
                <c:pt idx="90">
                  <c:v>0.71116377717881751</c:v>
                </c:pt>
                <c:pt idx="91">
                  <c:v>0.71032859356039291</c:v>
                </c:pt>
                <c:pt idx="92">
                  <c:v>0.7095264370800769</c:v>
                </c:pt>
                <c:pt idx="93">
                  <c:v>0.70875657093870537</c:v>
                </c:pt>
                <c:pt idx="94">
                  <c:v>0.70801828112561083</c:v>
                </c:pt>
                <c:pt idx="95">
                  <c:v>0.70731087552087413</c:v>
                </c:pt>
                <c:pt idx="96">
                  <c:v>0.70663368304040741</c:v>
                </c:pt>
                <c:pt idx="97">
                  <c:v>0.7059860528214783</c:v>
                </c:pt>
                <c:pt idx="98">
                  <c:v>0.70536735344643287</c:v>
                </c:pt>
                <c:pt idx="99">
                  <c:v>0.70477697220251634</c:v>
                </c:pt>
                <c:pt idx="100">
                  <c:v>0.70421431437583015</c:v>
                </c:pt>
                <c:pt idx="101">
                  <c:v>0.70367880257757465</c:v>
                </c:pt>
                <c:pt idx="102">
                  <c:v>0.70316987610085357</c:v>
                </c:pt>
                <c:pt idx="103">
                  <c:v>0.70268699030641169</c:v>
                </c:pt>
                <c:pt idx="104">
                  <c:v>0.7022296160357816</c:v>
                </c:pt>
                <c:pt idx="105">
                  <c:v>0.70179723905040703</c:v>
                </c:pt>
                <c:pt idx="106">
                  <c:v>0.7013893594953946</c:v>
                </c:pt>
                <c:pt idx="107">
                  <c:v>0.70100549138662605</c:v>
                </c:pt>
                <c:pt idx="108">
                  <c:v>0.70064516212003847</c:v>
                </c:pt>
                <c:pt idx="109">
                  <c:v>0.70030791200194975</c:v>
                </c:pt>
                <c:pt idx="110">
                  <c:v>0.69999329379936959</c:v>
                </c:pt>
                <c:pt idx="111">
                  <c:v>0.69970087230930145</c:v>
                </c:pt>
                <c:pt idx="112">
                  <c:v>0.69943022394609322</c:v>
                </c:pt>
                <c:pt idx="113">
                  <c:v>0.69918093634595035</c:v>
                </c:pt>
                <c:pt idx="114">
                  <c:v>0.69895260798777425</c:v>
                </c:pt>
                <c:pt idx="115">
                  <c:v>0.69874484782953661</c:v>
                </c:pt>
                <c:pt idx="116">
                  <c:v>0.69855727495944142</c:v>
                </c:pt>
                <c:pt idx="117">
                  <c:v>0.69838951826117135</c:v>
                </c:pt>
                <c:pt idx="118">
                  <c:v>0.69824121609254997</c:v>
                </c:pt>
                <c:pt idx="119">
                  <c:v>0.69811201597699024</c:v>
                </c:pt>
                <c:pt idx="120">
                  <c:v>0.69800157430713083</c:v>
                </c:pt>
                <c:pt idx="121">
                  <c:v>0.69790955606009897</c:v>
                </c:pt>
                <c:pt idx="122">
                  <c:v>0.69783563452385966</c:v>
                </c:pt>
                <c:pt idx="123">
                  <c:v>0.69777949103415016</c:v>
                </c:pt>
                <c:pt idx="124">
                  <c:v>0.69774081472151583</c:v>
                </c:pt>
                <c:pt idx="125">
                  <c:v>0.69771930226799261</c:v>
                </c:pt>
                <c:pt idx="126">
                  <c:v>0.697714657673007</c:v>
                </c:pt>
                <c:pt idx="127">
                  <c:v>0.69772659202807996</c:v>
                </c:pt>
                <c:pt idx="128">
                  <c:v>0.69775482329994953</c:v>
                </c:pt>
                <c:pt idx="129">
                  <c:v>0.69779907612174186</c:v>
                </c:pt>
                <c:pt idx="130">
                  <c:v>0.69785908159183885</c:v>
                </c:pt>
                <c:pt idx="131">
                  <c:v>0.69793457708011153</c:v>
                </c:pt>
                <c:pt idx="132">
                  <c:v>0.69802530604120139</c:v>
                </c:pt>
                <c:pt idx="133">
                  <c:v>0.69813101783454923</c:v>
                </c:pt>
                <c:pt idx="134">
                  <c:v>0.69825146755088441</c:v>
                </c:pt>
                <c:pt idx="135">
                  <c:v>0.69838641584490446</c:v>
                </c:pt>
                <c:pt idx="136">
                  <c:v>0.69853562877388264</c:v>
                </c:pt>
                <c:pt idx="137">
                  <c:v>0.69869887764196004</c:v>
                </c:pt>
                <c:pt idx="138">
                  <c:v>0.6988759388498843</c:v>
                </c:pt>
                <c:pt idx="139">
                  <c:v>0.69906659374997449</c:v>
                </c:pt>
                <c:pt idx="140">
                  <c:v>0.69927062850609523</c:v>
                </c:pt>
                <c:pt idx="141">
                  <c:v>0.69948783395843939</c:v>
                </c:pt>
                <c:pt idx="142">
                  <c:v>0.69971800549292573</c:v>
                </c:pt>
                <c:pt idx="143">
                  <c:v>0.69996094291502287</c:v>
                </c:pt>
                <c:pt idx="144">
                  <c:v>0.70021645032782898</c:v>
                </c:pt>
                <c:pt idx="145">
                  <c:v>0.70048433601423399</c:v>
                </c:pt>
                <c:pt idx="146">
                  <c:v>0.70076441232300657</c:v>
                </c:pt>
                <c:pt idx="147">
                  <c:v>0.70105649555864979</c:v>
                </c:pt>
                <c:pt idx="148">
                  <c:v>0.7013604058748828</c:v>
                </c:pt>
                <c:pt idx="149">
                  <c:v>0.70167596717160396</c:v>
                </c:pt>
                <c:pt idx="150">
                  <c:v>0.70200300699520568</c:v>
                </c:pt>
                <c:pt idx="151">
                  <c:v>0.70234135644210949</c:v>
                </c:pt>
                <c:pt idx="152">
                  <c:v>0.70269085006540211</c:v>
                </c:pt>
                <c:pt idx="153">
                  <c:v>0.70305132578445373</c:v>
                </c:pt>
                <c:pt idx="154">
                  <c:v>0.70342262479740647</c:v>
                </c:pt>
                <c:pt idx="155">
                  <c:v>0.70380459149642771</c:v>
                </c:pt>
                <c:pt idx="156">
                  <c:v>0.70419707338562265</c:v>
                </c:pt>
                <c:pt idx="157">
                  <c:v>0.70459992100151136</c:v>
                </c:pt>
                <c:pt idx="158">
                  <c:v>0.70501298783597455</c:v>
                </c:pt>
                <c:pt idx="159">
                  <c:v>0.70543613026157681</c:v>
                </c:pt>
                <c:pt idx="160">
                  <c:v>0.70586920745918424</c:v>
                </c:pt>
                <c:pt idx="161">
                  <c:v>0.70631208134779089</c:v>
                </c:pt>
                <c:pt idx="162">
                  <c:v>0.70676461651647593</c:v>
                </c:pt>
                <c:pt idx="163">
                  <c:v>0.70722668015841517</c:v>
                </c:pt>
                <c:pt idx="164">
                  <c:v>0.70769814200687531</c:v>
                </c:pt>
                <c:pt idx="165">
                  <c:v>0.70817887427311843</c:v>
                </c:pt>
                <c:pt idx="166">
                  <c:v>0.70866875158615228</c:v>
                </c:pt>
                <c:pt idx="167">
                  <c:v>0.70916765093426049</c:v>
                </c:pt>
                <c:pt idx="168">
                  <c:v>0.70967545160825085</c:v>
                </c:pt>
                <c:pt idx="169">
                  <c:v>0.7101920351463632</c:v>
                </c:pt>
                <c:pt idx="170">
                  <c:v>0.71071728528077882</c:v>
                </c:pt>
                <c:pt idx="171">
                  <c:v>0.7112510878856777</c:v>
                </c:pt>
                <c:pt idx="172">
                  <c:v>0.71179333092679087</c:v>
                </c:pt>
                <c:pt idx="173">
                  <c:v>0.71234390441239503</c:v>
                </c:pt>
                <c:pt idx="174">
                  <c:v>0.71290270034570469</c:v>
                </c:pt>
                <c:pt idx="175">
                  <c:v>0.71346961267861309</c:v>
                </c:pt>
                <c:pt idx="176">
                  <c:v>0.71404453726673522</c:v>
                </c:pt>
                <c:pt idx="177">
                  <c:v>0.71462737182571368</c:v>
                </c:pt>
                <c:pt idx="178">
                  <c:v>0.71521801588874245</c:v>
                </c:pt>
                <c:pt idx="179">
                  <c:v>0.71581637076527027</c:v>
                </c:pt>
                <c:pt idx="180">
                  <c:v>0.71642233950084444</c:v>
                </c:pt>
                <c:pt idx="181">
                  <c:v>0.71703582683805878</c:v>
                </c:pt>
                <c:pt idx="182">
                  <c:v>0.71765673917856876</c:v>
                </c:pt>
                <c:pt idx="183">
                  <c:v>0.71828498454614143</c:v>
                </c:pt>
                <c:pt idx="184">
                  <c:v>0.71892047255070468</c:v>
                </c:pt>
                <c:pt idx="185">
                  <c:v>0.71956311435336595</c:v>
                </c:pt>
                <c:pt idx="186">
                  <c:v>0.72021282263236897</c:v>
                </c:pt>
                <c:pt idx="187">
                  <c:v>0.7208695115499586</c:v>
                </c:pt>
                <c:pt idx="188">
                  <c:v>0.72153309672012611</c:v>
                </c:pt>
                <c:pt idx="189">
                  <c:v>0.72220349517720617</c:v>
                </c:pt>
                <c:pt idx="190">
                  <c:v>0.72288062534530106</c:v>
                </c:pt>
                <c:pt idx="191">
                  <c:v>0.72356440700850366</c:v>
                </c:pt>
                <c:pt idx="192">
                  <c:v>0.72425476128189781</c:v>
                </c:pt>
                <c:pt idx="193">
                  <c:v>0.72495161058330981</c:v>
                </c:pt>
                <c:pt idx="194">
                  <c:v>0.72565487860578881</c:v>
                </c:pt>
                <c:pt idx="195">
                  <c:v>0.72636449029079508</c:v>
                </c:pt>
                <c:pt idx="196">
                  <c:v>0.72708037180207374</c:v>
                </c:pt>
                <c:pt idx="197">
                  <c:v>0.72780245050019143</c:v>
                </c:pt>
                <c:pt idx="198">
                  <c:v>0.72853065491772184</c:v>
                </c:pt>
                <c:pt idx="199">
                  <c:v>0.72926491473505317</c:v>
                </c:pt>
                <c:pt idx="200">
                  <c:v>0.7300051607568061</c:v>
                </c:pt>
                <c:pt idx="201">
                  <c:v>0.73075132488883843</c:v>
                </c:pt>
                <c:pt idx="202">
                  <c:v>0.73150334011582419</c:v>
                </c:pt>
                <c:pt idx="203">
                  <c:v>0.73226114047938629</c:v>
                </c:pt>
                <c:pt idx="204">
                  <c:v>0.73302466105676856</c:v>
                </c:pt>
                <c:pt idx="205">
                  <c:v>0.73379383794003261</c:v>
                </c:pt>
                <c:pt idx="206">
                  <c:v>0.73456860821576075</c:v>
                </c:pt>
                <c:pt idx="207">
                  <c:v>0.73534890994525548</c:v>
                </c:pt>
                <c:pt idx="208">
                  <c:v>0.73613468214521582</c:v>
                </c:pt>
                <c:pt idx="209">
                  <c:v>0.73692586476888144</c:v>
                </c:pt>
                <c:pt idx="210">
                  <c:v>0.73772239868762912</c:v>
                </c:pt>
                <c:pt idx="211">
                  <c:v>0.73852422567300868</c:v>
                </c:pt>
                <c:pt idx="212">
                  <c:v>0.73933128837920714</c:v>
                </c:pt>
                <c:pt idx="213">
                  <c:v>0.74014353032592806</c:v>
                </c:pt>
                <c:pt idx="214">
                  <c:v>0.74096089588167502</c:v>
                </c:pt>
                <c:pt idx="215">
                  <c:v>0.74178333024742793</c:v>
                </c:pt>
                <c:pt idx="216">
                  <c:v>0.74261077944070164</c:v>
                </c:pt>
                <c:pt idx="217">
                  <c:v>0.74344319027997474</c:v>
                </c:pt>
                <c:pt idx="218">
                  <c:v>0.74428051036948129</c:v>
                </c:pt>
                <c:pt idx="219">
                  <c:v>0.745122688084353</c:v>
                </c:pt>
                <c:pt idx="220">
                  <c:v>0.74596967255610314</c:v>
                </c:pt>
                <c:pt idx="221">
                  <c:v>0.74682141365844323</c:v>
                </c:pt>
                <c:pt idx="222">
                  <c:v>0.74767786199342379</c:v>
                </c:pt>
                <c:pt idx="223">
                  <c:v>0.74853896887788918</c:v>
                </c:pt>
                <c:pt idx="224">
                  <c:v>0.74940468633023949</c:v>
                </c:pt>
                <c:pt idx="225">
                  <c:v>0.75027496705749086</c:v>
                </c:pt>
                <c:pt idx="226">
                  <c:v>0.75114976444262571</c:v>
                </c:pt>
                <c:pt idx="227">
                  <c:v>0.7520290325322263</c:v>
                </c:pt>
                <c:pt idx="228">
                  <c:v>0.75291272602438364</c:v>
                </c:pt>
                <c:pt idx="229">
                  <c:v>0.75380080025687302</c:v>
                </c:pt>
                <c:pt idx="230">
                  <c:v>0.75469321119559374</c:v>
                </c:pt>
                <c:pt idx="231">
                  <c:v>0.75558991542325937</c:v>
                </c:pt>
                <c:pt idx="232">
                  <c:v>0.75649087012833938</c:v>
                </c:pt>
                <c:pt idx="233">
                  <c:v>0.75739603309423909</c:v>
                </c:pt>
                <c:pt idx="234">
                  <c:v>0.75830536268871718</c:v>
                </c:pt>
                <c:pt idx="235">
                  <c:v>0.7592188178535304</c:v>
                </c:pt>
                <c:pt idx="236">
                  <c:v>0.7601363580943028</c:v>
                </c:pt>
                <c:pt idx="237">
                  <c:v>0.76105794347061251</c:v>
                </c:pt>
                <c:pt idx="238">
                  <c:v>0.76198353458629031</c:v>
                </c:pt>
                <c:pt idx="239">
                  <c:v>0.76291309257992479</c:v>
                </c:pt>
                <c:pt idx="240">
                  <c:v>0.7638465791155693</c:v>
                </c:pt>
                <c:pt idx="241">
                  <c:v>0.76478395637364649</c:v>
                </c:pt>
                <c:pt idx="242">
                  <c:v>0.76572518704204218</c:v>
                </c:pt>
                <c:pt idx="243">
                  <c:v>0.76667023430738879</c:v>
                </c:pt>
                <c:pt idx="244">
                  <c:v>0.7676190618465295</c:v>
                </c:pt>
                <c:pt idx="245">
                  <c:v>0.76857163381815996</c:v>
                </c:pt>
                <c:pt idx="246">
                  <c:v>0.76952791485464478</c:v>
                </c:pt>
                <c:pt idx="247">
                  <c:v>0.77048787005400232</c:v>
                </c:pt>
                <c:pt idx="248">
                  <c:v>0.77145146497205452</c:v>
                </c:pt>
                <c:pt idx="249">
                  <c:v>0.77241866561473826</c:v>
                </c:pt>
                <c:pt idx="250">
                  <c:v>0.77338943843057351</c:v>
                </c:pt>
                <c:pt idx="251">
                  <c:v>0.77436375030328575</c:v>
                </c:pt>
                <c:pt idx="252">
                  <c:v>0.77534156854457659</c:v>
                </c:pt>
                <c:pt idx="253">
                  <c:v>0.77632286088704183</c:v>
                </c:pt>
                <c:pt idx="254">
                  <c:v>0.77730759547723238</c:v>
                </c:pt>
                <c:pt idx="255">
                  <c:v>0.77829574086885256</c:v>
                </c:pt>
                <c:pt idx="256">
                  <c:v>0.77928726601609721</c:v>
                </c:pt>
                <c:pt idx="257">
                  <c:v>0.7802821402671194</c:v>
                </c:pt>
                <c:pt idx="258">
                  <c:v>0.78128033335762859</c:v>
                </c:pt>
                <c:pt idx="259">
                  <c:v>0.78228181540461561</c:v>
                </c:pt>
                <c:pt idx="260">
                  <c:v>0.78328655690020121</c:v>
                </c:pt>
                <c:pt idx="261">
                  <c:v>0.78429452870560512</c:v>
                </c:pt>
                <c:pt idx="262">
                  <c:v>0.78530570204523376</c:v>
                </c:pt>
                <c:pt idx="263">
                  <c:v>0.78632004850088277</c:v>
                </c:pt>
                <c:pt idx="264">
                  <c:v>0.78733754000605272</c:v>
                </c:pt>
                <c:pt idx="265">
                  <c:v>0.7883581488403737</c:v>
                </c:pt>
                <c:pt idx="266">
                  <c:v>0.78938184762413943</c:v>
                </c:pt>
                <c:pt idx="267">
                  <c:v>0.79040860931294488</c:v>
                </c:pt>
                <c:pt idx="268">
                  <c:v>0.79143840719242742</c:v>
                </c:pt>
                <c:pt idx="269">
                  <c:v>0.79247121487310812</c:v>
                </c:pt>
                <c:pt idx="270">
                  <c:v>0.79350700628533111</c:v>
                </c:pt>
                <c:pt idx="271">
                  <c:v>0.79454575567429953</c:v>
                </c:pt>
                <c:pt idx="272">
                  <c:v>0.79558743759520478</c:v>
                </c:pt>
                <c:pt idx="273">
                  <c:v>0.79663202690844748</c:v>
                </c:pt>
                <c:pt idx="274">
                  <c:v>0.7976794987749487</c:v>
                </c:pt>
                <c:pt idx="275">
                  <c:v>0.79872982865154774</c:v>
                </c:pt>
                <c:pt idx="276">
                  <c:v>0.79978299228648764</c:v>
                </c:pt>
                <c:pt idx="277">
                  <c:v>0.80083896571498259</c:v>
                </c:pt>
                <c:pt idx="278">
                  <c:v>0.80189772525486847</c:v>
                </c:pt>
                <c:pt idx="279">
                  <c:v>0.80295924750233372</c:v>
                </c:pt>
                <c:pt idx="280">
                  <c:v>0.80402350932772837</c:v>
                </c:pt>
                <c:pt idx="281">
                  <c:v>0.80509048787145021</c:v>
                </c:pt>
                <c:pt idx="282">
                  <c:v>0.80616016053990558</c:v>
                </c:pt>
                <c:pt idx="283">
                  <c:v>0.80723250500154498</c:v>
                </c:pt>
                <c:pt idx="284">
                  <c:v>0.80830749918296863</c:v>
                </c:pt>
                <c:pt idx="285">
                  <c:v>0.80938512126510487</c:v>
                </c:pt>
                <c:pt idx="286">
                  <c:v>0.81046534967945572</c:v>
                </c:pt>
                <c:pt idx="287">
                  <c:v>0.81154816310441014</c:v>
                </c:pt>
                <c:pt idx="288">
                  <c:v>0.8126335404616245</c:v>
                </c:pt>
                <c:pt idx="289">
                  <c:v>0.81372146091246655</c:v>
                </c:pt>
                <c:pt idx="290">
                  <c:v>0.81481190385452273</c:v>
                </c:pt>
                <c:pt idx="291">
                  <c:v>0.81590484891816839</c:v>
                </c:pt>
                <c:pt idx="292">
                  <c:v>0.81700027596319791</c:v>
                </c:pt>
                <c:pt idx="293">
                  <c:v>0.81809816507551369</c:v>
                </c:pt>
                <c:pt idx="294">
                  <c:v>0.81919849656387511</c:v>
                </c:pt>
                <c:pt idx="295">
                  <c:v>0.82030125095670237</c:v>
                </c:pt>
                <c:pt idx="296">
                  <c:v>0.82140640899893813</c:v>
                </c:pt>
                <c:pt idx="297">
                  <c:v>0.82251395164896191</c:v>
                </c:pt>
                <c:pt idx="298">
                  <c:v>0.82362386007555899</c:v>
                </c:pt>
                <c:pt idx="299">
                  <c:v>0.82473611565494265</c:v>
                </c:pt>
                <c:pt idx="300">
                  <c:v>0.82585069996782545</c:v>
                </c:pt>
                <c:pt idx="301">
                  <c:v>0.82696759479654314</c:v>
                </c:pt>
                <c:pt idx="302">
                  <c:v>0.82808678212222608</c:v>
                </c:pt>
                <c:pt idx="303">
                  <c:v>0.82920824412202099</c:v>
                </c:pt>
                <c:pt idx="304">
                  <c:v>0.83033196316635782</c:v>
                </c:pt>
                <c:pt idx="305">
                  <c:v>0.8314579218162641</c:v>
                </c:pt>
                <c:pt idx="306">
                  <c:v>0.83258610282072509</c:v>
                </c:pt>
                <c:pt idx="307">
                  <c:v>0.8337164891140878</c:v>
                </c:pt>
                <c:pt idx="308">
                  <c:v>0.83484906381350976</c:v>
                </c:pt>
                <c:pt idx="309">
                  <c:v>0.83598381021644785</c:v>
                </c:pt>
                <c:pt idx="310">
                  <c:v>0.83712071179819314</c:v>
                </c:pt>
                <c:pt idx="311">
                  <c:v>0.83825975220944371</c:v>
                </c:pt>
                <c:pt idx="312">
                  <c:v>0.83940091527391902</c:v>
                </c:pt>
                <c:pt idx="313">
                  <c:v>0.84054418498601335</c:v>
                </c:pt>
                <c:pt idx="314">
                  <c:v>0.84168954550848851</c:v>
                </c:pt>
                <c:pt idx="315">
                  <c:v>0.84283698117020434</c:v>
                </c:pt>
                <c:pt idx="316">
                  <c:v>0.84398647646388647</c:v>
                </c:pt>
                <c:pt idx="317">
                  <c:v>0.84513801604393057</c:v>
                </c:pt>
                <c:pt idx="318">
                  <c:v>0.84629158472424226</c:v>
                </c:pt>
                <c:pt idx="319">
                  <c:v>0.84744716747611304</c:v>
                </c:pt>
                <c:pt idx="320">
                  <c:v>0.84860474942612929</c:v>
                </c:pt>
                <c:pt idx="321">
                  <c:v>0.84976431585411594</c:v>
                </c:pt>
                <c:pt idx="322">
                  <c:v>0.85092585219111405</c:v>
                </c:pt>
                <c:pt idx="323">
                  <c:v>0.85208934401738934</c:v>
                </c:pt>
                <c:pt idx="324">
                  <c:v>0.85325477706047392</c:v>
                </c:pt>
                <c:pt idx="325">
                  <c:v>0.85442213719323779</c:v>
                </c:pt>
                <c:pt idx="326">
                  <c:v>0.85559141043199394</c:v>
                </c:pt>
                <c:pt idx="327">
                  <c:v>0.85676258293463015</c:v>
                </c:pt>
                <c:pt idx="328">
                  <c:v>0.85793564099877317</c:v>
                </c:pt>
                <c:pt idx="329">
                  <c:v>0.85911057105998023</c:v>
                </c:pt>
                <c:pt idx="330">
                  <c:v>0.8602873596899594</c:v>
                </c:pt>
                <c:pt idx="331">
                  <c:v>0.86146599359481901</c:v>
                </c:pt>
                <c:pt idx="332">
                  <c:v>0.86264645961334308</c:v>
                </c:pt>
                <c:pt idx="333">
                  <c:v>0.86382874471529436</c:v>
                </c:pt>
                <c:pt idx="334">
                  <c:v>0.86501283599974332</c:v>
                </c:pt>
                <c:pt idx="335">
                  <c:v>0.86619872069342452</c:v>
                </c:pt>
                <c:pt idx="336">
                  <c:v>0.86738638614911689</c:v>
                </c:pt>
                <c:pt idx="337">
                  <c:v>0.86857581984404941</c:v>
                </c:pt>
                <c:pt idx="338">
                  <c:v>0.86976700937833151</c:v>
                </c:pt>
                <c:pt idx="339">
                  <c:v>0.87095994247340836</c:v>
                </c:pt>
                <c:pt idx="340">
                  <c:v>0.8721546069705387</c:v>
                </c:pt>
                <c:pt idx="341">
                  <c:v>0.87335099082929601</c:v>
                </c:pt>
                <c:pt idx="342">
                  <c:v>0.87454908212609295</c:v>
                </c:pt>
                <c:pt idx="343">
                  <c:v>0.87574886905272908</c:v>
                </c:pt>
                <c:pt idx="344">
                  <c:v>0.8769503399149583</c:v>
                </c:pt>
                <c:pt idx="345">
                  <c:v>0.87815348313107999</c:v>
                </c:pt>
                <c:pt idx="346">
                  <c:v>0.87935828723055076</c:v>
                </c:pt>
                <c:pt idx="347">
                  <c:v>0.88056474085261671</c:v>
                </c:pt>
                <c:pt idx="348">
                  <c:v>0.88177283274496676</c:v>
                </c:pt>
                <c:pt idx="349">
                  <c:v>0.88298255176240548</c:v>
                </c:pt>
                <c:pt idx="350">
                  <c:v>0.8841938868655459</c:v>
                </c:pt>
                <c:pt idx="351">
                  <c:v>0.88540682711952312</c:v>
                </c:pt>
                <c:pt idx="352">
                  <c:v>0.88662136169272432</c:v>
                </c:pt>
                <c:pt idx="353">
                  <c:v>0.88783747985553974</c:v>
                </c:pt>
                <c:pt idx="354">
                  <c:v>0.88905517097913123</c:v>
                </c:pt>
                <c:pt idx="355">
                  <c:v>0.89027442453421901</c:v>
                </c:pt>
                <c:pt idx="356">
                  <c:v>0.89149523008988685</c:v>
                </c:pt>
                <c:pt idx="357">
                  <c:v>0.8927175773124032</c:v>
                </c:pt>
                <c:pt idx="358">
                  <c:v>0.89394145596406083</c:v>
                </c:pt>
                <c:pt idx="359">
                  <c:v>0.8951668559020336</c:v>
                </c:pt>
                <c:pt idx="360">
                  <c:v>0.89639376707724838</c:v>
                </c:pt>
                <c:pt idx="361">
                  <c:v>0.89762217953327483</c:v>
                </c:pt>
                <c:pt idx="362">
                  <c:v>0.89885208340522982</c:v>
                </c:pt>
                <c:pt idx="363">
                  <c:v>0.90008346891869939</c:v>
                </c:pt>
                <c:pt idx="364">
                  <c:v>0.90131632638867432</c:v>
                </c:pt>
                <c:pt idx="365">
                  <c:v>0.90255064621850167</c:v>
                </c:pt>
                <c:pt idx="366">
                  <c:v>0.90378641889885225</c:v>
                </c:pt>
                <c:pt idx="367">
                  <c:v>0.90502363500670158</c:v>
                </c:pt>
                <c:pt idx="368">
                  <c:v>0.90626228520432539</c:v>
                </c:pt>
                <c:pt idx="369">
                  <c:v>0.9075023602383101</c:v>
                </c:pt>
                <c:pt idx="370">
                  <c:v>0.90874385093857679</c:v>
                </c:pt>
                <c:pt idx="371">
                  <c:v>0.90998674821741932</c:v>
                </c:pt>
                <c:pt idx="372">
                  <c:v>0.91123104306855507</c:v>
                </c:pt>
                <c:pt idx="373">
                  <c:v>0.91247672656619061</c:v>
                </c:pt>
                <c:pt idx="374">
                  <c:v>0.91372378986409841</c:v>
                </c:pt>
                <c:pt idx="375">
                  <c:v>0.91497222419470858</c:v>
                </c:pt>
                <c:pt idx="376">
                  <c:v>0.9162220208682117</c:v>
                </c:pt>
                <c:pt idx="377">
                  <c:v>0.91747317127167416</c:v>
                </c:pt>
                <c:pt idx="378">
                  <c:v>0.91872566686816737</c:v>
                </c:pt>
                <c:pt idx="379">
                  <c:v>0.91997949919590682</c:v>
                </c:pt>
                <c:pt idx="380">
                  <c:v>0.92123465986740483</c:v>
                </c:pt>
                <c:pt idx="381">
                  <c:v>0.92249114056863335</c:v>
                </c:pt>
                <c:pt idx="382">
                  <c:v>0.92374893305820005</c:v>
                </c:pt>
                <c:pt idx="383">
                  <c:v>0.92500802916653391</c:v>
                </c:pt>
                <c:pt idx="384">
                  <c:v>0.9262684207950832</c:v>
                </c:pt>
                <c:pt idx="385">
                  <c:v>0.92753009991552393</c:v>
                </c:pt>
                <c:pt idx="386">
                  <c:v>0.92879305856897854</c:v>
                </c:pt>
                <c:pt idx="387">
                  <c:v>0.93005728886524619</c:v>
                </c:pt>
                <c:pt idx="388">
                  <c:v>0.9313227829820433</c:v>
                </c:pt>
                <c:pt idx="389">
                  <c:v>0.93258953316425286</c:v>
                </c:pt>
                <c:pt idx="390">
                  <c:v>0.93385753172318542</c:v>
                </c:pt>
                <c:pt idx="391">
                  <c:v>0.93512677103585062</c:v>
                </c:pt>
                <c:pt idx="392">
                  <c:v>0.93639724354423604</c:v>
                </c:pt>
                <c:pt idx="393">
                  <c:v>0.93766894175459703</c:v>
                </c:pt>
                <c:pt idx="394">
                  <c:v>0.9389418582367568</c:v>
                </c:pt>
                <c:pt idx="395">
                  <c:v>0.94021598562341491</c:v>
                </c:pt>
                <c:pt idx="396">
                  <c:v>0.94149131660946461</c:v>
                </c:pt>
                <c:pt idx="397">
                  <c:v>0.94276784395131963</c:v>
                </c:pt>
                <c:pt idx="398">
                  <c:v>0.94404556046625021</c:v>
                </c:pt>
                <c:pt idx="399">
                  <c:v>0.94532445903172735</c:v>
                </c:pt>
                <c:pt idx="400">
                  <c:v>0.94660453258477584</c:v>
                </c:pt>
                <c:pt idx="401">
                  <c:v>0.94788577412133579</c:v>
                </c:pt>
                <c:pt idx="402">
                  <c:v>0.94916817669563214</c:v>
                </c:pt>
                <c:pt idx="403">
                  <c:v>0.95045173341955358</c:v>
                </c:pt>
                <c:pt idx="404">
                  <c:v>0.95173643746203784</c:v>
                </c:pt>
                <c:pt idx="405">
                  <c:v>0.95302228204846606</c:v>
                </c:pt>
                <c:pt idx="406">
                  <c:v>0.95430926046006481</c:v>
                </c:pt>
                <c:pt idx="407">
                  <c:v>0.95559736603331613</c:v>
                </c:pt>
                <c:pt idx="408">
                  <c:v>0.95688659215937433</c:v>
                </c:pt>
                <c:pt idx="409">
                  <c:v>0.95817693228349099</c:v>
                </c:pt>
                <c:pt idx="410">
                  <c:v>0.95946837990444656</c:v>
                </c:pt>
                <c:pt idx="411">
                  <c:v>0.96076092857399131</c:v>
                </c:pt>
                <c:pt idx="412">
                  <c:v>0.96205457189629007</c:v>
                </c:pt>
                <c:pt idx="413">
                  <c:v>0.96334930352737702</c:v>
                </c:pt>
                <c:pt idx="414">
                  <c:v>0.9646451171746161</c:v>
                </c:pt>
                <c:pt idx="415">
                  <c:v>0.96594200659616802</c:v>
                </c:pt>
                <c:pt idx="416">
                  <c:v>0.9672399656004651</c:v>
                </c:pt>
                <c:pt idx="417">
                  <c:v>0.96853898804569161</c:v>
                </c:pt>
                <c:pt idx="418">
                  <c:v>0.96983906783927032</c:v>
                </c:pt>
                <c:pt idx="419">
                  <c:v>0.97114019893735837</c:v>
                </c:pt>
                <c:pt idx="420">
                  <c:v>0.97244237534434541</c:v>
                </c:pt>
                <c:pt idx="421">
                  <c:v>0.9737455911123607</c:v>
                </c:pt>
                <c:pt idx="422">
                  <c:v>0.97504984034078579</c:v>
                </c:pt>
                <c:pt idx="423">
                  <c:v>0.97635511717577272</c:v>
                </c:pt>
                <c:pt idx="424">
                  <c:v>0.9776614158097694</c:v>
                </c:pt>
                <c:pt idx="425">
                  <c:v>0.97896873048104882</c:v>
                </c:pt>
                <c:pt idx="426">
                  <c:v>0.98027705547324606</c:v>
                </c:pt>
                <c:pt idx="427">
                  <c:v>0.98158638511490071</c:v>
                </c:pt>
                <c:pt idx="428">
                  <c:v>0.98289671377900401</c:v>
                </c:pt>
                <c:pt idx="429">
                  <c:v>0.98420803588255135</c:v>
                </c:pt>
                <c:pt idx="430">
                  <c:v>0.98552034588610216</c:v>
                </c:pt>
                <c:pt idx="431">
                  <c:v>0.98683363829334358</c:v>
                </c:pt>
                <c:pt idx="432">
                  <c:v>0.98814790765065952</c:v>
                </c:pt>
                <c:pt idx="433">
                  <c:v>0.98946314854670536</c:v>
                </c:pt>
                <c:pt idx="434">
                  <c:v>0.99077935561198771</c:v>
                </c:pt>
                <c:pt idx="435">
                  <c:v>0.99209652351845001</c:v>
                </c:pt>
                <c:pt idx="436">
                  <c:v>0.99341464697906146</c:v>
                </c:pt>
                <c:pt idx="437">
                  <c:v>0.99473372074741251</c:v>
                </c:pt>
                <c:pt idx="438">
                  <c:v>0.99605373961731369</c:v>
                </c:pt>
                <c:pt idx="439">
                  <c:v>0.99737469842240167</c:v>
                </c:pt>
                <c:pt idx="440">
                  <c:v>0.99869659203574757</c:v>
                </c:pt>
                <c:pt idx="441">
                  <c:v>1.0000194153694704</c:v>
                </c:pt>
                <c:pt idx="442">
                  <c:v>1.0013431633743564</c:v>
                </c:pt>
                <c:pt idx="443">
                  <c:v>1.0026678310394825</c:v>
                </c:pt>
                <c:pt idx="444">
                  <c:v>1.0039934133918433</c:v>
                </c:pt>
                <c:pt idx="445">
                  <c:v>1.0053199054959827</c:v>
                </c:pt>
                <c:pt idx="446">
                  <c:v>1.0066473024536311</c:v>
                </c:pt>
                <c:pt idx="447">
                  <c:v>1.0079755994033457</c:v>
                </c:pt>
                <c:pt idx="448">
                  <c:v>1.0093047915201552</c:v>
                </c:pt>
                <c:pt idx="449">
                  <c:v>1.0106348740152091</c:v>
                </c:pt>
                <c:pt idx="450">
                  <c:v>1.0119658421354305</c:v>
                </c:pt>
                <c:pt idx="451">
                  <c:v>1.0132976911631741</c:v>
                </c:pt>
                <c:pt idx="452">
                  <c:v>1.014630416415887</c:v>
                </c:pt>
                <c:pt idx="453">
                  <c:v>1.0159640132457737</c:v>
                </c:pt>
                <c:pt idx="454">
                  <c:v>1.0172984770394649</c:v>
                </c:pt>
                <c:pt idx="455">
                  <c:v>1.0186338032176914</c:v>
                </c:pt>
                <c:pt idx="456">
                  <c:v>1.0199699872349608</c:v>
                </c:pt>
                <c:pt idx="457">
                  <c:v>1.0213070245792362</c:v>
                </c:pt>
                <c:pt idx="458">
                  <c:v>1.0226449107716227</c:v>
                </c:pt>
                <c:pt idx="459">
                  <c:v>1.0239836413660535</c:v>
                </c:pt>
                <c:pt idx="460">
                  <c:v>1.0253232119489821</c:v>
                </c:pt>
                <c:pt idx="461">
                  <c:v>1.0266636181390769</c:v>
                </c:pt>
                <c:pt idx="462">
                  <c:v>1.0280048555869195</c:v>
                </c:pt>
                <c:pt idx="463">
                  <c:v>1.029346919974707</c:v>
                </c:pt>
                <c:pt idx="464">
                  <c:v>1.0306898070159565</c:v>
                </c:pt>
                <c:pt idx="465">
                  <c:v>1.0320335124552145</c:v>
                </c:pt>
                <c:pt idx="466">
                  <c:v>1.0333780320677679</c:v>
                </c:pt>
                <c:pt idx="467">
                  <c:v>1.0347233616593603</c:v>
                </c:pt>
                <c:pt idx="468">
                  <c:v>1.0360694970659095</c:v>
                </c:pt>
                <c:pt idx="469">
                  <c:v>1.0374164341532286</c:v>
                </c:pt>
                <c:pt idx="470">
                  <c:v>1.0387641688167522</c:v>
                </c:pt>
                <c:pt idx="471">
                  <c:v>1.0401126969812629</c:v>
                </c:pt>
                <c:pt idx="472">
                  <c:v>1.0414620146006228</c:v>
                </c:pt>
                <c:pt idx="473">
                  <c:v>1.0428121176575069</c:v>
                </c:pt>
                <c:pt idx="474">
                  <c:v>1.0441630021631396</c:v>
                </c:pt>
                <c:pt idx="475">
                  <c:v>1.0455146641570363</c:v>
                </c:pt>
                <c:pt idx="476">
                  <c:v>1.0468670997067431</c:v>
                </c:pt>
                <c:pt idx="477">
                  <c:v>1.0482203049075847</c:v>
                </c:pt>
                <c:pt idx="478">
                  <c:v>1.0495742758824118</c:v>
                </c:pt>
                <c:pt idx="479">
                  <c:v>1.0509290087813519</c:v>
                </c:pt>
                <c:pt idx="480">
                  <c:v>1.0522844997815639</c:v>
                </c:pt>
                <c:pt idx="481">
                  <c:v>1.053640745086994</c:v>
                </c:pt>
                <c:pt idx="482">
                  <c:v>1.0549977409281346</c:v>
                </c:pt>
                <c:pt idx="483">
                  <c:v>1.0563554835617877</c:v>
                </c:pt>
                <c:pt idx="484">
                  <c:v>1.0577139692708275</c:v>
                </c:pt>
                <c:pt idx="485">
                  <c:v>1.0590731943639689</c:v>
                </c:pt>
                <c:pt idx="486">
                  <c:v>1.0604331551755355</c:v>
                </c:pt>
                <c:pt idx="487">
                  <c:v>1.0617938480652336</c:v>
                </c:pt>
                <c:pt idx="488">
                  <c:v>1.0631552694179254</c:v>
                </c:pt>
                <c:pt idx="489">
                  <c:v>1.0645174156434061</c:v>
                </c:pt>
                <c:pt idx="490">
                  <c:v>1.0658802831761838</c:v>
                </c:pt>
                <c:pt idx="491">
                  <c:v>1.0672438684752608</c:v>
                </c:pt>
                <c:pt idx="492">
                  <c:v>1.0686081680239186</c:v>
                </c:pt>
                <c:pt idx="493">
                  <c:v>1.069973178329503</c:v>
                </c:pt>
                <c:pt idx="494">
                  <c:v>1.0713388959232135</c:v>
                </c:pt>
                <c:pt idx="495">
                  <c:v>1.0727053173598953</c:v>
                </c:pt>
                <c:pt idx="496">
                  <c:v>1.0740724392178309</c:v>
                </c:pt>
                <c:pt idx="497">
                  <c:v>1.0754402580985363</c:v>
                </c:pt>
                <c:pt idx="498">
                  <c:v>1.0768087706265583</c:v>
                </c:pt>
                <c:pt idx="499">
                  <c:v>1.0781779734492754</c:v>
                </c:pt>
                <c:pt idx="500">
                  <c:v>1.0795478632366982</c:v>
                </c:pt>
                <c:pt idx="501">
                  <c:v>1.0809184366812741</c:v>
                </c:pt>
                <c:pt idx="502">
                  <c:v>1.0822896904976933</c:v>
                </c:pt>
                <c:pt idx="503">
                  <c:v>1.0836616214226971</c:v>
                </c:pt>
                <c:pt idx="504">
                  <c:v>1.0850342262148875</c:v>
                </c:pt>
                <c:pt idx="505">
                  <c:v>1.0864075016545403</c:v>
                </c:pt>
                <c:pt idx="506">
                  <c:v>1.0877814445434175</c:v>
                </c:pt>
                <c:pt idx="507">
                  <c:v>1.0891560517045855</c:v>
                </c:pt>
                <c:pt idx="508">
                  <c:v>1.0905313199822309</c:v>
                </c:pt>
                <c:pt idx="509">
                  <c:v>1.0919072462414821</c:v>
                </c:pt>
                <c:pt idx="510">
                  <c:v>1.0932838273682297</c:v>
                </c:pt>
                <c:pt idx="511">
                  <c:v>1.0946610602689513</c:v>
                </c:pt>
                <c:pt idx="512">
                  <c:v>1.0960389418705361</c:v>
                </c:pt>
                <c:pt idx="513">
                  <c:v>1.097417469120112</c:v>
                </c:pt>
                <c:pt idx="514">
                  <c:v>1.0987966389848747</c:v>
                </c:pt>
                <c:pt idx="515">
                  <c:v>1.1001764484519196</c:v>
                </c:pt>
                <c:pt idx="516">
                  <c:v>1.1015568945280727</c:v>
                </c:pt>
                <c:pt idx="517">
                  <c:v>1.1029379742397252</c:v>
                </c:pt>
                <c:pt idx="518">
                  <c:v>1.1043196846326702</c:v>
                </c:pt>
                <c:pt idx="519">
                  <c:v>1.1057020227719394</c:v>
                </c:pt>
                <c:pt idx="520">
                  <c:v>1.1070849857416432</c:v>
                </c:pt>
                <c:pt idx="521">
                  <c:v>1.1084685706448105</c:v>
                </c:pt>
                <c:pt idx="522">
                  <c:v>1.1098527746032323</c:v>
                </c:pt>
                <c:pt idx="523">
                  <c:v>1.1112375947573052</c:v>
                </c:pt>
                <c:pt idx="524">
                  <c:v>1.1126230282658776</c:v>
                </c:pt>
                <c:pt idx="525">
                  <c:v>1.1140090723060956</c:v>
                </c:pt>
                <c:pt idx="526">
                  <c:v>1.1153957240732535</c:v>
                </c:pt>
                <c:pt idx="527">
                  <c:v>1.1167829807806435</c:v>
                </c:pt>
                <c:pt idx="528">
                  <c:v>1.1181708396594072</c:v>
                </c:pt>
                <c:pt idx="529">
                  <c:v>1.119559297958389</c:v>
                </c:pt>
                <c:pt idx="530">
                  <c:v>1.120948352943991</c:v>
                </c:pt>
                <c:pt idx="531">
                  <c:v>1.1223380019000293</c:v>
                </c:pt>
                <c:pt idx="532">
                  <c:v>1.123728242127592</c:v>
                </c:pt>
                <c:pt idx="533">
                  <c:v>1.1251190709448975</c:v>
                </c:pt>
                <c:pt idx="534">
                  <c:v>1.1265104856871553</c:v>
                </c:pt>
                <c:pt idx="535">
                  <c:v>1.127902483706428</c:v>
                </c:pt>
                <c:pt idx="536">
                  <c:v>1.1292950623714948</c:v>
                </c:pt>
                <c:pt idx="537">
                  <c:v>1.1306882190677157</c:v>
                </c:pt>
                <c:pt idx="538">
                  <c:v>1.1320819511968971</c:v>
                </c:pt>
                <c:pt idx="539">
                  <c:v>1.1334762561771605</c:v>
                </c:pt>
                <c:pt idx="540">
                  <c:v>1.1348711314428093</c:v>
                </c:pt>
                <c:pt idx="541">
                  <c:v>1.1362665744441993</c:v>
                </c:pt>
                <c:pt idx="542">
                  <c:v>1.1376625826476106</c:v>
                </c:pt>
                <c:pt idx="543">
                  <c:v>1.1390591535351189</c:v>
                </c:pt>
                <c:pt idx="544">
                  <c:v>1.1404562846044701</c:v>
                </c:pt>
                <c:pt idx="545">
                  <c:v>1.1418539733689539</c:v>
                </c:pt>
                <c:pt idx="546">
                  <c:v>1.1432522173572814</c:v>
                </c:pt>
                <c:pt idx="547">
                  <c:v>1.1446510141134614</c:v>
                </c:pt>
                <c:pt idx="548">
                  <c:v>1.1460503611966795</c:v>
                </c:pt>
                <c:pt idx="549">
                  <c:v>1.1474502561811768</c:v>
                </c:pt>
                <c:pt idx="550">
                  <c:v>1.1488506966561318</c:v>
                </c:pt>
                <c:pt idx="551">
                  <c:v>1.1502516802255423</c:v>
                </c:pt>
                <c:pt idx="552">
                  <c:v>1.1516532045081072</c:v>
                </c:pt>
                <c:pt idx="553">
                  <c:v>1.153055267137113</c:v>
                </c:pt>
                <c:pt idx="554">
                  <c:v>1.1544578657603166</c:v>
                </c:pt>
                <c:pt idx="555">
                  <c:v>1.155860998039834</c:v>
                </c:pt>
                <c:pt idx="556">
                  <c:v>1.1572646616520268</c:v>
                </c:pt>
                <c:pt idx="557">
                  <c:v>1.1586688542873904</c:v>
                </c:pt>
                <c:pt idx="558">
                  <c:v>1.1600735736504444</c:v>
                </c:pt>
                <c:pt idx="559">
                  <c:v>1.1614788174596231</c:v>
                </c:pt>
                <c:pt idx="560">
                  <c:v>1.1628845834471677</c:v>
                </c:pt>
                <c:pt idx="561">
                  <c:v>1.1642908693590182</c:v>
                </c:pt>
                <c:pt idx="562">
                  <c:v>1.1656976729547075</c:v>
                </c:pt>
                <c:pt idx="563">
                  <c:v>1.1671049920072569</c:v>
                </c:pt>
                <c:pt idx="564">
                  <c:v>1.1685128243030716</c:v>
                </c:pt>
                <c:pt idx="565">
                  <c:v>1.1699211676418366</c:v>
                </c:pt>
                <c:pt idx="566">
                  <c:v>1.1713300198364156</c:v>
                </c:pt>
                <c:pt idx="567">
                  <c:v>1.1727393787127491</c:v>
                </c:pt>
                <c:pt idx="568">
                  <c:v>1.1741492421097544</c:v>
                </c:pt>
                <c:pt idx="569">
                  <c:v>1.1755596078792263</c:v>
                </c:pt>
                <c:pt idx="570">
                  <c:v>1.1769704738857376</c:v>
                </c:pt>
                <c:pt idx="571">
                  <c:v>1.1783818380065432</c:v>
                </c:pt>
                <c:pt idx="572">
                  <c:v>1.1797936981314823</c:v>
                </c:pt>
                <c:pt idx="573">
                  <c:v>1.1812060521628829</c:v>
                </c:pt>
                <c:pt idx="574">
                  <c:v>1.1826188980154673</c:v>
                </c:pt>
                <c:pt idx="575">
                  <c:v>1.1840322336162574</c:v>
                </c:pt>
                <c:pt idx="576">
                  <c:v>1.1854460569044829</c:v>
                </c:pt>
                <c:pt idx="577">
                  <c:v>1.1868603658314874</c:v>
                </c:pt>
                <c:pt idx="578">
                  <c:v>1.1882751583606379</c:v>
                </c:pt>
                <c:pt idx="579">
                  <c:v>1.1896904324672346</c:v>
                </c:pt>
                <c:pt idx="580">
                  <c:v>1.1911061861384209</c:v>
                </c:pt>
                <c:pt idx="581">
                  <c:v>1.1925224173730939</c:v>
                </c:pt>
                <c:pt idx="582">
                  <c:v>1.1939391241818171</c:v>
                </c:pt>
                <c:pt idx="583">
                  <c:v>1.1953563045867324</c:v>
                </c:pt>
                <c:pt idx="584">
                  <c:v>1.1967739566214748</c:v>
                </c:pt>
                <c:pt idx="585">
                  <c:v>1.1981920783310851</c:v>
                </c:pt>
                <c:pt idx="586">
                  <c:v>1.1996106677719267</c:v>
                </c:pt>
                <c:pt idx="587">
                  <c:v>1.2010297230115996</c:v>
                </c:pt>
                <c:pt idx="588">
                  <c:v>1.2024492421288593</c:v>
                </c:pt>
                <c:pt idx="589">
                  <c:v>1.2038692232135315</c:v>
                </c:pt>
                <c:pt idx="590">
                  <c:v>1.2052896643664328</c:v>
                </c:pt>
                <c:pt idx="591">
                  <c:v>1.2067105636992876</c:v>
                </c:pt>
                <c:pt idx="592">
                  <c:v>1.2081319193346491</c:v>
                </c:pt>
                <c:pt idx="593">
                  <c:v>1.2095537294058185</c:v>
                </c:pt>
                <c:pt idx="594">
                  <c:v>1.2109759920567666</c:v>
                </c:pt>
                <c:pt idx="595">
                  <c:v>1.212398705442056</c:v>
                </c:pt>
                <c:pt idx="596">
                  <c:v>1.2138218677267623</c:v>
                </c:pt>
                <c:pt idx="597">
                  <c:v>1.2152454770863983</c:v>
                </c:pt>
                <c:pt idx="598">
                  <c:v>1.2166695317068377</c:v>
                </c:pt>
                <c:pt idx="599">
                  <c:v>1.2180940297842384</c:v>
                </c:pt>
                <c:pt idx="600">
                  <c:v>1.2195189695249702</c:v>
                </c:pt>
                <c:pt idx="601">
                  <c:v>1.2209443491455376</c:v>
                </c:pt>
                <c:pt idx="602">
                  <c:v>1.2223701668725084</c:v>
                </c:pt>
                <c:pt idx="603">
                  <c:v>1.2237964209424403</c:v>
                </c:pt>
                <c:pt idx="604">
                  <c:v>1.2252231096018082</c:v>
                </c:pt>
                <c:pt idx="605">
                  <c:v>1.2266502311069336</c:v>
                </c:pt>
                <c:pt idx="606">
                  <c:v>1.2280777837239123</c:v>
                </c:pt>
                <c:pt idx="607">
                  <c:v>1.2295057657285449</c:v>
                </c:pt>
                <c:pt idx="608">
                  <c:v>1.2309341754062679</c:v>
                </c:pt>
                <c:pt idx="609">
                  <c:v>1.2323630110520829</c:v>
                </c:pt>
                <c:pt idx="610">
                  <c:v>1.2337922709704889</c:v>
                </c:pt>
                <c:pt idx="611">
                  <c:v>1.235221953475415</c:v>
                </c:pt>
                <c:pt idx="612">
                  <c:v>1.236652056890152</c:v>
                </c:pt>
                <c:pt idx="613">
                  <c:v>1.2380825795472865</c:v>
                </c:pt>
                <c:pt idx="614">
                  <c:v>1.2395135197886344</c:v>
                </c:pt>
                <c:pt idx="615">
                  <c:v>1.2409448759651753</c:v>
                </c:pt>
                <c:pt idx="616">
                  <c:v>1.2423766464369879</c:v>
                </c:pt>
                <c:pt idx="617">
                  <c:v>1.2438088295731851</c:v>
                </c:pt>
                <c:pt idx="618">
                  <c:v>1.2452414237518499</c:v>
                </c:pt>
                <c:pt idx="619">
                  <c:v>1.2466744273599737</c:v>
                </c:pt>
                <c:pt idx="620">
                  <c:v>1.2481078387933915</c:v>
                </c:pt>
                <c:pt idx="621">
                  <c:v>1.2495416564567199</c:v>
                </c:pt>
                <c:pt idx="622">
                  <c:v>1.2509758787632972</c:v>
                </c:pt>
                <c:pt idx="623">
                  <c:v>1.2524105041351201</c:v>
                </c:pt>
                <c:pt idx="624">
                  <c:v>1.2538455310027845</c:v>
                </c:pt>
                <c:pt idx="625">
                  <c:v>1.2552809578054245</c:v>
                </c:pt>
                <c:pt idx="626">
                  <c:v>1.2567167829906529</c:v>
                </c:pt>
                <c:pt idx="627">
                  <c:v>1.2581530050145033</c:v>
                </c:pt>
                <c:pt idx="628">
                  <c:v>1.2595896223413692</c:v>
                </c:pt>
                <c:pt idx="629">
                  <c:v>1.2610266334439477</c:v>
                </c:pt>
                <c:pt idx="630">
                  <c:v>1.2624640368031816</c:v>
                </c:pt>
                <c:pt idx="631">
                  <c:v>1.2639018309082015</c:v>
                </c:pt>
                <c:pt idx="632">
                  <c:v>1.2653400142562703</c:v>
                </c:pt>
                <c:pt idx="633">
                  <c:v>1.2667785853527258</c:v>
                </c:pt>
                <c:pt idx="634">
                  <c:v>1.2682175427109259</c:v>
                </c:pt>
                <c:pt idx="635">
                  <c:v>1.269656884852193</c:v>
                </c:pt>
                <c:pt idx="636">
                  <c:v>1.2710966103057593</c:v>
                </c:pt>
                <c:pt idx="637">
                  <c:v>1.2725367176087128</c:v>
                </c:pt>
                <c:pt idx="638">
                  <c:v>1.2739772053059426</c:v>
                </c:pt>
                <c:pt idx="639">
                  <c:v>1.2754180719500863</c:v>
                </c:pt>
                <c:pt idx="640">
                  <c:v>1.2768593161014772</c:v>
                </c:pt>
                <c:pt idx="641">
                  <c:v>1.2783009363280908</c:v>
                </c:pt>
                <c:pt idx="642">
                  <c:v>1.2797429312054935</c:v>
                </c:pt>
                <c:pt idx="643">
                  <c:v>1.2811852993167911</c:v>
                </c:pt>
                <c:pt idx="644">
                  <c:v>1.2826280392525771</c:v>
                </c:pt>
                <c:pt idx="645">
                  <c:v>1.2840711496108819</c:v>
                </c:pt>
                <c:pt idx="646">
                  <c:v>1.2855146289971224</c:v>
                </c:pt>
                <c:pt idx="647">
                  <c:v>1.2869584760240529</c:v>
                </c:pt>
                <c:pt idx="648">
                  <c:v>1.2884026893117146</c:v>
                </c:pt>
                <c:pt idx="649">
                  <c:v>1.2898472674873869</c:v>
                </c:pt>
                <c:pt idx="650">
                  <c:v>1.2912922091855381</c:v>
                </c:pt>
                <c:pt idx="651">
                  <c:v>1.2927375130477781</c:v>
                </c:pt>
                <c:pt idx="652">
                  <c:v>1.2941831777228099</c:v>
                </c:pt>
                <c:pt idx="653">
                  <c:v>1.2956292018663815</c:v>
                </c:pt>
                <c:pt idx="654">
                  <c:v>1.29707558414124</c:v>
                </c:pt>
                <c:pt idx="655">
                  <c:v>1.2985223232170835</c:v>
                </c:pt>
                <c:pt idx="656">
                  <c:v>1.2999694177705163</c:v>
                </c:pt>
                <c:pt idx="657">
                  <c:v>1.3014168664850008</c:v>
                </c:pt>
                <c:pt idx="658">
                  <c:v>1.3028646680508138</c:v>
                </c:pt>
                <c:pt idx="659">
                  <c:v>1.3043128211650006</c:v>
                </c:pt>
                <c:pt idx="660">
                  <c:v>1.3057613245313293</c:v>
                </c:pt>
                <c:pt idx="661">
                  <c:v>1.3072101768602475</c:v>
                </c:pt>
                <c:pt idx="662">
                  <c:v>1.3086593768688375</c:v>
                </c:pt>
                <c:pt idx="663">
                  <c:v>1.3101089232807723</c:v>
                </c:pt>
                <c:pt idx="664">
                  <c:v>1.3115588148262727</c:v>
                </c:pt>
                <c:pt idx="665">
                  <c:v>1.3130090502420639</c:v>
                </c:pt>
                <c:pt idx="666">
                  <c:v>1.3144596282713321</c:v>
                </c:pt>
                <c:pt idx="667">
                  <c:v>1.3159105476636841</c:v>
                </c:pt>
                <c:pt idx="668">
                  <c:v>1.3173618071751023</c:v>
                </c:pt>
                <c:pt idx="669">
                  <c:v>1.3188134055679055</c:v>
                </c:pt>
                <c:pt idx="670">
                  <c:v>1.320265341610706</c:v>
                </c:pt>
                <c:pt idx="671">
                  <c:v>1.3217176140783684</c:v>
                </c:pt>
                <c:pt idx="672">
                  <c:v>1.3231702217519712</c:v>
                </c:pt>
                <c:pt idx="673">
                  <c:v>1.3246231634187631</c:v>
                </c:pt>
                <c:pt idx="674">
                  <c:v>1.3260764378721244</c:v>
                </c:pt>
                <c:pt idx="675">
                  <c:v>1.3275300439115283</c:v>
                </c:pt>
                <c:pt idx="676">
                  <c:v>1.3289839803424994</c:v>
                </c:pt>
                <c:pt idx="677">
                  <c:v>1.3304382459765756</c:v>
                </c:pt>
                <c:pt idx="678">
                  <c:v>1.331892839631269</c:v>
                </c:pt>
                <c:pt idx="679">
                  <c:v>1.3333477601300281</c:v>
                </c:pt>
                <c:pt idx="680">
                  <c:v>1.3348030063021981</c:v>
                </c:pt>
                <c:pt idx="681">
                  <c:v>1.3362585769829844</c:v>
                </c:pt>
                <c:pt idx="682">
                  <c:v>1.3377144710134141</c:v>
                </c:pt>
                <c:pt idx="683">
                  <c:v>1.3391706872402986</c:v>
                </c:pt>
                <c:pt idx="684">
                  <c:v>1.3406272245161974</c:v>
                </c:pt>
                <c:pt idx="685">
                  <c:v>1.3420840816993802</c:v>
                </c:pt>
                <c:pt idx="686">
                  <c:v>1.3435412576537911</c:v>
                </c:pt>
                <c:pt idx="687">
                  <c:v>1.3449987512490122</c:v>
                </c:pt>
                <c:pt idx="688">
                  <c:v>1.3464565613602284</c:v>
                </c:pt>
                <c:pt idx="689">
                  <c:v>1.3479146868681902</c:v>
                </c:pt>
                <c:pt idx="690">
                  <c:v>1.3493731266591793</c:v>
                </c:pt>
                <c:pt idx="691">
                  <c:v>1.3508318796249745</c:v>
                </c:pt>
                <c:pt idx="692">
                  <c:v>1.3522909446628151</c:v>
                </c:pt>
                <c:pt idx="693">
                  <c:v>1.3537503206753667</c:v>
                </c:pt>
                <c:pt idx="694">
                  <c:v>1.355210006570688</c:v>
                </c:pt>
                <c:pt idx="695">
                  <c:v>1.3566700012621959</c:v>
                </c:pt>
                <c:pt idx="696">
                  <c:v>1.3581303036686321</c:v>
                </c:pt>
                <c:pt idx="697">
                  <c:v>1.3595909127140291</c:v>
                </c:pt>
                <c:pt idx="698">
                  <c:v>1.3610518273276777</c:v>
                </c:pt>
                <c:pt idx="699">
                  <c:v>1.3625130464440938</c:v>
                </c:pt>
                <c:pt idx="700">
                  <c:v>1.3639745690029847</c:v>
                </c:pt>
                <c:pt idx="701">
                  <c:v>1.3654363939492185</c:v>
                </c:pt>
                <c:pt idx="702">
                  <c:v>1.3668985202327901</c:v>
                </c:pt>
                <c:pt idx="703">
                  <c:v>1.3683609468087896</c:v>
                </c:pt>
                <c:pt idx="704">
                  <c:v>1.3698236726373723</c:v>
                </c:pt>
                <c:pt idx="705">
                  <c:v>1.3712866966837247</c:v>
                </c:pt>
                <c:pt idx="706">
                  <c:v>1.3727500179180339</c:v>
                </c:pt>
                <c:pt idx="707">
                  <c:v>1.3742136353154584</c:v>
                </c:pt>
                <c:pt idx="708">
                  <c:v>1.3756775478560948</c:v>
                </c:pt>
                <c:pt idx="709">
                  <c:v>1.3771417545249489</c:v>
                </c:pt>
                <c:pt idx="710">
                  <c:v>1.3786062543119042</c:v>
                </c:pt>
                <c:pt idx="711">
                  <c:v>1.3800710462116932</c:v>
                </c:pt>
                <c:pt idx="712">
                  <c:v>1.3815361292238664</c:v>
                </c:pt>
                <c:pt idx="713">
                  <c:v>1.3830015023527631</c:v>
                </c:pt>
                <c:pt idx="714">
                  <c:v>1.3844671646074815</c:v>
                </c:pt>
                <c:pt idx="715">
                  <c:v>1.385933115001851</c:v>
                </c:pt>
                <c:pt idx="716">
                  <c:v>1.3873993525544006</c:v>
                </c:pt>
                <c:pt idx="717">
                  <c:v>1.3888658762883326</c:v>
                </c:pt>
                <c:pt idx="718">
                  <c:v>1.390332685231493</c:v>
                </c:pt>
                <c:pt idx="719">
                  <c:v>1.3917997784163427</c:v>
                </c:pt>
                <c:pt idx="720">
                  <c:v>1.3932671548799309</c:v>
                </c:pt>
                <c:pt idx="721">
                  <c:v>1.3947348136638655</c:v>
                </c:pt>
                <c:pt idx="722">
                  <c:v>1.3962027538142858</c:v>
                </c:pt>
                <c:pt idx="723">
                  <c:v>1.3976709743818361</c:v>
                </c:pt>
                <c:pt idx="724">
                  <c:v>1.3991394744216372</c:v>
                </c:pt>
                <c:pt idx="725">
                  <c:v>1.4006082529932595</c:v>
                </c:pt>
                <c:pt idx="726">
                  <c:v>1.4020773091606966</c:v>
                </c:pt>
                <c:pt idx="727">
                  <c:v>1.4035466419923377</c:v>
                </c:pt>
                <c:pt idx="728">
                  <c:v>1.4050162505609427</c:v>
                </c:pt>
                <c:pt idx="729">
                  <c:v>1.4064861339436139</c:v>
                </c:pt>
                <c:pt idx="730">
                  <c:v>1.4079562912217711</c:v>
                </c:pt>
                <c:pt idx="731">
                  <c:v>1.4094267214811258</c:v>
                </c:pt>
                <c:pt idx="732">
                  <c:v>1.4108974238116545</c:v>
                </c:pt>
                <c:pt idx="733">
                  <c:v>1.4123683973075745</c:v>
                </c:pt>
                <c:pt idx="734">
                  <c:v>1.4138396410673169</c:v>
                </c:pt>
                <c:pt idx="735">
                  <c:v>1.4153111541935024</c:v>
                </c:pt>
                <c:pt idx="736">
                  <c:v>1.4167829357929171</c:v>
                </c:pt>
                <c:pt idx="737">
                  <c:v>1.4182549849764863</c:v>
                </c:pt>
                <c:pt idx="738">
                  <c:v>1.4197273008592495</c:v>
                </c:pt>
                <c:pt idx="739">
                  <c:v>1.4211998825603385</c:v>
                </c:pt>
                <c:pt idx="740">
                  <c:v>1.4226727292029502</c:v>
                </c:pt>
                <c:pt idx="741">
                  <c:v>1.4241458399143241</c:v>
                </c:pt>
                <c:pt idx="742">
                  <c:v>1.4256192138257178</c:v>
                </c:pt>
                <c:pt idx="743">
                  <c:v>1.4270928500723841</c:v>
                </c:pt>
                <c:pt idx="744">
                  <c:v>1.428566747793546</c:v>
                </c:pt>
                <c:pt idx="745">
                  <c:v>1.4300409061323751</c:v>
                </c:pt>
                <c:pt idx="746">
                  <c:v>1.4315153242359659</c:v>
                </c:pt>
                <c:pt idx="747">
                  <c:v>1.4329900012553158</c:v>
                </c:pt>
                <c:pt idx="748">
                  <c:v>1.4344649363452995</c:v>
                </c:pt>
                <c:pt idx="749">
                  <c:v>1.4359401286646476</c:v>
                </c:pt>
                <c:pt idx="750">
                  <c:v>1.4374155773759236</c:v>
                </c:pt>
                <c:pt idx="751">
                  <c:v>1.4388912816455017</c:v>
                </c:pt>
                <c:pt idx="752">
                  <c:v>1.440367240643545</c:v>
                </c:pt>
                <c:pt idx="753">
                  <c:v>1.4418434535439819</c:v>
                </c:pt>
                <c:pt idx="754">
                  <c:v>1.4433199195244859</c:v>
                </c:pt>
                <c:pt idx="755">
                  <c:v>1.4447966377664527</c:v>
                </c:pt>
                <c:pt idx="756">
                  <c:v>1.4462736074549789</c:v>
                </c:pt>
                <c:pt idx="757">
                  <c:v>1.4477508277788405</c:v>
                </c:pt>
                <c:pt idx="758">
                  <c:v>1.4492282979304716</c:v>
                </c:pt>
                <c:pt idx="759">
                  <c:v>1.4507060171059432</c:v>
                </c:pt>
                <c:pt idx="760">
                  <c:v>1.4521839845049425</c:v>
                </c:pt>
                <c:pt idx="761">
                  <c:v>1.4536621993307512</c:v>
                </c:pt>
                <c:pt idx="762">
                  <c:v>1.4551406607902255</c:v>
                </c:pt>
                <c:pt idx="763">
                  <c:v>1.4566193680937756</c:v>
                </c:pt>
                <c:pt idx="764">
                  <c:v>1.4580983204553444</c:v>
                </c:pt>
                <c:pt idx="765">
                  <c:v>1.4595775170923881</c:v>
                </c:pt>
                <c:pt idx="766">
                  <c:v>1.4610569572258556</c:v>
                </c:pt>
                <c:pt idx="767">
                  <c:v>1.4625366400801685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64-428A-BA19-1B034D313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604512"/>
        <c:axId val="748603072"/>
      </c:scatterChart>
      <c:valAx>
        <c:axId val="74860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8603072"/>
        <c:crosses val="autoZero"/>
        <c:crossBetween val="midCat"/>
      </c:valAx>
      <c:valAx>
        <c:axId val="74860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T/W</a:t>
                </a:r>
              </a:p>
            </c:rich>
          </c:tx>
          <c:layout>
            <c:manualLayout>
              <c:xMode val="edge"/>
              <c:yMode val="edge"/>
              <c:x val="2.6490679054519791E-2"/>
              <c:y val="0.394971956925602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8604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214312</xdr:colOff>
      <xdr:row>13</xdr:row>
      <xdr:rowOff>33337</xdr:rowOff>
    </xdr:from>
    <xdr:ext cx="65" cy="1638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A73D05-1725-DA2A-B49E-92E6BC6F17A5}"/>
            </a:ext>
          </a:extLst>
        </xdr:cNvPr>
        <xdr:cNvSpPr txBox="1"/>
      </xdr:nvSpPr>
      <xdr:spPr>
        <a:xfrm>
          <a:off x="8443912" y="3138487"/>
          <a:ext cx="65" cy="163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sv-SE" sz="1100"/>
        </a:p>
      </xdr:txBody>
    </xdr:sp>
    <xdr:clientData/>
  </xdr:oneCellAnchor>
  <xdr:twoCellAnchor>
    <xdr:from>
      <xdr:col>28</xdr:col>
      <xdr:colOff>378999</xdr:colOff>
      <xdr:row>27</xdr:row>
      <xdr:rowOff>93650</xdr:rowOff>
    </xdr:from>
    <xdr:to>
      <xdr:col>35</xdr:col>
      <xdr:colOff>177494</xdr:colOff>
      <xdr:row>43</xdr:row>
      <xdr:rowOff>68369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9C03A9-0538-ECA1-75BC-C2F45CD18B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495300</xdr:colOff>
      <xdr:row>13</xdr:row>
      <xdr:rowOff>28575</xdr:rowOff>
    </xdr:from>
    <xdr:to>
      <xdr:col>34</xdr:col>
      <xdr:colOff>266700</xdr:colOff>
      <xdr:row>26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ECE29FC-25AF-4CC1-81E2-A1AAA2676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407485</xdr:colOff>
      <xdr:row>41</xdr:row>
      <xdr:rowOff>151006</xdr:rowOff>
    </xdr:from>
    <xdr:to>
      <xdr:col>34</xdr:col>
      <xdr:colOff>178885</xdr:colOff>
      <xdr:row>56</xdr:row>
      <xdr:rowOff>41353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E5B63F-856F-4455-89CF-860CAFD6B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249972</xdr:colOff>
      <xdr:row>57</xdr:row>
      <xdr:rowOff>129516</xdr:rowOff>
    </xdr:from>
    <xdr:to>
      <xdr:col>29</xdr:col>
      <xdr:colOff>21373</xdr:colOff>
      <xdr:row>72</xdr:row>
      <xdr:rowOff>15216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458108-02B0-BF8D-72B5-A09D6B829E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673719</xdr:colOff>
      <xdr:row>0</xdr:row>
      <xdr:rowOff>0</xdr:rowOff>
    </xdr:from>
    <xdr:to>
      <xdr:col>25</xdr:col>
      <xdr:colOff>0</xdr:colOff>
      <xdr:row>14</xdr:row>
      <xdr:rowOff>232316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CE916739-B98D-7860-27BF-174BC0BAC28F}"/>
            </a:ext>
          </a:extLst>
        </xdr:cNvPr>
        <xdr:cNvCxnSpPr/>
      </xdr:nvCxnSpPr>
      <xdr:spPr>
        <a:xfrm>
          <a:off x="20769146" y="0"/>
          <a:ext cx="11616" cy="4053932"/>
        </a:xfrm>
        <a:prstGeom prst="line">
          <a:avLst/>
        </a:pr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23</xdr:col>
      <xdr:colOff>662104</xdr:colOff>
      <xdr:row>0</xdr:row>
      <xdr:rowOff>11616</xdr:rowOff>
    </xdr:from>
    <xdr:to>
      <xdr:col>24</xdr:col>
      <xdr:colOff>671628</xdr:colOff>
      <xdr:row>1</xdr:row>
      <xdr:rowOff>21141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3BCFC5C-FBC4-260A-0AF8-71EF93B09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72195" y="11616"/>
          <a:ext cx="694860" cy="462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23</xdr:col>
      <xdr:colOff>9525</xdr:colOff>
      <xdr:row>1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2FC5E2A-572B-9C42-EEC3-67CE5C7CA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16600" y="0"/>
          <a:ext cx="9144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252356</xdr:colOff>
      <xdr:row>19</xdr:row>
      <xdr:rowOff>223333</xdr:rowOff>
    </xdr:from>
    <xdr:to>
      <xdr:col>36</xdr:col>
      <xdr:colOff>108668</xdr:colOff>
      <xdr:row>50</xdr:row>
      <xdr:rowOff>93835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1F34F3-35A1-4E3A-B1E9-884926381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270342</xdr:colOff>
      <xdr:row>52</xdr:row>
      <xdr:rowOff>62753</xdr:rowOff>
    </xdr:from>
    <xdr:to>
      <xdr:col>32</xdr:col>
      <xdr:colOff>630977</xdr:colOff>
      <xdr:row>65</xdr:row>
      <xdr:rowOff>19891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572FF8-AF3A-F02C-B0E1-10B6DF4B98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123825</xdr:colOff>
      <xdr:row>5</xdr:row>
      <xdr:rowOff>28575</xdr:rowOff>
    </xdr:from>
    <xdr:to>
      <xdr:col>18</xdr:col>
      <xdr:colOff>504825</xdr:colOff>
      <xdr:row>21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5937A3-35FA-F52D-62F1-43C8F5E24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0325" y="981075"/>
          <a:ext cx="5867400" cy="346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853D-0307-47C4-9441-18DBE5369851}">
  <sheetPr codeName="Sheet1"/>
  <dimension ref="A1:XFD159"/>
  <sheetViews>
    <sheetView topLeftCell="A4" zoomScale="82" zoomScaleNormal="82" workbookViewId="0">
      <selection activeCell="AE9" sqref="AE9"/>
    </sheetView>
  </sheetViews>
  <sheetFormatPr defaultColWidth="9" defaultRowHeight="15" outlineLevelRow="1" x14ac:dyDescent="0.25"/>
  <cols>
    <col min="1" max="2" width="9" style="20"/>
    <col min="3" max="3" width="11.875" style="20" bestFit="1" customWidth="1"/>
    <col min="4" max="4" width="11" style="20" bestFit="1" customWidth="1"/>
    <col min="5" max="5" width="11.5" style="21" customWidth="1"/>
    <col min="6" max="6" width="10.125" style="22" bestFit="1" customWidth="1"/>
    <col min="7" max="7" width="11.875" style="20" bestFit="1" customWidth="1"/>
    <col min="8" max="8" width="14.25" style="20" bestFit="1" customWidth="1"/>
    <col min="9" max="9" width="9.875" style="20" bestFit="1" customWidth="1"/>
    <col min="10" max="10" width="9" style="23"/>
    <col min="11" max="11" width="10.75" style="20" customWidth="1"/>
    <col min="12" max="12" width="9" style="20"/>
    <col min="13" max="13" width="9.25" style="20" bestFit="1" customWidth="1"/>
    <col min="14" max="14" width="11.75" style="20" bestFit="1" customWidth="1"/>
    <col min="15" max="15" width="10.125" style="20" bestFit="1" customWidth="1"/>
    <col min="16" max="17" width="9" style="20"/>
    <col min="18" max="18" width="10.125" style="20" bestFit="1" customWidth="1"/>
    <col min="19" max="19" width="12" style="20" bestFit="1" customWidth="1"/>
    <col min="20" max="20" width="13.25" style="20" bestFit="1" customWidth="1"/>
    <col min="21" max="21" width="16.875" style="20" bestFit="1" customWidth="1"/>
    <col min="22" max="22" width="14.375" style="20" bestFit="1" customWidth="1"/>
    <col min="23" max="23" width="11.875" style="20" bestFit="1" customWidth="1"/>
    <col min="24" max="16384" width="9" style="20"/>
  </cols>
  <sheetData>
    <row r="1" spans="1:32" s="11" customFormat="1" ht="36" outlineLevel="1" x14ac:dyDescent="0.55000000000000004">
      <c r="A1" s="6" t="s">
        <v>28</v>
      </c>
      <c r="B1" s="6"/>
      <c r="C1" s="6"/>
      <c r="D1" s="6"/>
      <c r="E1" s="7"/>
      <c r="F1" s="8"/>
      <c r="G1" s="9"/>
      <c r="H1" s="10" t="s">
        <v>38</v>
      </c>
      <c r="N1" s="45"/>
      <c r="O1" s="44" t="s">
        <v>106</v>
      </c>
      <c r="P1" s="43"/>
      <c r="Q1" s="43"/>
      <c r="R1" s="43"/>
      <c r="S1" s="43"/>
      <c r="T1" s="43"/>
      <c r="U1" s="43"/>
      <c r="V1" s="43"/>
      <c r="W1" s="43"/>
      <c r="X1" s="43"/>
      <c r="Y1" s="43"/>
      <c r="Z1" s="56" t="s">
        <v>214</v>
      </c>
    </row>
    <row r="2" spans="1:32" s="3" customFormat="1" ht="18.75" x14ac:dyDescent="0.3">
      <c r="E2" s="12"/>
      <c r="F2" s="13"/>
      <c r="G2" s="14"/>
      <c r="J2" s="15"/>
      <c r="N2" s="18"/>
      <c r="O2" s="46" t="s">
        <v>118</v>
      </c>
      <c r="U2" s="46" t="s">
        <v>119</v>
      </c>
      <c r="Z2" s="57" t="s">
        <v>215</v>
      </c>
    </row>
    <row r="3" spans="1:32" s="3" customFormat="1" ht="18.75" x14ac:dyDescent="0.3">
      <c r="A3" s="16" t="s">
        <v>50</v>
      </c>
      <c r="D3" s="2" t="s">
        <v>51</v>
      </c>
      <c r="E3" s="26">
        <v>600</v>
      </c>
      <c r="F3" s="5" t="s">
        <v>8</v>
      </c>
      <c r="G3" s="14"/>
      <c r="H3" s="16" t="s">
        <v>71</v>
      </c>
      <c r="J3" s="2" t="s">
        <v>72</v>
      </c>
      <c r="K3" s="26">
        <v>150</v>
      </c>
      <c r="L3" s="4" t="s">
        <v>22</v>
      </c>
      <c r="N3" s="18"/>
      <c r="O3" s="16" t="s">
        <v>111</v>
      </c>
      <c r="S3" s="26">
        <v>57.6</v>
      </c>
      <c r="T3" s="5" t="s">
        <v>98</v>
      </c>
      <c r="U3" s="16" t="s">
        <v>121</v>
      </c>
      <c r="W3" s="26">
        <v>0.29099999999999998</v>
      </c>
      <c r="X3" s="5" t="s">
        <v>122</v>
      </c>
      <c r="Z3" s="58" t="s">
        <v>216</v>
      </c>
      <c r="AA3" s="59"/>
      <c r="AB3" s="59"/>
    </row>
    <row r="4" spans="1:32" s="3" customFormat="1" ht="26.25" x14ac:dyDescent="0.35">
      <c r="A4" s="16" t="s">
        <v>29</v>
      </c>
      <c r="B4" s="5"/>
      <c r="C4" s="5"/>
      <c r="D4" s="2" t="s">
        <v>33</v>
      </c>
      <c r="E4" s="28">
        <f>E3*9.8</f>
        <v>5880</v>
      </c>
      <c r="F4" s="5" t="s">
        <v>30</v>
      </c>
      <c r="G4" s="18"/>
      <c r="H4" s="16" t="s">
        <v>43</v>
      </c>
      <c r="J4" s="2" t="s">
        <v>40</v>
      </c>
      <c r="K4" s="30">
        <v>3000</v>
      </c>
      <c r="L4" s="4" t="s">
        <v>2</v>
      </c>
      <c r="M4" s="49">
        <f>K4/0.3048</f>
        <v>9842.5196850393695</v>
      </c>
      <c r="N4" s="18" t="s">
        <v>128</v>
      </c>
      <c r="O4" s="16" t="s">
        <v>107</v>
      </c>
      <c r="S4" s="26">
        <v>49.2</v>
      </c>
      <c r="T4" s="5" t="s">
        <v>98</v>
      </c>
      <c r="U4" s="16" t="s">
        <v>120</v>
      </c>
      <c r="W4" s="26">
        <v>21</v>
      </c>
      <c r="X4" s="5" t="s">
        <v>11</v>
      </c>
      <c r="Z4" s="5" t="s">
        <v>217</v>
      </c>
      <c r="AB4" s="5"/>
      <c r="AD4" s="5" t="s">
        <v>219</v>
      </c>
      <c r="AE4" s="5">
        <f xml:space="preserve"> SQRT(E12/E23)</f>
        <v>0.8944197815228323</v>
      </c>
      <c r="AF4" s="3" t="s">
        <v>7</v>
      </c>
    </row>
    <row r="5" spans="1:32" s="3" customFormat="1" ht="21.75" x14ac:dyDescent="0.35">
      <c r="A5" s="16" t="s">
        <v>31</v>
      </c>
      <c r="B5" s="5"/>
      <c r="C5" s="5"/>
      <c r="D5" s="2" t="s">
        <v>32</v>
      </c>
      <c r="E5" s="26">
        <v>9.51</v>
      </c>
      <c r="F5" s="5" t="s">
        <v>54</v>
      </c>
      <c r="G5" s="18"/>
      <c r="H5" s="16" t="s">
        <v>44</v>
      </c>
      <c r="J5" s="2" t="s">
        <v>39</v>
      </c>
      <c r="K5" s="24" cm="1">
        <f t="array" ref="K5">atmos(K4,2)</f>
        <v>0.7421257495880127</v>
      </c>
      <c r="L5" s="5" t="s">
        <v>7</v>
      </c>
      <c r="N5" s="18"/>
      <c r="O5" s="16" t="s">
        <v>117</v>
      </c>
      <c r="S5" s="26">
        <v>20</v>
      </c>
      <c r="T5" s="5" t="s">
        <v>98</v>
      </c>
      <c r="U5" s="16" t="s">
        <v>123</v>
      </c>
      <c r="W5" s="26">
        <v>345</v>
      </c>
      <c r="X5" s="5" t="s">
        <v>124</v>
      </c>
      <c r="Z5" s="5" t="s">
        <v>218</v>
      </c>
      <c r="AB5" s="5"/>
      <c r="AD5" s="5" t="s">
        <v>220</v>
      </c>
      <c r="AE5" s="5">
        <f xml:space="preserve"> 1 / SQRT(4*E23 * E12)</f>
        <v>14.906996358713872</v>
      </c>
      <c r="AF5" s="3" t="s">
        <v>7</v>
      </c>
    </row>
    <row r="6" spans="1:32" s="3" customFormat="1" ht="21" x14ac:dyDescent="0.3">
      <c r="A6" s="16" t="s">
        <v>35</v>
      </c>
      <c r="B6" s="5"/>
      <c r="C6" s="5"/>
      <c r="D6" s="2" t="s">
        <v>36</v>
      </c>
      <c r="E6" s="26">
        <v>10.7</v>
      </c>
      <c r="F6" s="5" t="s">
        <v>2</v>
      </c>
      <c r="G6" s="18"/>
      <c r="H6" s="16" t="s">
        <v>45</v>
      </c>
      <c r="J6" s="2" t="s">
        <v>53</v>
      </c>
      <c r="K6" s="24" cm="1">
        <f t="array" ref="K6">atmos(K4,12)</f>
        <v>0.90910404920578003</v>
      </c>
      <c r="L6" s="5" t="s">
        <v>52</v>
      </c>
      <c r="N6" s="18"/>
      <c r="O6" s="16" t="s">
        <v>112</v>
      </c>
      <c r="S6" s="26">
        <v>2500</v>
      </c>
      <c r="T6" s="5" t="s">
        <v>110</v>
      </c>
      <c r="U6" s="16"/>
      <c r="Z6" s="58" t="s">
        <v>221</v>
      </c>
      <c r="AE6" s="5"/>
    </row>
    <row r="7" spans="1:32" s="3" customFormat="1" ht="20.25" x14ac:dyDescent="0.35">
      <c r="A7" s="16" t="s">
        <v>34</v>
      </c>
      <c r="B7" s="5"/>
      <c r="C7" s="5"/>
      <c r="D7" s="19" t="s">
        <v>37</v>
      </c>
      <c r="E7" s="27">
        <f>E6^2 / E5</f>
        <v>12.038906414300735</v>
      </c>
      <c r="F7" s="5" t="s">
        <v>7</v>
      </c>
      <c r="G7" s="18"/>
      <c r="H7" s="16" t="s">
        <v>46</v>
      </c>
      <c r="J7" s="2" t="s">
        <v>42</v>
      </c>
      <c r="K7" s="25" cm="1">
        <f t="array" ref="K7">atmos(K4,10)</f>
        <v>268.64974975585938</v>
      </c>
      <c r="L7" s="5" t="s">
        <v>48</v>
      </c>
      <c r="N7" s="18"/>
      <c r="O7" s="16" t="s">
        <v>109</v>
      </c>
      <c r="S7" s="26">
        <v>2350</v>
      </c>
      <c r="T7" s="5" t="s">
        <v>110</v>
      </c>
      <c r="U7" s="16"/>
      <c r="Z7" s="5" t="s">
        <v>217</v>
      </c>
      <c r="AB7" s="5"/>
      <c r="AD7" s="5" t="s">
        <v>219</v>
      </c>
      <c r="AE7" s="5">
        <f xml:space="preserve"> SQRT(E12/E23 + E11^2)</f>
        <v>0.91650790808336779</v>
      </c>
      <c r="AF7" s="3" t="s">
        <v>7</v>
      </c>
    </row>
    <row r="8" spans="1:32" s="3" customFormat="1" ht="20.25" x14ac:dyDescent="0.35">
      <c r="A8" s="16"/>
      <c r="B8" s="5"/>
      <c r="C8" s="5"/>
      <c r="D8" s="5"/>
      <c r="E8" s="2"/>
      <c r="F8" s="17"/>
      <c r="G8" s="18"/>
      <c r="H8" s="16" t="s">
        <v>47</v>
      </c>
      <c r="J8" s="2" t="s">
        <v>41</v>
      </c>
      <c r="K8" s="27" cm="1">
        <f t="array" ref="K8">atmos(K4,13)</f>
        <v>328.49026489257813</v>
      </c>
      <c r="L8" s="5" t="s">
        <v>49</v>
      </c>
      <c r="N8" s="18"/>
      <c r="O8" s="16"/>
      <c r="S8" s="47"/>
      <c r="T8" s="5"/>
      <c r="Z8" s="5" t="s">
        <v>218</v>
      </c>
      <c r="AB8" s="5"/>
      <c r="AD8" s="5" t="s">
        <v>220</v>
      </c>
      <c r="AE8" s="5">
        <f xml:space="preserve"> 1/(SQRT(4*E23 * E12 + (2*E23*E11)^2) - 2*E23*E11)</f>
        <v>18.608465134722795</v>
      </c>
      <c r="AF8" s="3" t="s">
        <v>7</v>
      </c>
    </row>
    <row r="9" spans="1:32" s="3" customFormat="1" ht="20.25" x14ac:dyDescent="0.35">
      <c r="A9" s="5" t="s">
        <v>56</v>
      </c>
      <c r="B9" s="5"/>
      <c r="C9" s="5"/>
      <c r="D9" s="2" t="s">
        <v>60</v>
      </c>
      <c r="E9" s="26">
        <v>0.2</v>
      </c>
      <c r="F9" s="29" t="s">
        <v>7</v>
      </c>
      <c r="G9" s="18"/>
      <c r="H9" s="16" t="s">
        <v>76</v>
      </c>
      <c r="J9" s="2" t="s">
        <v>69</v>
      </c>
      <c r="K9" s="24" cm="1">
        <f t="array" ref="K9">KCASConv(K4,K3,0)</f>
        <v>0.26275888085365295</v>
      </c>
      <c r="L9" s="5" t="s">
        <v>7</v>
      </c>
      <c r="N9" s="18"/>
      <c r="O9" s="46" t="s">
        <v>116</v>
      </c>
      <c r="S9" s="47"/>
      <c r="T9" s="5"/>
      <c r="U9" s="46" t="s">
        <v>172</v>
      </c>
    </row>
    <row r="10" spans="1:32" s="3" customFormat="1" ht="20.25" x14ac:dyDescent="0.3">
      <c r="A10" s="5" t="s">
        <v>55</v>
      </c>
      <c r="B10" s="5"/>
      <c r="C10" s="5"/>
      <c r="D10" s="2" t="s">
        <v>59</v>
      </c>
      <c r="E10" s="27">
        <f>2*PI()*E7/(2+SQRT(4+E7^2))</f>
        <v>5.3254852348343364</v>
      </c>
      <c r="F10" s="29" t="s">
        <v>89</v>
      </c>
      <c r="G10" s="18"/>
      <c r="H10" s="16" t="s">
        <v>77</v>
      </c>
      <c r="I10" s="3" t="s">
        <v>70</v>
      </c>
      <c r="J10" s="2" t="s">
        <v>73</v>
      </c>
      <c r="K10" s="24" cm="1">
        <f t="array" ref="K10">atmos(K4,1)</f>
        <v>0.69190311431884766</v>
      </c>
      <c r="L10" s="5" t="s">
        <v>7</v>
      </c>
      <c r="N10" s="18"/>
      <c r="O10" s="16" t="s">
        <v>108</v>
      </c>
      <c r="S10" s="26">
        <v>4.88</v>
      </c>
      <c r="T10" s="5" t="s">
        <v>8</v>
      </c>
      <c r="W10" s="2" t="s">
        <v>173</v>
      </c>
      <c r="X10" s="26">
        <v>1</v>
      </c>
      <c r="Y10" s="3" t="s">
        <v>7</v>
      </c>
    </row>
    <row r="11" spans="1:32" s="3" customFormat="1" ht="20.25" x14ac:dyDescent="0.35">
      <c r="A11" s="5" t="s">
        <v>57</v>
      </c>
      <c r="B11" s="5"/>
      <c r="C11" s="5"/>
      <c r="D11" s="2" t="s">
        <v>58</v>
      </c>
      <c r="E11" s="26">
        <v>0.2</v>
      </c>
      <c r="F11" s="29" t="s">
        <v>7</v>
      </c>
      <c r="G11" s="18"/>
      <c r="J11" s="15"/>
      <c r="N11" s="18"/>
      <c r="O11" s="16" t="s">
        <v>113</v>
      </c>
      <c r="S11" s="26">
        <v>1.64</v>
      </c>
      <c r="T11" s="5" t="s">
        <v>2</v>
      </c>
      <c r="W11" s="2" t="s">
        <v>174</v>
      </c>
      <c r="X11" s="26">
        <v>1</v>
      </c>
      <c r="Y11" s="3" t="s">
        <v>7</v>
      </c>
    </row>
    <row r="12" spans="1:32" s="3" customFormat="1" ht="20.25" x14ac:dyDescent="0.3">
      <c r="A12" s="5" t="s">
        <v>61</v>
      </c>
      <c r="B12" s="5"/>
      <c r="C12" s="5"/>
      <c r="D12" s="2" t="s">
        <v>62</v>
      </c>
      <c r="E12" s="26">
        <v>0.03</v>
      </c>
      <c r="F12" s="29" t="s">
        <v>7</v>
      </c>
      <c r="G12" s="18"/>
      <c r="J12" s="15"/>
      <c r="N12" s="18"/>
      <c r="O12" s="16" t="s">
        <v>114</v>
      </c>
      <c r="S12" s="26">
        <v>220</v>
      </c>
      <c r="T12" s="5" t="s">
        <v>115</v>
      </c>
      <c r="W12" s="2" t="s">
        <v>176</v>
      </c>
      <c r="X12" s="26">
        <v>0.9</v>
      </c>
      <c r="Y12" s="3" t="s">
        <v>7</v>
      </c>
    </row>
    <row r="13" spans="1:32" s="3" customFormat="1" ht="18.75" x14ac:dyDescent="0.3">
      <c r="F13" s="29" t="s">
        <v>7</v>
      </c>
      <c r="G13" s="18"/>
      <c r="J13" s="15"/>
      <c r="N13" s="18"/>
      <c r="O13" s="16"/>
      <c r="W13" s="2" t="s">
        <v>175</v>
      </c>
      <c r="X13" s="26">
        <v>0.75</v>
      </c>
      <c r="Y13" s="3" t="s">
        <v>7</v>
      </c>
    </row>
    <row r="14" spans="1:32" s="3" customFormat="1" ht="20.25" x14ac:dyDescent="0.3">
      <c r="D14" s="2" t="s">
        <v>160</v>
      </c>
      <c r="E14" s="26">
        <v>0.7</v>
      </c>
      <c r="F14" s="29" t="s">
        <v>7</v>
      </c>
      <c r="G14" s="18"/>
      <c r="H14" s="26" t="s">
        <v>74</v>
      </c>
      <c r="J14" s="15"/>
      <c r="N14" s="18"/>
      <c r="O14" s="16"/>
      <c r="W14" s="2" t="s">
        <v>181</v>
      </c>
      <c r="X14" s="24">
        <f>PRODUCT(X10:X12)</f>
        <v>0.9</v>
      </c>
      <c r="Y14" s="3" t="s">
        <v>7</v>
      </c>
    </row>
    <row r="15" spans="1:32" s="3" customFormat="1" ht="20.25" x14ac:dyDescent="0.3">
      <c r="D15" s="2" t="s">
        <v>158</v>
      </c>
      <c r="E15" s="26">
        <v>2</v>
      </c>
      <c r="F15" s="3" t="s">
        <v>7</v>
      </c>
      <c r="G15" s="18"/>
      <c r="H15" s="28" t="s">
        <v>75</v>
      </c>
      <c r="J15" s="15"/>
      <c r="N15" s="18"/>
      <c r="O15" s="16"/>
      <c r="W15" s="2" t="s">
        <v>177</v>
      </c>
      <c r="X15" s="24">
        <f>X14*X13</f>
        <v>0.67500000000000004</v>
      </c>
      <c r="Y15" s="3" t="s">
        <v>7</v>
      </c>
    </row>
    <row r="16" spans="1:32" ht="20.25" x14ac:dyDescent="0.3">
      <c r="A16" s="3"/>
      <c r="B16" s="3"/>
      <c r="C16" s="3"/>
      <c r="D16" s="2" t="s">
        <v>161</v>
      </c>
      <c r="E16" s="26">
        <v>0.04</v>
      </c>
      <c r="F16" s="3" t="s">
        <v>7</v>
      </c>
      <c r="G16" s="18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38 16384:16384" ht="20.25" x14ac:dyDescent="0.3">
      <c r="A17" s="3"/>
      <c r="B17" s="3"/>
      <c r="C17" s="3"/>
      <c r="D17" s="2" t="s">
        <v>162</v>
      </c>
      <c r="E17" s="26">
        <v>0.1</v>
      </c>
      <c r="F17" s="3" t="s">
        <v>7</v>
      </c>
      <c r="G17" s="18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38 16384:16384" ht="18.75" x14ac:dyDescent="0.3">
      <c r="A18" s="3"/>
      <c r="B18" s="3"/>
      <c r="C18" s="3"/>
      <c r="D18" s="3"/>
      <c r="E18" s="3"/>
      <c r="F18" s="3"/>
      <c r="G18" s="18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38 16384:16384" s="3" customFormat="1" ht="18.75" x14ac:dyDescent="0.35">
      <c r="D19" s="12" t="s">
        <v>179</v>
      </c>
      <c r="E19" s="26">
        <v>45</v>
      </c>
      <c r="F19" s="3" t="s">
        <v>22</v>
      </c>
    </row>
    <row r="20" spans="1:38 16384:16384" s="3" customFormat="1" ht="21.75" customHeight="1" x14ac:dyDescent="0.35">
      <c r="D20" s="12" t="s">
        <v>178</v>
      </c>
      <c r="E20" s="27">
        <f>E19*1.1</f>
        <v>49.500000000000007</v>
      </c>
      <c r="F20" s="3" t="s">
        <v>22</v>
      </c>
    </row>
    <row r="21" spans="1:38 16384:16384" x14ac:dyDescent="0.25">
      <c r="XFD21" s="3"/>
    </row>
    <row r="22" spans="1:38 16384:16384" ht="18.75" x14ac:dyDescent="0.3">
      <c r="A22" s="5" t="s">
        <v>91</v>
      </c>
      <c r="B22" s="5"/>
      <c r="C22" s="5"/>
      <c r="D22" s="2" t="s">
        <v>63</v>
      </c>
      <c r="E22" s="37">
        <f>1.78*(1-0.045*E7^0.68)-0.64</f>
        <v>0.70505764441477592</v>
      </c>
      <c r="K22" s="20" t="s">
        <v>180</v>
      </c>
    </row>
    <row r="23" spans="1:38 16384:16384" ht="18.75" x14ac:dyDescent="0.3">
      <c r="A23" s="5" t="s">
        <v>150</v>
      </c>
      <c r="B23" s="5"/>
      <c r="C23" s="5"/>
      <c r="D23" s="2" t="s">
        <v>163</v>
      </c>
      <c r="E23" s="37">
        <f>1/(PI()*$E$7*E22)</f>
        <v>3.750062131126182E-2</v>
      </c>
    </row>
    <row r="26" spans="1:38 16384:16384" x14ac:dyDescent="0.25">
      <c r="U26" s="38" t="s">
        <v>101</v>
      </c>
      <c r="V26" s="38" t="s">
        <v>102</v>
      </c>
      <c r="W26" s="20" t="s">
        <v>104</v>
      </c>
    </row>
    <row r="27" spans="1:38 16384:16384" ht="20.25" x14ac:dyDescent="0.25">
      <c r="A27" s="35" t="s">
        <v>78</v>
      </c>
      <c r="B27" s="35" t="s">
        <v>79</v>
      </c>
      <c r="C27" s="35" t="s">
        <v>80</v>
      </c>
      <c r="D27" s="35" t="s">
        <v>81</v>
      </c>
      <c r="E27" s="35" t="s">
        <v>82</v>
      </c>
      <c r="F27" s="35" t="s">
        <v>68</v>
      </c>
      <c r="G27" s="35" t="s">
        <v>83</v>
      </c>
      <c r="H27" s="35" t="s">
        <v>85</v>
      </c>
      <c r="I27" s="35" t="s">
        <v>86</v>
      </c>
      <c r="J27" s="35" t="s">
        <v>88</v>
      </c>
      <c r="K27" s="35" t="s">
        <v>90</v>
      </c>
      <c r="L27" s="35" t="s">
        <v>92</v>
      </c>
      <c r="M27" s="35" t="s">
        <v>93</v>
      </c>
      <c r="N27" s="35" t="s">
        <v>94</v>
      </c>
      <c r="O27" s="35" t="s">
        <v>95</v>
      </c>
      <c r="P27" s="35" t="s">
        <v>96</v>
      </c>
      <c r="Q27" s="35" t="s">
        <v>97</v>
      </c>
      <c r="R27" s="35" t="s">
        <v>184</v>
      </c>
      <c r="S27" s="35" t="s">
        <v>185</v>
      </c>
      <c r="T27" s="35" t="s">
        <v>183</v>
      </c>
      <c r="U27" s="35" t="s">
        <v>99</v>
      </c>
      <c r="V27" s="35" t="s">
        <v>100</v>
      </c>
      <c r="W27" s="35" t="s">
        <v>105</v>
      </c>
      <c r="X27" s="35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</row>
    <row r="28" spans="1:38 16384:16384" ht="15.75" x14ac:dyDescent="0.25">
      <c r="A28" s="36" t="s">
        <v>22</v>
      </c>
      <c r="B28" s="36" t="s">
        <v>64</v>
      </c>
      <c r="C28" s="36" t="s">
        <v>65</v>
      </c>
      <c r="D28" s="36" t="s">
        <v>66</v>
      </c>
      <c r="E28" s="36" t="s">
        <v>67</v>
      </c>
      <c r="F28" s="36"/>
      <c r="G28" s="36" t="s">
        <v>84</v>
      </c>
      <c r="H28" s="36"/>
      <c r="I28" s="36" t="s">
        <v>87</v>
      </c>
      <c r="J28" s="36"/>
      <c r="K28" s="36"/>
      <c r="L28" s="36"/>
      <c r="M28" s="36"/>
      <c r="N28" s="36"/>
      <c r="O28" s="36"/>
      <c r="P28" s="36" t="s">
        <v>30</v>
      </c>
      <c r="Q28" s="36" t="s">
        <v>98</v>
      </c>
      <c r="R28" s="36" t="s">
        <v>98</v>
      </c>
      <c r="S28" s="36" t="s">
        <v>182</v>
      </c>
      <c r="T28" s="36" t="s">
        <v>19</v>
      </c>
      <c r="U28" s="36" t="s">
        <v>49</v>
      </c>
      <c r="V28" s="36" t="s">
        <v>103</v>
      </c>
      <c r="W28" s="36"/>
      <c r="X28" s="36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</row>
    <row r="29" spans="1:38 16384:16384" x14ac:dyDescent="0.25">
      <c r="A29" s="22">
        <v>20</v>
      </c>
      <c r="B29" s="22" cm="1">
        <f t="array" ref="B29">KCASConv($K$4,A29,2)</f>
        <v>19.999050140380859</v>
      </c>
      <c r="C29" s="33" cm="1">
        <f t="array" ref="C29">KCASConv($K$4,A29,1)</f>
        <v>22.374570846557617</v>
      </c>
      <c r="D29" s="33">
        <f>C29/1.944</f>
        <v>11.509552904607828</v>
      </c>
      <c r="E29" s="33">
        <f>3.6*D29</f>
        <v>41.434390456588183</v>
      </c>
      <c r="F29" s="32" cm="1">
        <f t="array" ref="F29">KCASConv($K$4,A29,0)</f>
        <v>3.5109970718622208E-2</v>
      </c>
      <c r="G29" s="32">
        <f>0.5*$K$6*D29^2</f>
        <v>60.214419454232214</v>
      </c>
      <c r="H29" s="32">
        <f>$E$4/(G29*$E$5)</f>
        <v>10.268246967628896</v>
      </c>
      <c r="I29" s="32">
        <f t="shared" ref="I29:I60" si="0">(H29-$E$9)/$E$10*180/PI()</f>
        <v>108.32215899636608</v>
      </c>
      <c r="J29" s="38">
        <f t="shared" ref="J29:J60" si="1">$E$12</f>
        <v>0.03</v>
      </c>
      <c r="K29" s="39">
        <f t="shared" ref="K29:K60" si="2">$E$23*(H29-$E$11)^2</f>
        <v>3.8014228696160406</v>
      </c>
      <c r="L29" s="31">
        <f>J29+K29</f>
        <v>3.8314228696160404</v>
      </c>
      <c r="M29" s="31">
        <f>H29/L29</f>
        <v>2.6800087897000808</v>
      </c>
      <c r="N29" s="40">
        <f>H29^1.5/L29</f>
        <v>8.5878484375819735</v>
      </c>
      <c r="O29" s="40">
        <f>H29^0.5/L29</f>
        <v>0.8363500083953519</v>
      </c>
      <c r="P29" s="42">
        <f>G29*$E$5*L29</f>
        <v>2194.0226549249601</v>
      </c>
      <c r="Q29" s="41">
        <f>P29*D29/1000</f>
        <v>25.252219820766953</v>
      </c>
      <c r="R29" s="20">
        <f>$S$4*$X$14</f>
        <v>44.28</v>
      </c>
      <c r="S29" s="20">
        <f>60^2*1000*$X$15*$W$4/$E$4*M29/1000</f>
        <v>23.258647710611417</v>
      </c>
      <c r="T29" s="20">
        <f>E29/S29*60</f>
        <v>106.88770294504529</v>
      </c>
      <c r="U29" s="41">
        <f t="shared" ref="U29:U60" si="3">-1000*Q29/$E$4</f>
        <v>-4.2945952076134271</v>
      </c>
      <c r="V29" s="40">
        <f t="shared" ref="V29:V60" si="4">ASIN(U29/D29)*180/PI()</f>
        <v>-21.908974212418848</v>
      </c>
    </row>
    <row r="30" spans="1:38 16384:16384" x14ac:dyDescent="0.25">
      <c r="A30" s="22">
        <v>21</v>
      </c>
      <c r="B30" s="22" cm="1">
        <f t="array" ref="B30">KCASConv($K$4,A30,2)</f>
        <v>20.9989013671875</v>
      </c>
      <c r="C30" s="33" cm="1">
        <f t="array" ref="C30">KCASConv($K$4,A30,1)</f>
        <v>23.493204116821289</v>
      </c>
      <c r="D30" s="33">
        <f t="shared" ref="D30:D93" si="5">C30/1.944</f>
        <v>12.084981541574738</v>
      </c>
      <c r="E30" s="33">
        <f t="shared" ref="E30:E93" si="6">3.6*D30</f>
        <v>43.505933549669059</v>
      </c>
      <c r="F30" s="32" cm="1">
        <f t="array" ref="F30">KCASConv($K$4,A30,0)</f>
        <v>3.6865320056676865E-2</v>
      </c>
      <c r="G30" s="32">
        <f t="shared" ref="G30:G93" si="7">0.5*$K$6*D30^2</f>
        <v>66.38585901763544</v>
      </c>
      <c r="H30" s="32">
        <f t="shared" ref="H30:H93" si="8">$E$4/(G30*$E$5)</f>
        <v>9.3136782308443635</v>
      </c>
      <c r="I30" s="32">
        <f t="shared" si="0"/>
        <v>98.052154018201975</v>
      </c>
      <c r="J30" s="38">
        <f t="shared" si="1"/>
        <v>0.03</v>
      </c>
      <c r="K30" s="39">
        <f t="shared" si="2"/>
        <v>3.1147690141496649</v>
      </c>
      <c r="L30" s="31">
        <f t="shared" ref="L30:L93" si="9">J30+K30</f>
        <v>3.1447690141496647</v>
      </c>
      <c r="M30" s="31">
        <f t="shared" ref="M30:M93" si="10">H30/L30</f>
        <v>2.9616414397808328</v>
      </c>
      <c r="N30" s="40">
        <f t="shared" ref="N30:N93" si="11">H30^1.5/L30</f>
        <v>9.03843196056736</v>
      </c>
      <c r="O30" s="40">
        <f t="shared" ref="O30:O93" si="12">H30^0.5/L30</f>
        <v>0.97044709260349316</v>
      </c>
      <c r="P30" s="42">
        <f t="shared" ref="P30:P93" si="13">G30*$E$5*L30</f>
        <v>1985.38550987966</v>
      </c>
      <c r="Q30" s="41">
        <f t="shared" ref="Q30:Q93" si="14">P30*D30/1000</f>
        <v>23.99334723980564</v>
      </c>
      <c r="R30" s="20">
        <f t="shared" ref="R30:R93" si="15">$S$4*$X$14</f>
        <v>44.28</v>
      </c>
      <c r="S30" s="20">
        <f t="shared" ref="S30:S93" si="16">60^2*1000*$X$15*$W$4/$E$4*M30/1000</f>
        <v>25.702816780955086</v>
      </c>
      <c r="T30" s="20">
        <f t="shared" ref="T30:T93" si="17">E30/S30*60</f>
        <v>101.55914175579109</v>
      </c>
      <c r="U30" s="41">
        <f t="shared" si="3"/>
        <v>-4.0805012312594622</v>
      </c>
      <c r="V30" s="40">
        <f t="shared" si="4"/>
        <v>-19.73380022324805</v>
      </c>
    </row>
    <row r="31" spans="1:38 16384:16384" x14ac:dyDescent="0.25">
      <c r="A31" s="22">
        <v>22</v>
      </c>
      <c r="B31" s="22" cm="1">
        <f t="array" ref="B31">KCASConv($K$4,A31,2)</f>
        <v>21.998737335205078</v>
      </c>
      <c r="C31" s="33" cm="1">
        <f t="array" ref="C31">KCASConv($K$4,A31,1)</f>
        <v>24.611822128295898</v>
      </c>
      <c r="D31" s="33">
        <f t="shared" si="5"/>
        <v>12.660402329370319</v>
      </c>
      <c r="E31" s="33">
        <f t="shared" si="6"/>
        <v>45.577448385733149</v>
      </c>
      <c r="F31" s="32" cm="1">
        <f t="array" ref="F31">KCASConv($K$4,A31,0)</f>
        <v>3.8620647042989731E-2</v>
      </c>
      <c r="G31" s="32">
        <f t="shared" si="7"/>
        <v>72.858229060248235</v>
      </c>
      <c r="H31" s="32">
        <f t="shared" si="8"/>
        <v>8.4862964409575472</v>
      </c>
      <c r="I31" s="32">
        <f t="shared" si="0"/>
        <v>89.150526745552327</v>
      </c>
      <c r="J31" s="38">
        <f t="shared" si="1"/>
        <v>0.03</v>
      </c>
      <c r="K31" s="39">
        <f t="shared" si="2"/>
        <v>2.5748942374426513</v>
      </c>
      <c r="L31" s="31">
        <f t="shared" si="9"/>
        <v>2.6048942374426511</v>
      </c>
      <c r="M31" s="31">
        <f t="shared" si="10"/>
        <v>3.2578276380575621</v>
      </c>
      <c r="N31" s="40">
        <f t="shared" si="11"/>
        <v>9.4904586769923043</v>
      </c>
      <c r="O31" s="40">
        <f t="shared" si="12"/>
        <v>1.1183274992832386</v>
      </c>
      <c r="P31" s="42">
        <f t="shared" si="13"/>
        <v>1804.8836995888078</v>
      </c>
      <c r="Q31" s="41">
        <f t="shared" si="14"/>
        <v>22.85055379451666</v>
      </c>
      <c r="R31" s="20">
        <f t="shared" si="15"/>
        <v>44.28</v>
      </c>
      <c r="S31" s="20">
        <f t="shared" si="16"/>
        <v>28.273289858856703</v>
      </c>
      <c r="T31" s="20">
        <f t="shared" si="17"/>
        <v>96.721920823350928</v>
      </c>
      <c r="U31" s="41">
        <f t="shared" si="3"/>
        <v>-3.8861486045096365</v>
      </c>
      <c r="V31" s="40">
        <f t="shared" si="4"/>
        <v>-17.875700327098421</v>
      </c>
    </row>
    <row r="32" spans="1:38 16384:16384" x14ac:dyDescent="0.25">
      <c r="A32" s="22">
        <v>23</v>
      </c>
      <c r="B32" s="22" cm="1">
        <f t="array" ref="B32">KCASConv($K$4,A32,2)</f>
        <v>22.998556137084961</v>
      </c>
      <c r="C32" s="33" cm="1">
        <f t="array" ref="C32">KCASConv($K$4,A32,1)</f>
        <v>25.730426788330078</v>
      </c>
      <c r="D32" s="33">
        <f t="shared" si="5"/>
        <v>13.235816249140987</v>
      </c>
      <c r="E32" s="33">
        <f t="shared" si="6"/>
        <v>47.648938496907554</v>
      </c>
      <c r="F32" s="32" cm="1">
        <f t="array" ref="F32">KCASConv($K$4,A32,0)</f>
        <v>4.0375951677560806E-2</v>
      </c>
      <c r="G32" s="32">
        <f t="shared" si="7"/>
        <v>79.631529069830634</v>
      </c>
      <c r="H32" s="32">
        <f t="shared" si="8"/>
        <v>7.7644688880236927</v>
      </c>
      <c r="I32" s="32">
        <f t="shared" si="0"/>
        <v>81.38453538595887</v>
      </c>
      <c r="J32" s="38">
        <f t="shared" si="1"/>
        <v>0.03</v>
      </c>
      <c r="K32" s="39">
        <f t="shared" si="2"/>
        <v>2.1458301605899268</v>
      </c>
      <c r="L32" s="31">
        <f t="shared" si="9"/>
        <v>2.1758301605899266</v>
      </c>
      <c r="M32" s="31">
        <f t="shared" si="10"/>
        <v>3.5685087138963705</v>
      </c>
      <c r="N32" s="40">
        <f t="shared" si="11"/>
        <v>9.9435769429577121</v>
      </c>
      <c r="O32" s="40">
        <f t="shared" si="12"/>
        <v>1.2806512700817425</v>
      </c>
      <c r="P32" s="42">
        <f t="shared" si="13"/>
        <v>1647.7471323251348</v>
      </c>
      <c r="Q32" s="41">
        <f t="shared" si="14"/>
        <v>21.809278268504485</v>
      </c>
      <c r="R32" s="20">
        <f t="shared" si="15"/>
        <v>44.28</v>
      </c>
      <c r="S32" s="20">
        <f t="shared" si="16"/>
        <v>30.969557767029219</v>
      </c>
      <c r="T32" s="20">
        <f t="shared" si="17"/>
        <v>92.314405369331155</v>
      </c>
      <c r="U32" s="41">
        <f t="shared" si="3"/>
        <v>-3.7090609300177695</v>
      </c>
      <c r="V32" s="40">
        <f t="shared" si="4"/>
        <v>-16.273878830313862</v>
      </c>
    </row>
    <row r="33" spans="1:22" x14ac:dyDescent="0.25">
      <c r="A33" s="22">
        <v>24</v>
      </c>
      <c r="B33" s="22" cm="1">
        <f t="array" ref="B33">KCASConv($K$4,A33,2)</f>
        <v>23.998359680175781</v>
      </c>
      <c r="C33" s="33" cm="1">
        <f t="array" ref="C33">KCASConv($K$4,A33,1)</f>
        <v>26.849016189575195</v>
      </c>
      <c r="D33" s="33">
        <f t="shared" si="5"/>
        <v>13.811222319740327</v>
      </c>
      <c r="E33" s="33">
        <f t="shared" si="6"/>
        <v>49.72040035106518</v>
      </c>
      <c r="F33" s="32" cm="1">
        <f t="array" ref="F33">KCASConv($K$4,A33,0)</f>
        <v>4.2131230235099792E-2</v>
      </c>
      <c r="G33" s="32">
        <f t="shared" si="7"/>
        <v>86.705735949045916</v>
      </c>
      <c r="H33" s="32">
        <f t="shared" si="8"/>
        <v>7.1309760905761372</v>
      </c>
      <c r="I33" s="32">
        <f t="shared" si="0"/>
        <v>74.568919147223767</v>
      </c>
      <c r="J33" s="38">
        <f t="shared" si="1"/>
        <v>0.03</v>
      </c>
      <c r="K33" s="39">
        <f t="shared" si="2"/>
        <v>1.8014709556224684</v>
      </c>
      <c r="L33" s="31">
        <f t="shared" si="9"/>
        <v>1.8314709556224684</v>
      </c>
      <c r="M33" s="31">
        <f t="shared" si="10"/>
        <v>3.8935785842983832</v>
      </c>
      <c r="N33" s="40">
        <f t="shared" si="11"/>
        <v>10.397368459285477</v>
      </c>
      <c r="O33" s="40">
        <f t="shared" si="12"/>
        <v>1.4580568392349549</v>
      </c>
      <c r="P33" s="42">
        <f t="shared" si="13"/>
        <v>1510.1788425979764</v>
      </c>
      <c r="Q33" s="41">
        <f t="shared" si="14"/>
        <v>20.857415737688786</v>
      </c>
      <c r="R33" s="20">
        <f t="shared" si="15"/>
        <v>44.28</v>
      </c>
      <c r="S33" s="20">
        <f t="shared" si="16"/>
        <v>33.790699856589541</v>
      </c>
      <c r="T33" s="20">
        <f t="shared" si="17"/>
        <v>88.285357619846721</v>
      </c>
      <c r="U33" s="41">
        <f t="shared" si="3"/>
        <v>-3.5471795472259839</v>
      </c>
      <c r="V33" s="40">
        <f t="shared" si="4"/>
        <v>-14.882234293406537</v>
      </c>
    </row>
    <row r="34" spans="1:22" x14ac:dyDescent="0.25">
      <c r="A34" s="22">
        <v>25</v>
      </c>
      <c r="B34" s="22" cm="1">
        <f t="array" ref="B34">KCASConv($K$4,A34,2)</f>
        <v>24.998146057128906</v>
      </c>
      <c r="C34" s="33" cm="1">
        <f t="array" ref="C34">KCASConv($K$4,A34,1)</f>
        <v>27.967588424682617</v>
      </c>
      <c r="D34" s="33">
        <f t="shared" si="5"/>
        <v>14.386619560021924</v>
      </c>
      <c r="E34" s="33">
        <f t="shared" si="6"/>
        <v>51.791830416078923</v>
      </c>
      <c r="F34" s="32" cm="1">
        <f t="array" ref="F34">KCASConv($K$4,A34,0)</f>
        <v>4.3886482715606689E-2</v>
      </c>
      <c r="G34" s="32">
        <f t="shared" si="7"/>
        <v>94.080824547745806</v>
      </c>
      <c r="H34" s="32">
        <f t="shared" si="8"/>
        <v>6.5719718437912942</v>
      </c>
      <c r="I34" s="32">
        <f t="shared" si="0"/>
        <v>68.554709613572257</v>
      </c>
      <c r="J34" s="38">
        <f t="shared" si="1"/>
        <v>0.03</v>
      </c>
      <c r="K34" s="39">
        <f t="shared" si="2"/>
        <v>1.522601170673084</v>
      </c>
      <c r="L34" s="31">
        <f t="shared" si="9"/>
        <v>1.552601170673084</v>
      </c>
      <c r="M34" s="31">
        <f t="shared" si="10"/>
        <v>4.2328783256953306</v>
      </c>
      <c r="N34" s="40">
        <f t="shared" si="11"/>
        <v>10.851346512810615</v>
      </c>
      <c r="O34" s="40">
        <f t="shared" si="12"/>
        <v>1.6511553565254775</v>
      </c>
      <c r="P34" s="42">
        <f t="shared" si="13"/>
        <v>1389.1256841251393</v>
      </c>
      <c r="Q34" s="41">
        <f t="shared" si="14"/>
        <v>19.984822738563565</v>
      </c>
      <c r="R34" s="20">
        <f t="shared" si="15"/>
        <v>44.28</v>
      </c>
      <c r="S34" s="20">
        <f t="shared" si="16"/>
        <v>36.735336897998764</v>
      </c>
      <c r="T34" s="20">
        <f t="shared" si="17"/>
        <v>84.591842279634122</v>
      </c>
      <c r="U34" s="41">
        <f t="shared" si="3"/>
        <v>-3.3987793773067287</v>
      </c>
      <c r="V34" s="40">
        <f t="shared" si="4"/>
        <v>-13.665073606911843</v>
      </c>
    </row>
    <row r="35" spans="1:22" x14ac:dyDescent="0.25">
      <c r="A35" s="22">
        <v>26</v>
      </c>
      <c r="B35" s="22" cm="1">
        <f t="array" ref="B35">KCASConv($K$4,A35,2)</f>
        <v>25.997915267944336</v>
      </c>
      <c r="C35" s="33" cm="1">
        <f t="array" ref="C35">KCASConv($K$4,A35,1)</f>
        <v>29.086145401000977</v>
      </c>
      <c r="D35" s="33">
        <f t="shared" si="5"/>
        <v>14.962008951132191</v>
      </c>
      <c r="E35" s="33">
        <f t="shared" si="6"/>
        <v>53.863232224075887</v>
      </c>
      <c r="F35" s="32" cm="1">
        <f t="array" ref="F35">KCASConv($K$4,A35,0)</f>
        <v>4.5641712844371796E-2</v>
      </c>
      <c r="G35" s="32">
        <f t="shared" si="7"/>
        <v>101.75679435419531</v>
      </c>
      <c r="H35" s="32">
        <f t="shared" si="8"/>
        <v>6.0762186337777715</v>
      </c>
      <c r="I35" s="32">
        <f t="shared" si="0"/>
        <v>63.221004728233076</v>
      </c>
      <c r="J35" s="38">
        <f t="shared" si="1"/>
        <v>0.03</v>
      </c>
      <c r="K35" s="39">
        <f t="shared" si="2"/>
        <v>1.2948944075423581</v>
      </c>
      <c r="L35" s="31">
        <f t="shared" si="9"/>
        <v>1.3248944075423581</v>
      </c>
      <c r="M35" s="31">
        <f t="shared" si="10"/>
        <v>4.5861908686360797</v>
      </c>
      <c r="N35" s="40">
        <f t="shared" si="11"/>
        <v>11.30495456893278</v>
      </c>
      <c r="O35" s="40">
        <f t="shared" si="12"/>
        <v>1.8605246536206594</v>
      </c>
      <c r="P35" s="42">
        <f t="shared" si="13"/>
        <v>1282.1097438861491</v>
      </c>
      <c r="Q35" s="41">
        <f t="shared" si="14"/>
        <v>19.182937464358361</v>
      </c>
      <c r="R35" s="20">
        <f t="shared" si="15"/>
        <v>44.28</v>
      </c>
      <c r="S35" s="20">
        <f t="shared" si="16"/>
        <v>39.801585038520265</v>
      </c>
      <c r="T35" s="20">
        <f t="shared" si="17"/>
        <v>81.197618896754989</v>
      </c>
      <c r="U35" s="41">
        <f t="shared" si="3"/>
        <v>-3.2624043306731907</v>
      </c>
      <c r="V35" s="40">
        <f t="shared" si="4"/>
        <v>-12.594283700757515</v>
      </c>
    </row>
    <row r="36" spans="1:22" x14ac:dyDescent="0.25">
      <c r="A36" s="22">
        <v>27</v>
      </c>
      <c r="B36" s="22" cm="1">
        <f t="array" ref="B36">KCASConv($K$4,A36,2)</f>
        <v>26.997665405273438</v>
      </c>
      <c r="C36" s="33" cm="1">
        <f t="array" ref="C36">KCASConv($K$4,A36,1)</f>
        <v>30.204683303833008</v>
      </c>
      <c r="D36" s="33">
        <f t="shared" si="5"/>
        <v>15.537388530778296</v>
      </c>
      <c r="E36" s="33">
        <f t="shared" si="6"/>
        <v>55.934598710801865</v>
      </c>
      <c r="F36" s="32" cm="1">
        <f t="array" ref="F36">KCASConv($K$4,A36,0)</f>
        <v>4.7396913170814514E-2</v>
      </c>
      <c r="G36" s="32">
        <f t="shared" si="7"/>
        <v>109.73360533336313</v>
      </c>
      <c r="H36" s="32">
        <f t="shared" si="8"/>
        <v>5.6345230623755782</v>
      </c>
      <c r="I36" s="32">
        <f t="shared" si="0"/>
        <v>58.468894647178224</v>
      </c>
      <c r="J36" s="38">
        <f t="shared" si="1"/>
        <v>0.03</v>
      </c>
      <c r="K36" s="39">
        <f t="shared" si="2"/>
        <v>1.107544884163179</v>
      </c>
      <c r="L36" s="31">
        <f t="shared" si="9"/>
        <v>1.137544884163179</v>
      </c>
      <c r="M36" s="31">
        <f t="shared" si="10"/>
        <v>4.9532314204204315</v>
      </c>
      <c r="N36" s="40">
        <f t="shared" si="11"/>
        <v>11.757559889259753</v>
      </c>
      <c r="O36" s="40">
        <f t="shared" si="12"/>
        <v>2.0867001091486581</v>
      </c>
      <c r="P36" s="42">
        <f t="shared" si="13"/>
        <v>1187.1038320072887</v>
      </c>
      <c r="Q36" s="41">
        <f t="shared" si="14"/>
        <v>18.444493464273013</v>
      </c>
      <c r="R36" s="20">
        <f t="shared" si="15"/>
        <v>44.28</v>
      </c>
      <c r="S36" s="20">
        <f t="shared" si="16"/>
        <v>42.986972684363032</v>
      </c>
      <c r="T36" s="20">
        <f t="shared" si="17"/>
        <v>78.071930007504804</v>
      </c>
      <c r="U36" s="41">
        <f t="shared" si="3"/>
        <v>-3.136818616372961</v>
      </c>
      <c r="V36" s="40">
        <f t="shared" si="4"/>
        <v>-11.647409687984229</v>
      </c>
    </row>
    <row r="37" spans="1:22" x14ac:dyDescent="0.25">
      <c r="A37" s="22">
        <v>28</v>
      </c>
      <c r="B37" s="22" cm="1">
        <f t="array" ref="B37">KCASConv($K$4,A37,2)</f>
        <v>27.997396469116211</v>
      </c>
      <c r="C37" s="33" cm="1">
        <f t="array" ref="C37">KCASConv($K$4,A37,1)</f>
        <v>31.323205947875977</v>
      </c>
      <c r="D37" s="33">
        <f t="shared" si="5"/>
        <v>16.112760261253076</v>
      </c>
      <c r="E37" s="33">
        <f t="shared" si="6"/>
        <v>58.005936940511077</v>
      </c>
      <c r="F37" s="32" cm="1">
        <f t="array" ref="F37">KCASConv($K$4,A37,0)</f>
        <v>4.9152087420225143E-2</v>
      </c>
      <c r="G37" s="32">
        <f t="shared" si="7"/>
        <v>118.01127083271838</v>
      </c>
      <c r="H37" s="32">
        <f t="shared" si="8"/>
        <v>5.2393006668396351</v>
      </c>
      <c r="I37" s="32">
        <f t="shared" si="0"/>
        <v>54.216779725304072</v>
      </c>
      <c r="J37" s="38">
        <f t="shared" si="1"/>
        <v>0.03</v>
      </c>
      <c r="K37" s="39">
        <f t="shared" si="2"/>
        <v>0.95231144832604575</v>
      </c>
      <c r="L37" s="31">
        <f t="shared" si="9"/>
        <v>0.98231144832604578</v>
      </c>
      <c r="M37" s="31">
        <f t="shared" si="10"/>
        <v>5.3336451242301131</v>
      </c>
      <c r="N37" s="40">
        <f t="shared" si="11"/>
        <v>12.208456985290766</v>
      </c>
      <c r="O37" s="40">
        <f t="shared" si="12"/>
        <v>2.3301691889072194</v>
      </c>
      <c r="P37" s="42">
        <f t="shared" si="13"/>
        <v>1102.4355507433108</v>
      </c>
      <c r="Q37" s="41">
        <f t="shared" si="14"/>
        <v>17.763279732609465</v>
      </c>
      <c r="R37" s="20">
        <f t="shared" si="15"/>
        <v>44.28</v>
      </c>
      <c r="S37" s="20">
        <f t="shared" si="16"/>
        <v>46.288420185282767</v>
      </c>
      <c r="T37" s="20">
        <f t="shared" si="17"/>
        <v>75.188485640675012</v>
      </c>
      <c r="U37" s="41">
        <f t="shared" si="3"/>
        <v>-3.0209659409199774</v>
      </c>
      <c r="V37" s="40">
        <f t="shared" si="4"/>
        <v>-10.806283531347802</v>
      </c>
    </row>
    <row r="38" spans="1:22" x14ac:dyDescent="0.25">
      <c r="A38" s="22">
        <v>29</v>
      </c>
      <c r="B38" s="22" cm="1">
        <f t="array" ref="B38">KCASConv($K$4,A38,2)</f>
        <v>28.997106552124023</v>
      </c>
      <c r="C38" s="33" cm="1">
        <f t="array" ref="C38">KCASConv($K$4,A38,1)</f>
        <v>32.441707611083984</v>
      </c>
      <c r="D38" s="33">
        <f t="shared" si="5"/>
        <v>16.688121199117276</v>
      </c>
      <c r="E38" s="33">
        <f t="shared" si="6"/>
        <v>60.077236316822194</v>
      </c>
      <c r="F38" s="32" cm="1">
        <f t="array" ref="F38">KCASConv($K$4,A38,0)</f>
        <v>5.0907231867313385E-2</v>
      </c>
      <c r="G38" s="32">
        <f t="shared" si="7"/>
        <v>126.58973387957462</v>
      </c>
      <c r="H38" s="32">
        <f t="shared" si="8"/>
        <v>4.8842549156209021</v>
      </c>
      <c r="I38" s="32">
        <f t="shared" si="0"/>
        <v>50.396916899317283</v>
      </c>
      <c r="J38" s="38">
        <f t="shared" si="1"/>
        <v>0.03</v>
      </c>
      <c r="K38" s="39">
        <f t="shared" si="2"/>
        <v>0.82284778725782481</v>
      </c>
      <c r="L38" s="31">
        <f t="shared" si="9"/>
        <v>0.85284778725782484</v>
      </c>
      <c r="M38" s="31">
        <f t="shared" si="10"/>
        <v>5.7269948853655643</v>
      </c>
      <c r="N38" s="40">
        <f t="shared" si="11"/>
        <v>12.656859419267295</v>
      </c>
      <c r="O38" s="40">
        <f t="shared" si="12"/>
        <v>2.591359304115747</v>
      </c>
      <c r="P38" s="42">
        <f t="shared" si="13"/>
        <v>1026.7164748174328</v>
      </c>
      <c r="Q38" s="41">
        <f t="shared" si="14"/>
        <v>17.133968968883757</v>
      </c>
      <c r="R38" s="20">
        <f t="shared" si="15"/>
        <v>44.28</v>
      </c>
      <c r="S38" s="20">
        <f t="shared" si="16"/>
        <v>49.702134183708296</v>
      </c>
      <c r="T38" s="20">
        <f t="shared" si="17"/>
        <v>72.524736376227551</v>
      </c>
      <c r="U38" s="41">
        <f t="shared" si="3"/>
        <v>-2.9139403008305709</v>
      </c>
      <c r="V38" s="40">
        <f t="shared" si="4"/>
        <v>-10.056059067720106</v>
      </c>
    </row>
    <row r="39" spans="1:22" x14ac:dyDescent="0.25">
      <c r="A39" s="22">
        <v>30</v>
      </c>
      <c r="B39" s="22" cm="1">
        <f t="array" ref="B39">KCASConv($K$4,A39,2)</f>
        <v>29.996797561645508</v>
      </c>
      <c r="C39" s="33" cm="1">
        <f t="array" ref="C39">KCASConv($K$4,A39,1)</f>
        <v>33.560188293457031</v>
      </c>
      <c r="D39" s="33">
        <f t="shared" si="5"/>
        <v>17.263471344370902</v>
      </c>
      <c r="E39" s="33">
        <f t="shared" si="6"/>
        <v>62.148496839735252</v>
      </c>
      <c r="F39" s="32" cm="1">
        <f t="array" ref="F39">KCASConv($K$4,A39,0)</f>
        <v>5.266234278678894E-2</v>
      </c>
      <c r="G39" s="32">
        <f t="shared" si="7"/>
        <v>135.4689775382875</v>
      </c>
      <c r="H39" s="32">
        <f t="shared" si="8"/>
        <v>4.5641189680766994</v>
      </c>
      <c r="I39" s="32">
        <f t="shared" si="0"/>
        <v>46.952641334580896</v>
      </c>
      <c r="J39" s="38">
        <f t="shared" si="1"/>
        <v>0.03</v>
      </c>
      <c r="K39" s="39">
        <f t="shared" si="2"/>
        <v>0.71421937198724617</v>
      </c>
      <c r="L39" s="31">
        <f t="shared" si="9"/>
        <v>0.74421937198724619</v>
      </c>
      <c r="M39" s="31">
        <f t="shared" si="10"/>
        <v>6.1327602315556433</v>
      </c>
      <c r="N39" s="40">
        <f t="shared" si="11"/>
        <v>13.101905533697485</v>
      </c>
      <c r="O39" s="40">
        <f t="shared" si="12"/>
        <v>2.8706319062534358</v>
      </c>
      <c r="P39" s="42">
        <f t="shared" si="13"/>
        <v>958.78524155321054</v>
      </c>
      <c r="Q39" s="41">
        <f t="shared" si="14"/>
        <v>16.551961542959582</v>
      </c>
      <c r="R39" s="20">
        <f t="shared" si="15"/>
        <v>44.28</v>
      </c>
      <c r="S39" s="20">
        <f t="shared" si="16"/>
        <v>53.223597723857907</v>
      </c>
      <c r="T39" s="20">
        <f t="shared" si="17"/>
        <v>70.061212880252199</v>
      </c>
      <c r="U39" s="41">
        <f t="shared" si="3"/>
        <v>-2.8149594460815619</v>
      </c>
      <c r="V39" s="40">
        <f t="shared" si="4"/>
        <v>-9.3844797752401945</v>
      </c>
    </row>
    <row r="40" spans="1:22" x14ac:dyDescent="0.25">
      <c r="A40" s="22">
        <v>31</v>
      </c>
      <c r="B40" s="22" cm="1">
        <f t="array" ref="B40">KCASConv($K$4,A40,2)</f>
        <v>30.996467590332031</v>
      </c>
      <c r="C40" s="33" cm="1">
        <f t="array" ref="C40">KCASConv($K$4,A40,1)</f>
        <v>34.678653717041016</v>
      </c>
      <c r="D40" s="33">
        <f t="shared" si="5"/>
        <v>17.838813640453196</v>
      </c>
      <c r="E40" s="33">
        <f t="shared" si="6"/>
        <v>64.219729105631515</v>
      </c>
      <c r="F40" s="32" cm="1">
        <f t="array" ref="F40">KCASConv($K$4,A40,0)</f>
        <v>5.4417427629232407E-2</v>
      </c>
      <c r="G40" s="32">
        <f t="shared" si="7"/>
        <v>144.64903260827452</v>
      </c>
      <c r="H40" s="32">
        <f t="shared" si="8"/>
        <v>4.2744601800612738</v>
      </c>
      <c r="I40" s="32">
        <f t="shared" si="0"/>
        <v>43.836263141735387</v>
      </c>
      <c r="J40" s="38">
        <f t="shared" si="1"/>
        <v>0.03</v>
      </c>
      <c r="K40" s="39">
        <f t="shared" si="2"/>
        <v>0.62255628048745948</v>
      </c>
      <c r="L40" s="31">
        <f t="shared" si="9"/>
        <v>0.65255628048745951</v>
      </c>
      <c r="M40" s="31">
        <f t="shared" si="10"/>
        <v>6.5503318378427871</v>
      </c>
      <c r="N40" s="40">
        <f t="shared" si="11"/>
        <v>13.542658887674879</v>
      </c>
      <c r="O40" s="40">
        <f t="shared" si="12"/>
        <v>3.1682734935387198</v>
      </c>
      <c r="P40" s="42">
        <f t="shared" si="13"/>
        <v>897.66444594911593</v>
      </c>
      <c r="Q40" s="41">
        <f t="shared" si="14"/>
        <v>16.01326876294695</v>
      </c>
      <c r="R40" s="20">
        <f t="shared" si="15"/>
        <v>44.28</v>
      </c>
      <c r="S40" s="20">
        <f t="shared" si="16"/>
        <v>56.847522735564191</v>
      </c>
      <c r="T40" s="20">
        <f t="shared" si="17"/>
        <v>67.781031800833659</v>
      </c>
      <c r="U40" s="41">
        <f t="shared" si="3"/>
        <v>-2.7233450277120665</v>
      </c>
      <c r="V40" s="40">
        <f t="shared" si="4"/>
        <v>-8.7813421984021485</v>
      </c>
    </row>
    <row r="41" spans="1:22" x14ac:dyDescent="0.25">
      <c r="A41" s="22">
        <v>32</v>
      </c>
      <c r="B41" s="22" cm="1">
        <f t="array" ref="B41">KCASConv($K$4,A41,2)</f>
        <v>31.996114730834961</v>
      </c>
      <c r="C41" s="33" cm="1">
        <f t="array" ref="C41">KCASConv($K$4,A41,1)</f>
        <v>35.797096252441406</v>
      </c>
      <c r="D41" s="33">
        <f t="shared" si="5"/>
        <v>18.414144162778502</v>
      </c>
      <c r="E41" s="33">
        <f t="shared" si="6"/>
        <v>66.290918986002609</v>
      </c>
      <c r="F41" s="32" cm="1">
        <f t="array" ref="F41">KCASConv($K$4,A41,0)</f>
        <v>5.6172475218772888E-2</v>
      </c>
      <c r="G41" s="32">
        <f t="shared" si="7"/>
        <v>154.12982107406765</v>
      </c>
      <c r="H41" s="32">
        <f t="shared" si="8"/>
        <v>4.0115308358875579</v>
      </c>
      <c r="I41" s="32">
        <f t="shared" si="0"/>
        <v>41.007461433159207</v>
      </c>
      <c r="J41" s="38">
        <f t="shared" si="1"/>
        <v>0.03</v>
      </c>
      <c r="K41" s="39">
        <f t="shared" si="2"/>
        <v>0.5448003005000045</v>
      </c>
      <c r="L41" s="31">
        <f t="shared" si="9"/>
        <v>0.57480030050000452</v>
      </c>
      <c r="M41" s="31">
        <f t="shared" si="10"/>
        <v>6.9789991974569716</v>
      </c>
      <c r="N41" s="40">
        <f t="shared" si="11"/>
        <v>13.978102340485673</v>
      </c>
      <c r="O41" s="40">
        <f t="shared" si="12"/>
        <v>3.4844808409388666</v>
      </c>
      <c r="P41" s="42">
        <f t="shared" si="13"/>
        <v>842.527679633861</v>
      </c>
      <c r="Q41" s="41">
        <f t="shared" si="14"/>
        <v>15.514426153909177</v>
      </c>
      <c r="R41" s="20">
        <f t="shared" si="15"/>
        <v>44.28</v>
      </c>
      <c r="S41" s="20">
        <f t="shared" si="16"/>
        <v>60.567743035073008</v>
      </c>
      <c r="T41" s="20">
        <f t="shared" si="17"/>
        <v>65.669528693795456</v>
      </c>
      <c r="U41" s="41">
        <f t="shared" si="3"/>
        <v>-2.6385078493042817</v>
      </c>
      <c r="V41" s="40">
        <f t="shared" si="4"/>
        <v>-8.2380968901177596</v>
      </c>
    </row>
    <row r="42" spans="1:22" x14ac:dyDescent="0.25">
      <c r="A42" s="22">
        <v>33</v>
      </c>
      <c r="B42" s="22" cm="1">
        <f t="array" ref="B42">KCASConv($K$4,A42,2)</f>
        <v>32.995738983154297</v>
      </c>
      <c r="C42" s="33" cm="1">
        <f t="array" ref="C42">KCASConv($K$4,A42,1)</f>
        <v>36.915519714355469</v>
      </c>
      <c r="D42" s="33">
        <f t="shared" si="5"/>
        <v>18.989464873639644</v>
      </c>
      <c r="E42" s="33">
        <f t="shared" si="6"/>
        <v>68.362073545102717</v>
      </c>
      <c r="F42" s="32" cm="1">
        <f t="array" ref="F42">KCASConv($K$4,A42,0)</f>
        <v>5.7927493005990982E-2</v>
      </c>
      <c r="G42" s="32">
        <f t="shared" si="7"/>
        <v>163.911358337238</v>
      </c>
      <c r="H42" s="32">
        <f t="shared" si="8"/>
        <v>3.7721396262017755</v>
      </c>
      <c r="I42" s="32">
        <f t="shared" si="0"/>
        <v>38.431901580357682</v>
      </c>
      <c r="J42" s="38">
        <f t="shared" si="1"/>
        <v>0.03</v>
      </c>
      <c r="K42" s="39">
        <f t="shared" si="2"/>
        <v>0.47851473463501037</v>
      </c>
      <c r="L42" s="31">
        <f t="shared" si="9"/>
        <v>0.5085147346350104</v>
      </c>
      <c r="M42" s="31">
        <f t="shared" si="10"/>
        <v>7.4179554087242963</v>
      </c>
      <c r="N42" s="40">
        <f t="shared" si="11"/>
        <v>14.407150676859688</v>
      </c>
      <c r="O42" s="40">
        <f t="shared" si="12"/>
        <v>3.8193577397787024</v>
      </c>
      <c r="P42" s="42">
        <f t="shared" si="13"/>
        <v>792.67125184986969</v>
      </c>
      <c r="Q42" s="41">
        <f t="shared" si="14"/>
        <v>15.052402893347063</v>
      </c>
      <c r="R42" s="20">
        <f t="shared" si="15"/>
        <v>44.28</v>
      </c>
      <c r="S42" s="20">
        <f t="shared" si="16"/>
        <v>64.377255868571581</v>
      </c>
      <c r="T42" s="20">
        <f t="shared" si="17"/>
        <v>63.713874680834131</v>
      </c>
      <c r="U42" s="41">
        <f t="shared" si="3"/>
        <v>-2.5599324648549429</v>
      </c>
      <c r="V42" s="40">
        <f t="shared" si="4"/>
        <v>-7.7475196926626984</v>
      </c>
    </row>
    <row r="43" spans="1:22" x14ac:dyDescent="0.25">
      <c r="A43" s="22">
        <v>34</v>
      </c>
      <c r="B43" s="22" cm="1">
        <f t="array" ref="B43">KCASConv($K$4,A43,2)</f>
        <v>33.995338439941406</v>
      </c>
      <c r="C43" s="33" cm="1">
        <f t="array" ref="C43">KCASConv($K$4,A43,1)</f>
        <v>38.033916473388672</v>
      </c>
      <c r="D43" s="33">
        <f t="shared" si="5"/>
        <v>19.564771848450963</v>
      </c>
      <c r="E43" s="33">
        <f t="shared" si="6"/>
        <v>70.433178654423472</v>
      </c>
      <c r="F43" s="32" cm="1">
        <f t="array" ref="F43">KCASConv($K$4,A43,0)</f>
        <v>5.9682473540306091E-2</v>
      </c>
      <c r="G43" s="32">
        <f t="shared" si="7"/>
        <v>173.99355919851203</v>
      </c>
      <c r="H43" s="32">
        <f t="shared" si="8"/>
        <v>3.5535598720814137</v>
      </c>
      <c r="I43" s="32">
        <f t="shared" si="0"/>
        <v>36.080247816267658</v>
      </c>
      <c r="J43" s="38">
        <f t="shared" si="1"/>
        <v>0.03</v>
      </c>
      <c r="K43" s="39">
        <f t="shared" si="2"/>
        <v>0.42174563057879466</v>
      </c>
      <c r="L43" s="31">
        <f t="shared" si="9"/>
        <v>0.45174563057879469</v>
      </c>
      <c r="M43" s="31">
        <f t="shared" si="10"/>
        <v>7.866284987700821</v>
      </c>
      <c r="N43" s="40">
        <f t="shared" si="11"/>
        <v>14.828645911939391</v>
      </c>
      <c r="O43" s="40">
        <f t="shared" si="12"/>
        <v>4.1728988523426418</v>
      </c>
      <c r="P43" s="42">
        <f t="shared" si="13"/>
        <v>747.49389441058406</v>
      </c>
      <c r="Q43" s="41">
        <f t="shared" si="14"/>
        <v>14.624547502253172</v>
      </c>
      <c r="R43" s="20">
        <f t="shared" si="15"/>
        <v>44.28</v>
      </c>
      <c r="S43" s="20">
        <f t="shared" si="16"/>
        <v>68.268116143260698</v>
      </c>
      <c r="T43" s="20">
        <f t="shared" si="17"/>
        <v>61.902846570383801</v>
      </c>
      <c r="U43" s="41">
        <f t="shared" si="3"/>
        <v>-2.4871679425600632</v>
      </c>
      <c r="V43" s="40">
        <f t="shared" si="4"/>
        <v>-7.303477600501739</v>
      </c>
    </row>
    <row r="44" spans="1:22" x14ac:dyDescent="0.25">
      <c r="A44" s="22">
        <v>35</v>
      </c>
      <c r="B44" s="22" cm="1">
        <f t="array" ref="B44">KCASConv($K$4,A44,2)</f>
        <v>34.994915008544922</v>
      </c>
      <c r="C44" s="33" cm="1">
        <f t="array" ref="C44">KCASConv($K$4,A44,1)</f>
        <v>39.152294158935547</v>
      </c>
      <c r="D44" s="33">
        <f t="shared" si="5"/>
        <v>20.140069011798122</v>
      </c>
      <c r="E44" s="33">
        <f t="shared" si="6"/>
        <v>72.504248442473241</v>
      </c>
      <c r="F44" s="32" cm="1">
        <f t="array" ref="F44">KCASConv($K$4,A44,0)</f>
        <v>6.1437420547008514E-2</v>
      </c>
      <c r="G44" s="32">
        <f t="shared" si="7"/>
        <v>184.3764739623283</v>
      </c>
      <c r="H44" s="32">
        <f t="shared" si="8"/>
        <v>3.3534458962198412</v>
      </c>
      <c r="I44" s="32">
        <f t="shared" si="0"/>
        <v>33.927263490360012</v>
      </c>
      <c r="J44" s="38">
        <f t="shared" si="1"/>
        <v>0.03</v>
      </c>
      <c r="K44" s="39">
        <f t="shared" si="2"/>
        <v>0.37291446672097583</v>
      </c>
      <c r="L44" s="31">
        <f t="shared" si="9"/>
        <v>0.40291446672097586</v>
      </c>
      <c r="M44" s="31">
        <f t="shared" si="10"/>
        <v>8.3229721769760907</v>
      </c>
      <c r="N44" s="40">
        <f t="shared" si="11"/>
        <v>15.241373110301108</v>
      </c>
      <c r="O44" s="40">
        <f t="shared" si="12"/>
        <v>4.5449885228450784</v>
      </c>
      <c r="P44" s="42">
        <f t="shared" si="13"/>
        <v>706.47839196986558</v>
      </c>
      <c r="Q44" s="41">
        <f t="shared" si="14"/>
        <v>14.228523569617257</v>
      </c>
      <c r="R44" s="20">
        <f t="shared" si="15"/>
        <v>44.28</v>
      </c>
      <c r="S44" s="20">
        <f t="shared" si="16"/>
        <v>72.23150853589965</v>
      </c>
      <c r="T44" s="20">
        <f t="shared" si="17"/>
        <v>60.226554792030718</v>
      </c>
      <c r="U44" s="41">
        <f t="shared" si="3"/>
        <v>-2.4198169336083768</v>
      </c>
      <c r="V44" s="40">
        <f t="shared" si="4"/>
        <v>-6.9007241673789625</v>
      </c>
    </row>
    <row r="45" spans="1:22" x14ac:dyDescent="0.25">
      <c r="A45" s="22">
        <v>36</v>
      </c>
      <c r="B45" s="22" cm="1">
        <f t="array" ref="B45">KCASConv($K$4,A45,2)</f>
        <v>35.994468688964844</v>
      </c>
      <c r="C45" s="33" cm="1">
        <f t="array" ref="C45">KCASConv($K$4,A45,1)</f>
        <v>40.270645141601563</v>
      </c>
      <c r="D45" s="33">
        <f t="shared" si="5"/>
        <v>20.715352439095454</v>
      </c>
      <c r="E45" s="33">
        <f t="shared" si="6"/>
        <v>74.575268780743642</v>
      </c>
      <c r="F45" s="32" cm="1">
        <f t="array" ref="F45">KCASConv($K$4,A45,0)</f>
        <v>6.3192330300807953E-2</v>
      </c>
      <c r="G45" s="32">
        <f t="shared" si="7"/>
        <v>195.06001332493651</v>
      </c>
      <c r="H45" s="32">
        <f t="shared" si="8"/>
        <v>3.1697759034727349</v>
      </c>
      <c r="I45" s="32">
        <f t="shared" si="0"/>
        <v>31.951196532409842</v>
      </c>
      <c r="J45" s="38">
        <f t="shared" si="1"/>
        <v>0.03</v>
      </c>
      <c r="K45" s="39">
        <f t="shared" si="2"/>
        <v>0.33073931407926604</v>
      </c>
      <c r="L45" s="31">
        <f t="shared" si="9"/>
        <v>0.36073931407926607</v>
      </c>
      <c r="M45" s="31">
        <f t="shared" si="10"/>
        <v>8.7868878709910518</v>
      </c>
      <c r="N45" s="40">
        <f t="shared" si="11"/>
        <v>15.644056083758949</v>
      </c>
      <c r="O45" s="40">
        <f t="shared" si="12"/>
        <v>4.9353823614532732</v>
      </c>
      <c r="P45" s="42">
        <f t="shared" si="13"/>
        <v>669.17890455984718</v>
      </c>
      <c r="Q45" s="41">
        <f t="shared" si="14"/>
        <v>13.862276852765055</v>
      </c>
      <c r="R45" s="20">
        <f t="shared" si="15"/>
        <v>44.28</v>
      </c>
      <c r="S45" s="20">
        <f t="shared" si="16"/>
        <v>76.257634023243781</v>
      </c>
      <c r="T45" s="20">
        <f t="shared" si="17"/>
        <v>58.67630413868806</v>
      </c>
      <c r="U45" s="41">
        <f t="shared" si="3"/>
        <v>-2.3575300770008596</v>
      </c>
      <c r="V45" s="40">
        <f t="shared" si="4"/>
        <v>-6.5347580742132445</v>
      </c>
    </row>
    <row r="46" spans="1:22" x14ac:dyDescent="0.25">
      <c r="A46" s="22">
        <v>37</v>
      </c>
      <c r="B46" s="22" cm="1">
        <f t="array" ref="B46">KCASConv($K$4,A46,2)</f>
        <v>36.993995666503906</v>
      </c>
      <c r="C46" s="33" cm="1">
        <f t="array" ref="C46">KCASConv($K$4,A46,1)</f>
        <v>41.38897705078125</v>
      </c>
      <c r="D46" s="33">
        <f t="shared" si="5"/>
        <v>21.290626054928627</v>
      </c>
      <c r="E46" s="33">
        <f t="shared" si="6"/>
        <v>76.646253797743057</v>
      </c>
      <c r="F46" s="32" cm="1">
        <f t="array" ref="F46">KCASConv($K$4,A46,0)</f>
        <v>6.4947202801704407E-2</v>
      </c>
      <c r="G46" s="32">
        <f t="shared" si="7"/>
        <v>206.04423169668001</v>
      </c>
      <c r="H46" s="32">
        <f t="shared" si="8"/>
        <v>3.0007951442127991</v>
      </c>
      <c r="I46" s="32">
        <f t="shared" si="0"/>
        <v>30.13316795894189</v>
      </c>
      <c r="J46" s="38">
        <f t="shared" si="1"/>
        <v>0.03</v>
      </c>
      <c r="K46" s="39">
        <f t="shared" si="2"/>
        <v>0.29417187784148974</v>
      </c>
      <c r="L46" s="31">
        <f t="shared" si="9"/>
        <v>0.32417187784148971</v>
      </c>
      <c r="M46" s="31">
        <f t="shared" si="10"/>
        <v>9.2568027929927279</v>
      </c>
      <c r="N46" s="40">
        <f t="shared" si="11"/>
        <v>16.035377403691086</v>
      </c>
      <c r="O46" s="40">
        <f t="shared" si="12"/>
        <v>5.3437094613460046</v>
      </c>
      <c r="P46" s="42">
        <f t="shared" si="13"/>
        <v>635.20851977651284</v>
      </c>
      <c r="Q46" s="41">
        <f t="shared" si="14"/>
        <v>13.523987061466471</v>
      </c>
      <c r="R46" s="20">
        <f t="shared" si="15"/>
        <v>44.28</v>
      </c>
      <c r="S46" s="20">
        <f t="shared" si="16"/>
        <v>80.335824239186906</v>
      </c>
      <c r="T46" s="20">
        <f t="shared" si="17"/>
        <v>57.244389678164943</v>
      </c>
      <c r="U46" s="41">
        <f t="shared" si="3"/>
        <v>-2.2999977995691276</v>
      </c>
      <c r="V46" s="40">
        <f t="shared" si="4"/>
        <v>-6.2016888834219221</v>
      </c>
    </row>
    <row r="47" spans="1:22" x14ac:dyDescent="0.25">
      <c r="A47" s="22">
        <v>38</v>
      </c>
      <c r="B47" s="22" cm="1">
        <f t="array" ref="B47">KCASConv($K$4,A47,2)</f>
        <v>37.993495941162109</v>
      </c>
      <c r="C47" s="33" cm="1">
        <f t="array" ref="C47">KCASConv($K$4,A47,1)</f>
        <v>42.507282257080078</v>
      </c>
      <c r="D47" s="33">
        <f t="shared" si="5"/>
        <v>21.865885934711976</v>
      </c>
      <c r="E47" s="33">
        <f t="shared" si="6"/>
        <v>78.717189364963119</v>
      </c>
      <c r="F47" s="32" cm="1">
        <f t="array" ref="F47">KCASConv($K$4,A47,0)</f>
        <v>6.6702038049697876E-2</v>
      </c>
      <c r="G47" s="32">
        <f t="shared" si="7"/>
        <v>217.32903566950009</v>
      </c>
      <c r="H47" s="32">
        <f t="shared" si="8"/>
        <v>2.8449789420163789</v>
      </c>
      <c r="I47" s="32">
        <f t="shared" si="0"/>
        <v>28.45677409585954</v>
      </c>
      <c r="J47" s="38">
        <f t="shared" si="1"/>
        <v>0.03</v>
      </c>
      <c r="K47" s="39">
        <f t="shared" si="2"/>
        <v>0.26235110677903678</v>
      </c>
      <c r="L47" s="31">
        <f t="shared" si="9"/>
        <v>0.29235110677903675</v>
      </c>
      <c r="M47" s="31">
        <f t="shared" si="10"/>
        <v>9.7313773611490237</v>
      </c>
      <c r="N47" s="40">
        <f t="shared" si="11"/>
        <v>16.413977809230737</v>
      </c>
      <c r="O47" s="40">
        <f t="shared" si="12"/>
        <v>5.7694549393034631</v>
      </c>
      <c r="P47" s="42">
        <f t="shared" si="13"/>
        <v>604.23101291652347</v>
      </c>
      <c r="Q47" s="41">
        <f t="shared" si="14"/>
        <v>13.212046406648181</v>
      </c>
      <c r="R47" s="20">
        <f t="shared" si="15"/>
        <v>44.28</v>
      </c>
      <c r="S47" s="20">
        <f t="shared" si="16"/>
        <v>84.454453527114751</v>
      </c>
      <c r="T47" s="20">
        <f t="shared" si="17"/>
        <v>55.924005954066374</v>
      </c>
      <c r="U47" s="41">
        <f t="shared" si="3"/>
        <v>-2.2469466677973093</v>
      </c>
      <c r="V47" s="40">
        <f t="shared" si="4"/>
        <v>-5.8981475326890322</v>
      </c>
    </row>
    <row r="48" spans="1:22" x14ac:dyDescent="0.25">
      <c r="A48" s="22">
        <v>39</v>
      </c>
      <c r="B48" s="22" cm="1">
        <f t="array" ref="B48">KCASConv($K$4,A48,2)</f>
        <v>38.992969512939453</v>
      </c>
      <c r="C48" s="33" cm="1">
        <f t="array" ref="C48">KCASConv($K$4,A48,1)</f>
        <v>43.625564575195313</v>
      </c>
      <c r="D48" s="33">
        <f t="shared" si="5"/>
        <v>22.44113404073833</v>
      </c>
      <c r="E48" s="33">
        <f t="shared" si="6"/>
        <v>80.788082546657989</v>
      </c>
      <c r="F48" s="32" cm="1">
        <f t="array" ref="F48">KCASConv($K$4,A48,0)</f>
        <v>6.8456836044788361E-2</v>
      </c>
      <c r="G48" s="32">
        <f t="shared" si="7"/>
        <v>228.91444372609965</v>
      </c>
      <c r="H48" s="32">
        <f t="shared" si="8"/>
        <v>2.7009939604696047</v>
      </c>
      <c r="I48" s="32">
        <f t="shared" si="0"/>
        <v>26.907669856129946</v>
      </c>
      <c r="J48" s="38">
        <f t="shared" si="1"/>
        <v>0.03</v>
      </c>
      <c r="K48" s="39">
        <f t="shared" si="2"/>
        <v>0.2345652909202483</v>
      </c>
      <c r="L48" s="31">
        <f t="shared" si="9"/>
        <v>0.26456529092024827</v>
      </c>
      <c r="M48" s="31">
        <f t="shared" si="10"/>
        <v>10.209177292586745</v>
      </c>
      <c r="N48" s="40">
        <f t="shared" si="11"/>
        <v>16.778477597625024</v>
      </c>
      <c r="O48" s="40">
        <f t="shared" si="12"/>
        <v>6.2119641299412089</v>
      </c>
      <c r="P48" s="42">
        <f t="shared" si="13"/>
        <v>575.95238396630475</v>
      </c>
      <c r="Q48" s="41">
        <f t="shared" si="14"/>
        <v>12.925024649670634</v>
      </c>
      <c r="R48" s="20">
        <f t="shared" si="15"/>
        <v>44.28</v>
      </c>
      <c r="S48" s="20">
        <f t="shared" si="16"/>
        <v>88.601074360663532</v>
      </c>
      <c r="T48" s="20">
        <f t="shared" si="17"/>
        <v>54.709099046224907</v>
      </c>
      <c r="U48" s="41">
        <f t="shared" si="3"/>
        <v>-2.1981334438215367</v>
      </c>
      <c r="V48" s="40">
        <f t="shared" si="4"/>
        <v>-5.6211970491189343</v>
      </c>
    </row>
    <row r="49" spans="1:22" x14ac:dyDescent="0.25">
      <c r="A49" s="22">
        <v>40</v>
      </c>
      <c r="B49" s="22" cm="1">
        <f t="array" ref="B49">KCASConv($K$4,A49,2)</f>
        <v>39.992412567138672</v>
      </c>
      <c r="C49" s="33" cm="1">
        <f t="array" ref="C49">KCASConv($K$4,A49,1)</f>
        <v>44.743816375732422</v>
      </c>
      <c r="D49" s="33">
        <f t="shared" si="5"/>
        <v>23.01636644842203</v>
      </c>
      <c r="E49" s="33">
        <f t="shared" si="6"/>
        <v>82.858919214319315</v>
      </c>
      <c r="F49" s="32" cm="1">
        <f t="array" ref="F49">KCASConv($K$4,A49,0)</f>
        <v>7.0211589336395264E-2</v>
      </c>
      <c r="G49" s="32">
        <f t="shared" si="7"/>
        <v>240.80035527574873</v>
      </c>
      <c r="H49" s="32">
        <f t="shared" si="8"/>
        <v>2.5676728311319215</v>
      </c>
      <c r="I49" s="32">
        <f t="shared" si="0"/>
        <v>25.473295767361179</v>
      </c>
      <c r="J49" s="38">
        <f t="shared" si="1"/>
        <v>0.03</v>
      </c>
      <c r="K49" s="39">
        <f t="shared" si="2"/>
        <v>0.2102237818160525</v>
      </c>
      <c r="L49" s="31">
        <f t="shared" si="9"/>
        <v>0.2402237818160525</v>
      </c>
      <c r="M49" s="31">
        <f t="shared" si="10"/>
        <v>10.68867042105796</v>
      </c>
      <c r="N49" s="40">
        <f t="shared" si="11"/>
        <v>17.127482362201601</v>
      </c>
      <c r="O49" s="40">
        <f t="shared" si="12"/>
        <v>6.6704301866414957</v>
      </c>
      <c r="P49" s="42">
        <f t="shared" si="13"/>
        <v>550.11519378646915</v>
      </c>
      <c r="Q49" s="41">
        <f t="shared" si="14"/>
        <v>12.661652889034073</v>
      </c>
      <c r="R49" s="20">
        <f t="shared" si="15"/>
        <v>44.28</v>
      </c>
      <c r="S49" s="20">
        <f t="shared" si="16"/>
        <v>92.762389725610163</v>
      </c>
      <c r="T49" s="20">
        <f t="shared" si="17"/>
        <v>53.594297943001358</v>
      </c>
      <c r="U49" s="41">
        <f t="shared" si="3"/>
        <v>-2.1533423280670192</v>
      </c>
      <c r="V49" s="40">
        <f t="shared" si="4"/>
        <v>-5.3682724198456437</v>
      </c>
    </row>
    <row r="50" spans="1:22" x14ac:dyDescent="0.25">
      <c r="A50" s="22">
        <v>41</v>
      </c>
      <c r="B50" s="22" cm="1">
        <f t="array" ref="B50">KCASConv($K$4,A50,2)</f>
        <v>40.991832733154297</v>
      </c>
      <c r="C50" s="33" cm="1">
        <f t="array" ref="C50">KCASConv($K$4,A50,1)</f>
        <v>45.862041473388672</v>
      </c>
      <c r="D50" s="33">
        <f t="shared" si="5"/>
        <v>23.591585120055903</v>
      </c>
      <c r="E50" s="33">
        <f t="shared" si="6"/>
        <v>84.929706432201257</v>
      </c>
      <c r="F50" s="32" cm="1">
        <f t="array" ref="F50">KCASConv($K$4,A50,0)</f>
        <v>7.1966297924518585E-2</v>
      </c>
      <c r="G50" s="32">
        <f t="shared" si="7"/>
        <v>252.98678777598153</v>
      </c>
      <c r="H50" s="32">
        <f t="shared" si="8"/>
        <v>2.4439874327190263</v>
      </c>
      <c r="I50" s="32">
        <f t="shared" si="0"/>
        <v>24.142590488131646</v>
      </c>
      <c r="J50" s="38">
        <f t="shared" si="1"/>
        <v>0.03</v>
      </c>
      <c r="K50" s="39">
        <f t="shared" si="2"/>
        <v>0.18883361353271774</v>
      </c>
      <c r="L50" s="31">
        <f t="shared" si="9"/>
        <v>0.21883361353271774</v>
      </c>
      <c r="M50" s="31">
        <f t="shared" si="10"/>
        <v>11.168245103047784</v>
      </c>
      <c r="N50" s="40">
        <f t="shared" si="11"/>
        <v>17.459605266586927</v>
      </c>
      <c r="O50" s="40">
        <f t="shared" si="12"/>
        <v>7.1439014099849407</v>
      </c>
      <c r="P50" s="42">
        <f t="shared" si="13"/>
        <v>526.49274310745238</v>
      </c>
      <c r="Q50" s="41">
        <f t="shared" si="14"/>
        <v>12.420798364111189</v>
      </c>
      <c r="R50" s="20">
        <f t="shared" si="15"/>
        <v>44.28</v>
      </c>
      <c r="S50" s="20">
        <f t="shared" si="16"/>
        <v>96.924412858593271</v>
      </c>
      <c r="T50" s="20">
        <f t="shared" si="17"/>
        <v>52.574807890417731</v>
      </c>
      <c r="U50" s="41">
        <f t="shared" si="3"/>
        <v>-2.1123806741685698</v>
      </c>
      <c r="V50" s="40">
        <f t="shared" si="4"/>
        <v>-5.1371201517156706</v>
      </c>
    </row>
    <row r="51" spans="1:22" x14ac:dyDescent="0.25">
      <c r="A51" s="22">
        <v>42</v>
      </c>
      <c r="B51" s="22" cm="1">
        <f t="array" ref="B51">KCASConv($K$4,A51,2)</f>
        <v>41.991218566894531</v>
      </c>
      <c r="C51" s="33" cm="1">
        <f t="array" ref="C51">KCASConv($K$4,A51,1)</f>
        <v>46.980243682861328</v>
      </c>
      <c r="D51" s="33">
        <f t="shared" si="5"/>
        <v>24.166792017932782</v>
      </c>
      <c r="E51" s="33">
        <f t="shared" si="6"/>
        <v>87.000451264558009</v>
      </c>
      <c r="F51" s="32" cm="1">
        <f t="array" ref="F51">KCASConv($K$4,A51,0)</f>
        <v>7.3720969259738922E-2</v>
      </c>
      <c r="G51" s="32">
        <f t="shared" si="7"/>
        <v>265.47376278949497</v>
      </c>
      <c r="H51" s="32">
        <f t="shared" si="8"/>
        <v>2.3290306487226271</v>
      </c>
      <c r="I51" s="32">
        <f t="shared" si="0"/>
        <v>22.905794542044376</v>
      </c>
      <c r="J51" s="38">
        <f t="shared" si="1"/>
        <v>0.03</v>
      </c>
      <c r="K51" s="39">
        <f t="shared" si="2"/>
        <v>0.16998174763199306</v>
      </c>
      <c r="L51" s="31">
        <f t="shared" si="9"/>
        <v>0.19998174763199306</v>
      </c>
      <c r="M51" s="31">
        <f t="shared" si="10"/>
        <v>11.646216098723746</v>
      </c>
      <c r="N51" s="40">
        <f t="shared" si="11"/>
        <v>17.773479029567536</v>
      </c>
      <c r="O51" s="40">
        <f t="shared" si="12"/>
        <v>7.6312774326587434</v>
      </c>
      <c r="P51" s="42">
        <f t="shared" si="13"/>
        <v>504.88501588463237</v>
      </c>
      <c r="Q51" s="41">
        <f t="shared" si="14"/>
        <v>12.201451171854599</v>
      </c>
      <c r="R51" s="20">
        <f t="shared" si="15"/>
        <v>44.28</v>
      </c>
      <c r="S51" s="20">
        <f t="shared" si="16"/>
        <v>101.07251828535252</v>
      </c>
      <c r="T51" s="20">
        <f t="shared" si="17"/>
        <v>51.646354166580309</v>
      </c>
      <c r="U51" s="41">
        <f t="shared" si="3"/>
        <v>-2.0750767299072446</v>
      </c>
      <c r="V51" s="40">
        <f t="shared" si="4"/>
        <v>-4.9257560007906012</v>
      </c>
    </row>
    <row r="52" spans="1:22" x14ac:dyDescent="0.25">
      <c r="A52" s="22">
        <v>43</v>
      </c>
      <c r="B52" s="22" cm="1">
        <f t="array" ref="B52">KCASConv($K$4,A52,2)</f>
        <v>42.990577697753906</v>
      </c>
      <c r="C52" s="33" cm="1">
        <f t="array" ref="C52">KCASConv($K$4,A52,1)</f>
        <v>48.098415374755859</v>
      </c>
      <c r="D52" s="33">
        <f t="shared" si="5"/>
        <v>24.741983217467006</v>
      </c>
      <c r="E52" s="33">
        <f t="shared" si="6"/>
        <v>89.071139582881216</v>
      </c>
      <c r="F52" s="32" cm="1">
        <f t="array" ref="F52">KCASConv($K$4,A52,0)</f>
        <v>7.5475595891475677E-2</v>
      </c>
      <c r="G52" s="32">
        <f t="shared" si="7"/>
        <v>278.26117357012885</v>
      </c>
      <c r="H52" s="32">
        <f t="shared" si="8"/>
        <v>2.2220007269991187</v>
      </c>
      <c r="I52" s="32">
        <f t="shared" si="0"/>
        <v>21.75428204581954</v>
      </c>
      <c r="J52" s="38">
        <f t="shared" si="1"/>
        <v>0.03</v>
      </c>
      <c r="K52" s="39">
        <f t="shared" si="2"/>
        <v>0.15332080047241572</v>
      </c>
      <c r="L52" s="31">
        <f t="shared" si="9"/>
        <v>0.18332080047241572</v>
      </c>
      <c r="M52" s="31">
        <f t="shared" si="10"/>
        <v>12.120832558406066</v>
      </c>
      <c r="N52" s="40">
        <f t="shared" si="11"/>
        <v>18.067769862614036</v>
      </c>
      <c r="O52" s="40">
        <f t="shared" si="12"/>
        <v>8.1313069087133574</v>
      </c>
      <c r="P52" s="42">
        <f t="shared" si="13"/>
        <v>485.11519086385607</v>
      </c>
      <c r="Q52" s="41">
        <f t="shared" si="14"/>
        <v>12.002711910891831</v>
      </c>
      <c r="R52" s="20">
        <f t="shared" si="15"/>
        <v>44.28</v>
      </c>
      <c r="S52" s="20">
        <f t="shared" si="16"/>
        <v>105.19151113188123</v>
      </c>
      <c r="T52" s="20">
        <f t="shared" si="17"/>
        <v>50.805129781552715</v>
      </c>
      <c r="U52" s="41">
        <f t="shared" si="3"/>
        <v>-2.0412775358659574</v>
      </c>
      <c r="V52" s="40">
        <f t="shared" si="4"/>
        <v>-4.732428907814012</v>
      </c>
    </row>
    <row r="53" spans="1:22" x14ac:dyDescent="0.25">
      <c r="A53" s="22">
        <v>44</v>
      </c>
      <c r="B53" s="22" cm="1">
        <f t="array" ref="B53">KCASConv($K$4,A53,2)</f>
        <v>43.989906311035156</v>
      </c>
      <c r="C53" s="33" cm="1">
        <f t="array" ref="C53">KCASConv($K$4,A53,1)</f>
        <v>49.216560363769531</v>
      </c>
      <c r="D53" s="33">
        <f t="shared" si="5"/>
        <v>25.317160680951407</v>
      </c>
      <c r="E53" s="33">
        <f t="shared" si="6"/>
        <v>91.141778451425068</v>
      </c>
      <c r="F53" s="32" cm="1">
        <f t="array" ref="F53">KCASConv($K$4,A53,0)</f>
        <v>7.7230177819728851E-2</v>
      </c>
      <c r="G53" s="32">
        <f t="shared" si="7"/>
        <v>291.34904065548506</v>
      </c>
      <c r="H53" s="32">
        <f t="shared" si="8"/>
        <v>2.1221848837305033</v>
      </c>
      <c r="I53" s="32">
        <f t="shared" si="0"/>
        <v>20.680384307746316</v>
      </c>
      <c r="J53" s="38">
        <f t="shared" si="1"/>
        <v>0.03</v>
      </c>
      <c r="K53" s="39">
        <f t="shared" si="2"/>
        <v>0.13855709788915097</v>
      </c>
      <c r="L53" s="31">
        <f t="shared" si="9"/>
        <v>0.16855709788915096</v>
      </c>
      <c r="M53" s="31">
        <f t="shared" si="10"/>
        <v>12.59030269449778</v>
      </c>
      <c r="N53" s="40">
        <f t="shared" si="11"/>
        <v>18.341201403745043</v>
      </c>
      <c r="O53" s="40">
        <f t="shared" si="12"/>
        <v>8.6426029816515246</v>
      </c>
      <c r="P53" s="42">
        <f t="shared" si="13"/>
        <v>467.02610276158657</v>
      </c>
      <c r="Q53" s="41">
        <f t="shared" si="14"/>
        <v>11.823774885813611</v>
      </c>
      <c r="R53" s="20">
        <f t="shared" si="15"/>
        <v>44.28</v>
      </c>
      <c r="S53" s="20">
        <f t="shared" si="16"/>
        <v>109.2658412415343</v>
      </c>
      <c r="T53" s="20">
        <f t="shared" si="17"/>
        <v>50.04772438439624</v>
      </c>
      <c r="U53" s="41">
        <f t="shared" si="3"/>
        <v>-2.0108460690159204</v>
      </c>
      <c r="V53" s="40">
        <f t="shared" si="4"/>
        <v>-4.5555849227145355</v>
      </c>
    </row>
    <row r="54" spans="1:22" x14ac:dyDescent="0.25">
      <c r="A54" s="22">
        <v>45</v>
      </c>
      <c r="B54" s="22" cm="1">
        <f t="array" ref="B54">KCASConv($K$4,A54,2)</f>
        <v>44.989204406738281</v>
      </c>
      <c r="C54" s="33" cm="1">
        <f t="array" ref="C54">KCASConv($K$4,A54,1)</f>
        <v>50.334671020507813</v>
      </c>
      <c r="D54" s="33">
        <f t="shared" si="5"/>
        <v>25.892320483800315</v>
      </c>
      <c r="E54" s="33">
        <f t="shared" si="6"/>
        <v>93.212353741681142</v>
      </c>
      <c r="F54" s="32" cm="1">
        <f t="array" ref="F54">KCASConv($K$4,A54,0)</f>
        <v>7.8984707593917847E-2</v>
      </c>
      <c r="G54" s="32">
        <f t="shared" si="7"/>
        <v>304.7372501178836</v>
      </c>
      <c r="H54" s="32">
        <f t="shared" si="8"/>
        <v>2.0289496270287741</v>
      </c>
      <c r="I54" s="32">
        <f t="shared" si="0"/>
        <v>19.677285721370442</v>
      </c>
      <c r="J54" s="38">
        <f t="shared" si="1"/>
        <v>0.03</v>
      </c>
      <c r="K54" s="39">
        <f t="shared" si="2"/>
        <v>0.12544170600424884</v>
      </c>
      <c r="L54" s="31">
        <f t="shared" si="9"/>
        <v>0.15544170600424884</v>
      </c>
      <c r="M54" s="31">
        <f t="shared" si="10"/>
        <v>13.052800816360797</v>
      </c>
      <c r="N54" s="40">
        <f t="shared" si="11"/>
        <v>18.592566488866375</v>
      </c>
      <c r="O54" s="40">
        <f t="shared" si="12"/>
        <v>9.1636412462805303</v>
      </c>
      <c r="P54" s="42">
        <f t="shared" si="13"/>
        <v>450.47803017340311</v>
      </c>
      <c r="Q54" s="41">
        <f t="shared" si="14"/>
        <v>11.663921528160822</v>
      </c>
      <c r="R54" s="20">
        <f t="shared" si="15"/>
        <v>44.28</v>
      </c>
      <c r="S54" s="20">
        <f t="shared" si="16"/>
        <v>113.27966422770264</v>
      </c>
      <c r="T54" s="20">
        <f t="shared" si="17"/>
        <v>49.371096415495543</v>
      </c>
      <c r="U54" s="41">
        <f t="shared" si="3"/>
        <v>-1.9836601238368743</v>
      </c>
      <c r="V54" s="40">
        <f t="shared" si="4"/>
        <v>-4.393844460774984</v>
      </c>
    </row>
    <row r="55" spans="1:22" x14ac:dyDescent="0.25">
      <c r="A55" s="22">
        <v>46</v>
      </c>
      <c r="B55" s="22" cm="1">
        <f t="array" ref="B55">KCASConv($K$4,A55,2)</f>
        <v>45.988468170166016</v>
      </c>
      <c r="C55" s="33" cm="1">
        <f t="array" ref="C55">KCASConv($K$4,A55,1)</f>
        <v>51.4527587890625</v>
      </c>
      <c r="D55" s="33">
        <f t="shared" si="5"/>
        <v>26.467468512892232</v>
      </c>
      <c r="E55" s="33">
        <f t="shared" si="6"/>
        <v>95.282886646412038</v>
      </c>
      <c r="F55" s="32" cm="1">
        <f t="array" ref="F55">KCASConv($K$4,A55,0)</f>
        <v>8.0739200115203857E-2</v>
      </c>
      <c r="G55" s="32">
        <f t="shared" si="7"/>
        <v>318.42591590232701</v>
      </c>
      <c r="H55" s="32">
        <f t="shared" si="8"/>
        <v>1.9417280412506019</v>
      </c>
      <c r="I55" s="32">
        <f t="shared" si="0"/>
        <v>18.738886960100938</v>
      </c>
      <c r="J55" s="38">
        <f t="shared" si="1"/>
        <v>0.03</v>
      </c>
      <c r="K55" s="39">
        <f t="shared" si="2"/>
        <v>0.11376250618308849</v>
      </c>
      <c r="L55" s="31">
        <f t="shared" si="9"/>
        <v>0.1437625061830885</v>
      </c>
      <c r="M55" s="31">
        <f t="shared" si="10"/>
        <v>13.506498271376248</v>
      </c>
      <c r="N55" s="40">
        <f t="shared" si="11"/>
        <v>18.820751848892161</v>
      </c>
      <c r="O55" s="40">
        <f t="shared" si="12"/>
        <v>9.6927846995351352</v>
      </c>
      <c r="P55" s="42">
        <f t="shared" si="13"/>
        <v>435.34600026279469</v>
      </c>
      <c r="Q55" s="41">
        <f t="shared" si="14"/>
        <v>11.522506554169091</v>
      </c>
      <c r="R55" s="20">
        <f t="shared" si="15"/>
        <v>44.28</v>
      </c>
      <c r="S55" s="20">
        <f t="shared" si="16"/>
        <v>117.2171099980153</v>
      </c>
      <c r="T55" s="20">
        <f t="shared" si="17"/>
        <v>48.77251451500144</v>
      </c>
      <c r="U55" s="41">
        <f t="shared" si="3"/>
        <v>-1.9596099581920223</v>
      </c>
      <c r="V55" s="40">
        <f t="shared" si="4"/>
        <v>-4.2459750997112113</v>
      </c>
    </row>
    <row r="56" spans="1:22" x14ac:dyDescent="0.25">
      <c r="A56" s="22">
        <v>47</v>
      </c>
      <c r="B56" s="22" cm="1">
        <f t="array" ref="B56">KCASConv($K$4,A56,2)</f>
        <v>46.987701416015625</v>
      </c>
      <c r="C56" s="33" cm="1">
        <f t="array" ref="C56">KCASConv($K$4,A56,1)</f>
        <v>52.570816040039063</v>
      </c>
      <c r="D56" s="33">
        <f t="shared" si="5"/>
        <v>27.042600843641495</v>
      </c>
      <c r="E56" s="33">
        <f t="shared" si="6"/>
        <v>97.353363037109389</v>
      </c>
      <c r="F56" s="32" cm="1">
        <f t="array" ref="F56">KCASConv($K$4,A56,0)</f>
        <v>8.249364048242569E-2</v>
      </c>
      <c r="G56" s="32">
        <f t="shared" si="7"/>
        <v>332.4149230562715</v>
      </c>
      <c r="H56" s="32">
        <f t="shared" si="8"/>
        <v>1.8600143588132128</v>
      </c>
      <c r="I56" s="32">
        <f t="shared" si="0"/>
        <v>17.859746576514784</v>
      </c>
      <c r="J56" s="38">
        <f t="shared" si="1"/>
        <v>0.03</v>
      </c>
      <c r="K56" s="39">
        <f t="shared" si="2"/>
        <v>0.10333849979490847</v>
      </c>
      <c r="L56" s="31">
        <f t="shared" si="9"/>
        <v>0.13333849979490847</v>
      </c>
      <c r="M56" s="31">
        <f t="shared" si="10"/>
        <v>13.949567166828416</v>
      </c>
      <c r="N56" s="40">
        <f t="shared" si="11"/>
        <v>19.024746594670003</v>
      </c>
      <c r="O56" s="40">
        <f t="shared" si="12"/>
        <v>10.228279424041004</v>
      </c>
      <c r="P56" s="42">
        <f t="shared" si="13"/>
        <v>421.51845499424775</v>
      </c>
      <c r="Q56" s="41">
        <f t="shared" si="14"/>
        <v>11.398955326637905</v>
      </c>
      <c r="R56" s="20">
        <f t="shared" si="15"/>
        <v>44.28</v>
      </c>
      <c r="S56" s="20">
        <f t="shared" si="16"/>
        <v>121.06231505497519</v>
      </c>
      <c r="T56" s="20">
        <f t="shared" si="17"/>
        <v>48.249546356139277</v>
      </c>
      <c r="U56" s="41">
        <f t="shared" si="3"/>
        <v>-1.9385978446663104</v>
      </c>
      <c r="V56" s="40">
        <f t="shared" si="4"/>
        <v>-4.1108778851081205</v>
      </c>
    </row>
    <row r="57" spans="1:22" x14ac:dyDescent="0.25">
      <c r="A57" s="22">
        <v>48</v>
      </c>
      <c r="B57" s="22" cm="1">
        <f t="array" ref="B57">KCASConv($K$4,A57,2)</f>
        <v>47.986900329589844</v>
      </c>
      <c r="C57" s="33" cm="1">
        <f t="array" ref="C57">KCASConv($K$4,A57,1)</f>
        <v>53.688835144042969</v>
      </c>
      <c r="D57" s="33">
        <f t="shared" si="5"/>
        <v>27.617713551462433</v>
      </c>
      <c r="E57" s="33">
        <f t="shared" si="6"/>
        <v>99.423768785264755</v>
      </c>
      <c r="F57" s="32" cm="1">
        <f t="array" ref="F57">KCASConv($K$4,A57,0)</f>
        <v>8.4248028695583344E-2</v>
      </c>
      <c r="G57" s="32">
        <f t="shared" si="7"/>
        <v>346.70414841978788</v>
      </c>
      <c r="H57" s="32">
        <f t="shared" si="8"/>
        <v>1.7833548654855538</v>
      </c>
      <c r="I57" s="32">
        <f t="shared" si="0"/>
        <v>17.034983154290632</v>
      </c>
      <c r="J57" s="38">
        <f t="shared" si="1"/>
        <v>0.03</v>
      </c>
      <c r="K57" s="39">
        <f t="shared" si="2"/>
        <v>9.4014531262309686E-2</v>
      </c>
      <c r="L57" s="31">
        <f t="shared" si="9"/>
        <v>0.12401453126230969</v>
      </c>
      <c r="M57" s="31">
        <f t="shared" si="10"/>
        <v>14.380208894339049</v>
      </c>
      <c r="N57" s="40">
        <f t="shared" si="11"/>
        <v>19.203663191324093</v>
      </c>
      <c r="O57" s="40">
        <f t="shared" si="12"/>
        <v>10.768279248838965</v>
      </c>
      <c r="P57" s="42">
        <f t="shared" si="13"/>
        <v>408.89531182782304</v>
      </c>
      <c r="Q57" s="41">
        <f t="shared" si="14"/>
        <v>11.292753594596725</v>
      </c>
      <c r="R57" s="20">
        <f t="shared" si="15"/>
        <v>44.28</v>
      </c>
      <c r="S57" s="20">
        <f t="shared" si="16"/>
        <v>124.79967004729961</v>
      </c>
      <c r="T57" s="20">
        <f t="shared" si="17"/>
        <v>47.800015215224235</v>
      </c>
      <c r="U57" s="41">
        <f t="shared" si="3"/>
        <v>-1.9205363256116879</v>
      </c>
      <c r="V57" s="40">
        <f t="shared" si="4"/>
        <v>-3.987567867695506</v>
      </c>
    </row>
    <row r="58" spans="1:22" x14ac:dyDescent="0.25">
      <c r="A58" s="22">
        <v>49</v>
      </c>
      <c r="B58" s="22" cm="1">
        <f t="array" ref="B58">KCASConv($K$4,A58,2)</f>
        <v>48.986064910888672</v>
      </c>
      <c r="C58" s="33" cm="1">
        <f t="array" ref="C58">KCASConv($K$4,A58,1)</f>
        <v>54.806827545166016</v>
      </c>
      <c r="D58" s="33">
        <f t="shared" si="5"/>
        <v>28.192812523233549</v>
      </c>
      <c r="E58" s="33">
        <f t="shared" si="6"/>
        <v>101.49412508364078</v>
      </c>
      <c r="F58" s="32" cm="1">
        <f t="array" ref="F58">KCASConv($K$4,A58,0)</f>
        <v>8.6002372205257416E-2</v>
      </c>
      <c r="G58" s="32">
        <f t="shared" si="7"/>
        <v>361.29371209593796</v>
      </c>
      <c r="H58" s="32">
        <f t="shared" si="8"/>
        <v>1.7113404116047051</v>
      </c>
      <c r="I58" s="32">
        <f t="shared" si="0"/>
        <v>16.260194737955739</v>
      </c>
      <c r="J58" s="38">
        <f t="shared" si="1"/>
        <v>0.03</v>
      </c>
      <c r="K58" s="39">
        <f t="shared" si="2"/>
        <v>8.5657038158624604E-2</v>
      </c>
      <c r="L58" s="31">
        <f t="shared" si="9"/>
        <v>0.1156570381586246</v>
      </c>
      <c r="M58" s="31">
        <f t="shared" si="10"/>
        <v>14.796681973280236</v>
      </c>
      <c r="N58" s="40">
        <f t="shared" si="11"/>
        <v>19.356754524234489</v>
      </c>
      <c r="O58" s="40">
        <f t="shared" si="12"/>
        <v>11.310873273940787</v>
      </c>
      <c r="P58" s="42">
        <f t="shared" si="13"/>
        <v>397.38638774679828</v>
      </c>
      <c r="Q58" s="41">
        <f t="shared" si="14"/>
        <v>11.203439929030477</v>
      </c>
      <c r="R58" s="20">
        <f t="shared" si="15"/>
        <v>44.28</v>
      </c>
      <c r="S58" s="20">
        <f t="shared" si="16"/>
        <v>128.41406141096778</v>
      </c>
      <c r="T58" s="20">
        <f t="shared" si="17"/>
        <v>47.421967953568156</v>
      </c>
      <c r="U58" s="41">
        <f t="shared" si="3"/>
        <v>-1.9053469267058636</v>
      </c>
      <c r="V58" s="40">
        <f t="shared" si="4"/>
        <v>-3.8751583085809522</v>
      </c>
    </row>
    <row r="59" spans="1:22" x14ac:dyDescent="0.25">
      <c r="A59" s="22">
        <v>50</v>
      </c>
      <c r="B59" s="22" cm="1">
        <f t="array" ref="B59">KCASConv($K$4,A59,2)</f>
        <v>49.985195159912109</v>
      </c>
      <c r="C59" s="33" cm="1">
        <f t="array" ref="C59">KCASConv($K$4,A59,1)</f>
        <v>55.924785614013672</v>
      </c>
      <c r="D59" s="33">
        <f t="shared" si="5"/>
        <v>28.767893834369172</v>
      </c>
      <c r="E59" s="33">
        <f t="shared" si="6"/>
        <v>103.56441780372901</v>
      </c>
      <c r="F59" s="32" cm="1">
        <f t="array" ref="F59">KCASConv($K$4,A59,0)</f>
        <v>8.775666356086731E-2</v>
      </c>
      <c r="G59" s="32">
        <f t="shared" si="7"/>
        <v>376.1834899003486</v>
      </c>
      <c r="H59" s="32">
        <f t="shared" si="8"/>
        <v>1.6436035779567084</v>
      </c>
      <c r="I59" s="32">
        <f t="shared" si="0"/>
        <v>15.53142834119177</v>
      </c>
      <c r="J59" s="38">
        <f t="shared" si="1"/>
        <v>0.03</v>
      </c>
      <c r="K59" s="39">
        <f t="shared" si="2"/>
        <v>7.8150968193111084E-2</v>
      </c>
      <c r="L59" s="31">
        <f t="shared" si="9"/>
        <v>0.10815096819311108</v>
      </c>
      <c r="M59" s="31">
        <f t="shared" si="10"/>
        <v>15.19730803539308</v>
      </c>
      <c r="N59" s="40">
        <f t="shared" si="11"/>
        <v>19.483420569112667</v>
      </c>
      <c r="O59" s="40">
        <f t="shared" si="12"/>
        <v>11.854087463921211</v>
      </c>
      <c r="P59" s="42">
        <f t="shared" si="13"/>
        <v>386.91062827087808</v>
      </c>
      <c r="Q59" s="41">
        <f t="shared" si="14"/>
        <v>11.130603877485695</v>
      </c>
      <c r="R59" s="20">
        <f t="shared" si="15"/>
        <v>44.28</v>
      </c>
      <c r="S59" s="20">
        <f t="shared" si="16"/>
        <v>131.89092330716136</v>
      </c>
      <c r="T59" s="20">
        <f t="shared" si="17"/>
        <v>47.11366720628866</v>
      </c>
      <c r="U59" s="41">
        <f t="shared" si="3"/>
        <v>-1.892959843109812</v>
      </c>
      <c r="V59" s="40">
        <f t="shared" si="4"/>
        <v>-3.7728528355458066</v>
      </c>
    </row>
    <row r="60" spans="1:22" x14ac:dyDescent="0.25">
      <c r="A60" s="22">
        <v>51</v>
      </c>
      <c r="B60" s="22" cm="1">
        <f t="array" ref="B60">KCASConv($K$4,A60,2)</f>
        <v>50.984291076660156</v>
      </c>
      <c r="C60" s="33" cm="1">
        <f t="array" ref="C60">KCASConv($K$4,A60,1)</f>
        <v>57.042713165283203</v>
      </c>
      <c r="D60" s="33">
        <f t="shared" si="5"/>
        <v>29.342959447162141</v>
      </c>
      <c r="E60" s="33">
        <f t="shared" si="6"/>
        <v>105.6346540097837</v>
      </c>
      <c r="F60" s="32" cm="1">
        <f t="array" ref="F60">KCASConv($K$4,A60,0)</f>
        <v>8.9510902762413025E-2</v>
      </c>
      <c r="G60" s="32">
        <f t="shared" si="7"/>
        <v>391.37350647935142</v>
      </c>
      <c r="H60" s="32">
        <f t="shared" si="8"/>
        <v>1.579811918109677</v>
      </c>
      <c r="I60" s="32">
        <f t="shared" si="0"/>
        <v>14.845107242512999</v>
      </c>
      <c r="J60" s="38">
        <f t="shared" si="1"/>
        <v>0.03</v>
      </c>
      <c r="K60" s="39">
        <f t="shared" si="2"/>
        <v>7.1396717753569053E-2</v>
      </c>
      <c r="L60" s="31">
        <f t="shared" si="9"/>
        <v>0.10139671775356905</v>
      </c>
      <c r="M60" s="31">
        <f t="shared" si="10"/>
        <v>15.58050352230528</v>
      </c>
      <c r="N60" s="40">
        <f t="shared" si="11"/>
        <v>19.583223558484125</v>
      </c>
      <c r="O60" s="40">
        <f t="shared" si="12"/>
        <v>12.395920890327513</v>
      </c>
      <c r="P60" s="42">
        <f t="shared" si="13"/>
        <v>377.39473513048563</v>
      </c>
      <c r="Q60" s="41">
        <f t="shared" si="14"/>
        <v>11.073878408506337</v>
      </c>
      <c r="R60" s="20">
        <f t="shared" si="15"/>
        <v>44.28</v>
      </c>
      <c r="S60" s="20">
        <f t="shared" si="16"/>
        <v>135.21651271143512</v>
      </c>
      <c r="T60" s="20">
        <f t="shared" si="17"/>
        <v>46.873559401085025</v>
      </c>
      <c r="U60" s="41">
        <f t="shared" si="3"/>
        <v>-1.8833126545078802</v>
      </c>
      <c r="V60" s="40">
        <f t="shared" si="4"/>
        <v>-3.6799317930587176</v>
      </c>
    </row>
    <row r="61" spans="1:22" x14ac:dyDescent="0.25">
      <c r="A61" s="22">
        <v>52</v>
      </c>
      <c r="B61" s="22" cm="1">
        <f t="array" ref="B61">KCASConv($K$4,A61,2)</f>
        <v>51.983352661132813</v>
      </c>
      <c r="C61" s="33" cm="1">
        <f t="array" ref="C61">KCASConv($K$4,A61,1)</f>
        <v>58.160606384277344</v>
      </c>
      <c r="D61" s="33">
        <f t="shared" si="5"/>
        <v>29.91800739931962</v>
      </c>
      <c r="E61" s="33">
        <f t="shared" si="6"/>
        <v>107.70482663755064</v>
      </c>
      <c r="F61" s="32" cm="1">
        <f t="array" ref="F61">KCASConv($K$4,A61,0)</f>
        <v>9.1265089809894562E-2</v>
      </c>
      <c r="G61" s="32">
        <f t="shared" si="7"/>
        <v>406.86368384034233</v>
      </c>
      <c r="H61" s="32">
        <f t="shared" si="8"/>
        <v>1.5196650734035051</v>
      </c>
      <c r="I61" s="32">
        <f t="shared" ref="I61:I92" si="18">(H61-$E$9)/$E$10*180/PI()</f>
        <v>14.197999946045277</v>
      </c>
      <c r="J61" s="38">
        <f t="shared" ref="J61:J92" si="19">$E$12</f>
        <v>0.03</v>
      </c>
      <c r="K61" s="39">
        <f t="shared" ref="K61:K92" si="20">$E$23*(H61-$E$11)^2</f>
        <v>6.5307928496985454E-2</v>
      </c>
      <c r="L61" s="31">
        <f t="shared" si="9"/>
        <v>9.5307928496985453E-2</v>
      </c>
      <c r="M61" s="31">
        <f t="shared" si="10"/>
        <v>15.944791764638673</v>
      </c>
      <c r="N61" s="40">
        <f t="shared" si="11"/>
        <v>19.655893614586681</v>
      </c>
      <c r="O61" s="40">
        <f t="shared" si="12"/>
        <v>12.93435899698907</v>
      </c>
      <c r="P61" s="42">
        <f t="shared" si="13"/>
        <v>368.77245477989146</v>
      </c>
      <c r="Q61" s="41">
        <f t="shared" si="14"/>
        <v>11.032937030770052</v>
      </c>
      <c r="R61" s="20">
        <f t="shared" si="15"/>
        <v>44.28</v>
      </c>
      <c r="S61" s="20">
        <f t="shared" si="16"/>
        <v>138.37801424311422</v>
      </c>
      <c r="T61" s="20">
        <f t="shared" si="17"/>
        <v>46.700262564106026</v>
      </c>
      <c r="U61" s="41">
        <f t="shared" ref="U61:U92" si="21">-1000*Q61/$E$4</f>
        <v>-1.8763498351649748</v>
      </c>
      <c r="V61" s="40">
        <f t="shared" ref="V61:V92" si="22">ASIN(U61/D61)*180/PI()</f>
        <v>-3.5957450996045153</v>
      </c>
    </row>
    <row r="62" spans="1:22" x14ac:dyDescent="0.25">
      <c r="A62" s="22">
        <v>53</v>
      </c>
      <c r="B62" s="22" cm="1">
        <f t="array" ref="B62">KCASConv($K$4,A62,2)</f>
        <v>52.982372283935547</v>
      </c>
      <c r="C62" s="33" cm="1">
        <f t="array" ref="C62">KCASConv($K$4,A62,1)</f>
        <v>59.278465270996094</v>
      </c>
      <c r="D62" s="33">
        <f t="shared" si="5"/>
        <v>30.493037690841614</v>
      </c>
      <c r="E62" s="33">
        <f t="shared" si="6"/>
        <v>109.77493568702981</v>
      </c>
      <c r="F62" s="32" cm="1">
        <f t="array" ref="F62">KCASConv($K$4,A62,0)</f>
        <v>9.301922470331192E-2</v>
      </c>
      <c r="G62" s="32">
        <f t="shared" si="7"/>
        <v>422.65399428552388</v>
      </c>
      <c r="H62" s="32">
        <f t="shared" si="8"/>
        <v>1.4628905400826853</v>
      </c>
      <c r="I62" s="32">
        <f t="shared" si="18"/>
        <v>13.58717464099511</v>
      </c>
      <c r="J62" s="38">
        <f t="shared" si="19"/>
        <v>0.03</v>
      </c>
      <c r="K62" s="39">
        <f t="shared" si="20"/>
        <v>5.9809460283319349E-2</v>
      </c>
      <c r="L62" s="31">
        <f t="shared" si="9"/>
        <v>8.9809460283319348E-2</v>
      </c>
      <c r="M62" s="31">
        <f t="shared" si="10"/>
        <v>16.28882453438364</v>
      </c>
      <c r="N62" s="40">
        <f t="shared" si="11"/>
        <v>19.701335227667201</v>
      </c>
      <c r="O62" s="40">
        <f t="shared" si="12"/>
        <v>13.467402165683323</v>
      </c>
      <c r="P62" s="42">
        <f t="shared" si="13"/>
        <v>360.98369084816812</v>
      </c>
      <c r="Q62" s="41">
        <f t="shared" si="14"/>
        <v>11.007489290812307</v>
      </c>
      <c r="R62" s="20">
        <f t="shared" si="15"/>
        <v>44.28</v>
      </c>
      <c r="S62" s="20">
        <f t="shared" si="16"/>
        <v>141.36372720911515</v>
      </c>
      <c r="T62" s="20">
        <f t="shared" si="17"/>
        <v>46.5925472626976</v>
      </c>
      <c r="U62" s="41">
        <f t="shared" si="21"/>
        <v>-1.8720219882333857</v>
      </c>
      <c r="V62" s="40">
        <f t="shared" si="22"/>
        <v>-3.5197034263141371</v>
      </c>
    </row>
    <row r="63" spans="1:22" x14ac:dyDescent="0.25">
      <c r="A63" s="22">
        <v>54</v>
      </c>
      <c r="B63" s="22" cm="1">
        <f t="array" ref="B63">KCASConv($K$4,A63,2)</f>
        <v>53.981357574462891</v>
      </c>
      <c r="C63" s="33" cm="1">
        <f t="array" ref="C63">KCASConv($K$4,A63,1)</f>
        <v>60.396286010742188</v>
      </c>
      <c r="D63" s="33">
        <f t="shared" si="5"/>
        <v>31.068048359435281</v>
      </c>
      <c r="E63" s="33">
        <f t="shared" si="6"/>
        <v>111.84497409396701</v>
      </c>
      <c r="F63" s="32" cm="1">
        <f t="array" ref="F63">KCASConv($K$4,A63,0)</f>
        <v>9.4773299992084503E-2</v>
      </c>
      <c r="G63" s="32">
        <f t="shared" si="7"/>
        <v>438.74435469477481</v>
      </c>
      <c r="H63" s="32">
        <f t="shared" si="8"/>
        <v>1.4092409927384482</v>
      </c>
      <c r="I63" s="32">
        <f t="shared" si="18"/>
        <v>13.009970405124632</v>
      </c>
      <c r="J63" s="38">
        <f t="shared" si="19"/>
        <v>0.03</v>
      </c>
      <c r="K63" s="39">
        <f t="shared" si="20"/>
        <v>5.4835800215418389E-2</v>
      </c>
      <c r="L63" s="31">
        <f t="shared" si="9"/>
        <v>8.4835800215418394E-2</v>
      </c>
      <c r="M63" s="31">
        <f t="shared" si="10"/>
        <v>16.611395061519406</v>
      </c>
      <c r="N63" s="40">
        <f t="shared" si="11"/>
        <v>19.719629038613959</v>
      </c>
      <c r="O63" s="40">
        <f t="shared" si="12"/>
        <v>13.993085029619115</v>
      </c>
      <c r="P63" s="42">
        <f t="shared" si="13"/>
        <v>353.97388227922681</v>
      </c>
      <c r="Q63" s="41">
        <f t="shared" si="14"/>
        <v>10.997277692628069</v>
      </c>
      <c r="R63" s="20">
        <f t="shared" si="15"/>
        <v>44.28</v>
      </c>
      <c r="S63" s="20">
        <f t="shared" si="16"/>
        <v>144.16317856961487</v>
      </c>
      <c r="T63" s="20">
        <f t="shared" si="17"/>
        <v>46.549323566679654</v>
      </c>
      <c r="U63" s="41">
        <f t="shared" si="21"/>
        <v>-1.870285321875522</v>
      </c>
      <c r="V63" s="40">
        <f t="shared" si="22"/>
        <v>-3.4512720020166983</v>
      </c>
    </row>
    <row r="64" spans="1:22" x14ac:dyDescent="0.25">
      <c r="A64" s="22">
        <v>55</v>
      </c>
      <c r="B64" s="22" cm="1">
        <f t="array" ref="B64">KCASConv($K$4,A64,2)</f>
        <v>54.980304718017578</v>
      </c>
      <c r="C64" s="33" cm="1">
        <f t="array" ref="C64">KCASConv($K$4,A64,1)</f>
        <v>61.514068603515625</v>
      </c>
      <c r="D64" s="33">
        <f t="shared" si="5"/>
        <v>31.64303940510063</v>
      </c>
      <c r="E64" s="33">
        <f t="shared" si="6"/>
        <v>113.91494185836227</v>
      </c>
      <c r="F64" s="32" cm="1">
        <f t="array" ref="F64">KCASConv($K$4,A64,0)</f>
        <v>9.6527315676212311E-2</v>
      </c>
      <c r="G64" s="32">
        <f t="shared" si="7"/>
        <v>455.13473429476016</v>
      </c>
      <c r="H64" s="32">
        <f t="shared" si="8"/>
        <v>1.3584911969562514</v>
      </c>
      <c r="I64" s="32">
        <f t="shared" si="18"/>
        <v>12.463963988572967</v>
      </c>
      <c r="J64" s="38">
        <f t="shared" si="19"/>
        <v>0.03</v>
      </c>
      <c r="K64" s="39">
        <f t="shared" si="20"/>
        <v>5.0329653366438354E-2</v>
      </c>
      <c r="L64" s="31">
        <f t="shared" si="9"/>
        <v>8.0329653366438353E-2</v>
      </c>
      <c r="M64" s="31">
        <f t="shared" si="10"/>
        <v>16.91145349226451</v>
      </c>
      <c r="N64" s="40">
        <f t="shared" si="11"/>
        <v>19.711031403896097</v>
      </c>
      <c r="O64" s="40">
        <f t="shared" si="12"/>
        <v>14.50950248927588</v>
      </c>
      <c r="P64" s="42">
        <f t="shared" si="13"/>
        <v>347.69335484318827</v>
      </c>
      <c r="Q64" s="41">
        <f t="shared" si="14"/>
        <v>11.002074528194642</v>
      </c>
      <c r="R64" s="20">
        <f t="shared" si="15"/>
        <v>44.28</v>
      </c>
      <c r="S64" s="20">
        <f t="shared" si="16"/>
        <v>146.76725709358129</v>
      </c>
      <c r="T64" s="20">
        <f t="shared" si="17"/>
        <v>46.569627632569919</v>
      </c>
      <c r="U64" s="41">
        <f t="shared" si="21"/>
        <v>-1.871101110237184</v>
      </c>
      <c r="V64" s="40">
        <f t="shared" si="22"/>
        <v>-3.3899641833959597</v>
      </c>
    </row>
    <row r="65" spans="1:22" x14ac:dyDescent="0.25">
      <c r="A65" s="22">
        <v>56</v>
      </c>
      <c r="B65" s="22" cm="1">
        <f t="array" ref="B65">KCASConv($K$4,A65,2)</f>
        <v>55.979213714599609</v>
      </c>
      <c r="C65" s="33" cm="1">
        <f t="array" ref="C65">KCASConv($K$4,A65,1)</f>
        <v>62.631824493408203</v>
      </c>
      <c r="D65" s="33">
        <f t="shared" si="5"/>
        <v>32.218016714716157</v>
      </c>
      <c r="E65" s="33">
        <f t="shared" si="6"/>
        <v>115.98486017297817</v>
      </c>
      <c r="F65" s="32" cm="1">
        <f t="array" ref="F65">KCASConv($K$4,A65,0)</f>
        <v>9.8281286656856537E-2</v>
      </c>
      <c r="G65" s="32">
        <f t="shared" si="7"/>
        <v>471.82527473708035</v>
      </c>
      <c r="H65" s="32">
        <f t="shared" si="8"/>
        <v>1.3104353731643423</v>
      </c>
      <c r="I65" s="32">
        <f t="shared" si="18"/>
        <v>11.946941452055425</v>
      </c>
      <c r="J65" s="38">
        <f t="shared" si="19"/>
        <v>0.03</v>
      </c>
      <c r="K65" s="39">
        <f t="shared" si="20"/>
        <v>4.6240768042287168E-2</v>
      </c>
      <c r="L65" s="31">
        <f t="shared" si="9"/>
        <v>7.624076804228716E-2</v>
      </c>
      <c r="M65" s="31">
        <f t="shared" si="10"/>
        <v>17.188118729831075</v>
      </c>
      <c r="N65" s="40">
        <f t="shared" si="11"/>
        <v>19.675969868884781</v>
      </c>
      <c r="O65" s="40">
        <f t="shared" si="12"/>
        <v>15.014834208399536</v>
      </c>
      <c r="P65" s="42">
        <f t="shared" si="13"/>
        <v>342.0967758265997</v>
      </c>
      <c r="Q65" s="41">
        <f t="shared" si="14"/>
        <v>11.021679641631895</v>
      </c>
      <c r="R65" s="20">
        <f t="shared" si="15"/>
        <v>44.28</v>
      </c>
      <c r="S65" s="20">
        <f t="shared" si="16"/>
        <v>149.16831611960541</v>
      </c>
      <c r="T65" s="20">
        <f t="shared" si="17"/>
        <v>46.652612239711722</v>
      </c>
      <c r="U65" s="41">
        <f t="shared" si="21"/>
        <v>-1.8744353132027034</v>
      </c>
      <c r="V65" s="40">
        <f t="shared" si="22"/>
        <v>-3.3353360524049367</v>
      </c>
    </row>
    <row r="66" spans="1:22" x14ac:dyDescent="0.25">
      <c r="A66" s="22">
        <v>57</v>
      </c>
      <c r="B66" s="22" cm="1">
        <f t="array" ref="B66">KCASConv($K$4,A66,2)</f>
        <v>56.978084564208984</v>
      </c>
      <c r="C66" s="33" cm="1">
        <f t="array" ref="C66">KCASConv($K$4,A66,1)</f>
        <v>63.749538421630859</v>
      </c>
      <c r="D66" s="33">
        <f t="shared" si="5"/>
        <v>32.792972439110528</v>
      </c>
      <c r="E66" s="33">
        <f t="shared" si="6"/>
        <v>118.0547007807979</v>
      </c>
      <c r="F66" s="32" cm="1">
        <f t="array" ref="F66">KCASConv($K$4,A66,0)</f>
        <v>0.10003519058227539</v>
      </c>
      <c r="G66" s="32">
        <f t="shared" si="7"/>
        <v>488.8157204803681</v>
      </c>
      <c r="H66" s="32">
        <f t="shared" si="8"/>
        <v>1.2648867539710937</v>
      </c>
      <c r="I66" s="32">
        <f t="shared" si="18"/>
        <v>11.456893404348669</v>
      </c>
      <c r="J66" s="38">
        <f t="shared" si="19"/>
        <v>0.03</v>
      </c>
      <c r="K66" s="39">
        <f t="shared" si="20"/>
        <v>4.2525097011270885E-2</v>
      </c>
      <c r="L66" s="31">
        <f t="shared" si="9"/>
        <v>7.2525097011270884E-2</v>
      </c>
      <c r="M66" s="31">
        <f t="shared" si="10"/>
        <v>17.440676484369568</v>
      </c>
      <c r="N66" s="40">
        <f t="shared" si="11"/>
        <v>19.615037761230067</v>
      </c>
      <c r="O66" s="40">
        <f t="shared" si="12"/>
        <v>15.507346961812148</v>
      </c>
      <c r="P66" s="42">
        <f t="shared" si="13"/>
        <v>337.14288578597791</v>
      </c>
      <c r="Q66" s="41">
        <f t="shared" si="14"/>
        <v>11.055917361621763</v>
      </c>
      <c r="R66" s="20">
        <f t="shared" si="15"/>
        <v>44.28</v>
      </c>
      <c r="S66" s="20">
        <f t="shared" si="16"/>
        <v>151.36015663220732</v>
      </c>
      <c r="T66" s="20">
        <f t="shared" si="17"/>
        <v>46.797533805806403</v>
      </c>
      <c r="U66" s="41">
        <f t="shared" si="21"/>
        <v>-1.8802580546975787</v>
      </c>
      <c r="V66" s="40">
        <f t="shared" si="22"/>
        <v>-3.2869837337184951</v>
      </c>
    </row>
    <row r="67" spans="1:22" x14ac:dyDescent="0.25">
      <c r="A67" s="22">
        <v>58</v>
      </c>
      <c r="B67" s="22" cm="1">
        <f t="array" ref="B67">KCASConv($K$4,A67,2)</f>
        <v>57.976913452148438</v>
      </c>
      <c r="C67" s="33" cm="1">
        <f t="array" ref="C67">KCASConv($K$4,A67,1)</f>
        <v>64.867210388183594</v>
      </c>
      <c r="D67" s="33">
        <f t="shared" si="5"/>
        <v>33.367906578283744</v>
      </c>
      <c r="E67" s="33">
        <f t="shared" si="6"/>
        <v>120.12446368182148</v>
      </c>
      <c r="F67" s="32" cm="1">
        <f t="array" ref="F67">KCASConv($K$4,A67,0)</f>
        <v>0.10178903490304947</v>
      </c>
      <c r="G67" s="32">
        <f t="shared" si="7"/>
        <v>506.10603767718936</v>
      </c>
      <c r="H67" s="32">
        <f t="shared" si="8"/>
        <v>1.2216738863779837</v>
      </c>
      <c r="I67" s="32">
        <f t="shared" si="18"/>
        <v>10.991975218575147</v>
      </c>
      <c r="J67" s="38">
        <f t="shared" si="19"/>
        <v>0.03</v>
      </c>
      <c r="K67" s="39">
        <f t="shared" si="20"/>
        <v>3.9143805914587736E-2</v>
      </c>
      <c r="L67" s="31">
        <f t="shared" si="9"/>
        <v>6.9143805914587742E-2</v>
      </c>
      <c r="M67" s="31">
        <f t="shared" si="10"/>
        <v>17.668594752899462</v>
      </c>
      <c r="N67" s="40">
        <f t="shared" si="11"/>
        <v>19.528984255196178</v>
      </c>
      <c r="O67" s="40">
        <f t="shared" si="12"/>
        <v>15.985431523870638</v>
      </c>
      <c r="P67" s="42">
        <f t="shared" si="13"/>
        <v>332.79386856926334</v>
      </c>
      <c r="Q67" s="41">
        <f t="shared" si="14"/>
        <v>11.104634716244819</v>
      </c>
      <c r="R67" s="20">
        <f t="shared" si="15"/>
        <v>44.28</v>
      </c>
      <c r="S67" s="20">
        <f t="shared" si="16"/>
        <v>153.33816160552036</v>
      </c>
      <c r="T67" s="20">
        <f t="shared" si="17"/>
        <v>47.003744830665894</v>
      </c>
      <c r="U67" s="41">
        <f t="shared" si="21"/>
        <v>-1.8885433190892549</v>
      </c>
      <c r="V67" s="40">
        <f t="shared" si="22"/>
        <v>-3.2445371937834877</v>
      </c>
    </row>
    <row r="68" spans="1:22" x14ac:dyDescent="0.25">
      <c r="A68" s="22">
        <v>59</v>
      </c>
      <c r="B68" s="22" cm="1">
        <f t="array" ref="B68">KCASConv($K$4,A68,2)</f>
        <v>58.975700378417969</v>
      </c>
      <c r="C68" s="33" cm="1">
        <f t="array" ref="C68">KCASConv($K$4,A68,1)</f>
        <v>65.984855651855469</v>
      </c>
      <c r="D68" s="33">
        <f t="shared" si="5"/>
        <v>33.942826981407137</v>
      </c>
      <c r="E68" s="33">
        <f t="shared" si="6"/>
        <v>122.19417713306569</v>
      </c>
      <c r="F68" s="32" cm="1">
        <f t="array" ref="F68">KCASConv($K$4,A68,0)</f>
        <v>0.10354282706975937</v>
      </c>
      <c r="G68" s="32">
        <f t="shared" si="7"/>
        <v>523.69643468763945</v>
      </c>
      <c r="H68" s="32">
        <f t="shared" si="8"/>
        <v>1.1806391814319672</v>
      </c>
      <c r="I68" s="32">
        <f t="shared" si="18"/>
        <v>10.550491428216938</v>
      </c>
      <c r="J68" s="38">
        <f t="shared" si="19"/>
        <v>0.03</v>
      </c>
      <c r="K68" s="39">
        <f t="shared" si="20"/>
        <v>3.6062592641949165E-2</v>
      </c>
      <c r="L68" s="31">
        <f t="shared" si="9"/>
        <v>6.6062592641949164E-2</v>
      </c>
      <c r="M68" s="31">
        <f t="shared" si="10"/>
        <v>17.871523569032192</v>
      </c>
      <c r="N68" s="40">
        <f t="shared" si="11"/>
        <v>19.418700974680046</v>
      </c>
      <c r="O68" s="40">
        <f t="shared" si="12"/>
        <v>16.447616918089739</v>
      </c>
      <c r="P68" s="42">
        <f t="shared" si="13"/>
        <v>329.01503765402936</v>
      </c>
      <c r="Q68" s="41">
        <f t="shared" si="14"/>
        <v>11.167700497371872</v>
      </c>
      <c r="R68" s="20">
        <f t="shared" si="15"/>
        <v>44.28</v>
      </c>
      <c r="S68" s="20">
        <f t="shared" si="16"/>
        <v>155.09929383124367</v>
      </c>
      <c r="T68" s="20">
        <f t="shared" si="17"/>
        <v>47.270689935965599</v>
      </c>
      <c r="U68" s="41">
        <f t="shared" si="21"/>
        <v>-1.8992687920700464</v>
      </c>
      <c r="V68" s="40">
        <f t="shared" si="22"/>
        <v>-3.2076571375808447</v>
      </c>
    </row>
    <row r="69" spans="1:22" x14ac:dyDescent="0.25">
      <c r="A69" s="22">
        <v>60</v>
      </c>
      <c r="B69" s="22" cm="1">
        <f t="array" ref="B69">KCASConv($K$4,A69,2)</f>
        <v>59.974445343017578</v>
      </c>
      <c r="C69" s="33" cm="1">
        <f t="array" ref="C69">KCASConv($K$4,A69,1)</f>
        <v>67.102447509765625</v>
      </c>
      <c r="D69" s="33">
        <f t="shared" si="5"/>
        <v>34.517719912430877</v>
      </c>
      <c r="E69" s="33">
        <f t="shared" si="6"/>
        <v>124.26379168475115</v>
      </c>
      <c r="F69" s="32" cm="1">
        <f t="array" ref="F69">KCASConv($K$4,A69,0)</f>
        <v>0.1052965521812439</v>
      </c>
      <c r="G69" s="32">
        <f t="shared" si="7"/>
        <v>541.58645893370328</v>
      </c>
      <c r="H69" s="32">
        <f t="shared" si="8"/>
        <v>1.1416395660736807</v>
      </c>
      <c r="I69" s="32">
        <f t="shared" si="18"/>
        <v>10.130902740213951</v>
      </c>
      <c r="J69" s="38">
        <f t="shared" si="19"/>
        <v>0.03</v>
      </c>
      <c r="K69" s="39">
        <f t="shared" si="20"/>
        <v>3.3251241122249781E-2</v>
      </c>
      <c r="L69" s="31">
        <f t="shared" si="9"/>
        <v>6.3251241122249779E-2</v>
      </c>
      <c r="M69" s="31">
        <f t="shared" si="10"/>
        <v>18.049283236468984</v>
      </c>
      <c r="N69" s="40">
        <f t="shared" si="11"/>
        <v>19.285214160123868</v>
      </c>
      <c r="O69" s="40">
        <f t="shared" si="12"/>
        <v>16.892559379708125</v>
      </c>
      <c r="P69" s="42">
        <f t="shared" si="13"/>
        <v>325.77470933135601</v>
      </c>
      <c r="Q69" s="41">
        <f t="shared" si="14"/>
        <v>11.245000171253329</v>
      </c>
      <c r="R69" s="20">
        <f t="shared" si="15"/>
        <v>44.28</v>
      </c>
      <c r="S69" s="20">
        <f t="shared" si="16"/>
        <v>156.64199380221299</v>
      </c>
      <c r="T69" s="20">
        <f t="shared" si="17"/>
        <v>47.597884322765402</v>
      </c>
      <c r="U69" s="41">
        <f t="shared" si="21"/>
        <v>-1.9124149951111102</v>
      </c>
      <c r="V69" s="40">
        <f t="shared" si="22"/>
        <v>-3.1760337367119904</v>
      </c>
    </row>
    <row r="70" spans="1:22" x14ac:dyDescent="0.25">
      <c r="A70" s="22">
        <v>61</v>
      </c>
      <c r="B70" s="22" cm="1">
        <f t="array" ref="B70">KCASConv($K$4,A70,2)</f>
        <v>60.973148345947266</v>
      </c>
      <c r="C70" s="33" cm="1">
        <f t="array" ref="C70">KCASConv($K$4,A70,1)</f>
        <v>68.220008850097656</v>
      </c>
      <c r="D70" s="33">
        <f t="shared" si="5"/>
        <v>35.092597145111966</v>
      </c>
      <c r="E70" s="33">
        <f t="shared" si="6"/>
        <v>126.33334972240309</v>
      </c>
      <c r="F70" s="32" cm="1">
        <f t="array" ref="F70">KCASConv($K$4,A70,0)</f>
        <v>0.10705021023750305</v>
      </c>
      <c r="G70" s="32">
        <f t="shared" si="7"/>
        <v>559.77644295754567</v>
      </c>
      <c r="H70" s="32">
        <f t="shared" si="8"/>
        <v>1.1045418894402224</v>
      </c>
      <c r="I70" s="32">
        <f t="shared" si="18"/>
        <v>9.7317766123383258</v>
      </c>
      <c r="J70" s="38">
        <f t="shared" si="19"/>
        <v>0.03</v>
      </c>
      <c r="K70" s="39">
        <f t="shared" si="20"/>
        <v>3.0682859470110943E-2</v>
      </c>
      <c r="L70" s="31">
        <f t="shared" si="9"/>
        <v>6.0682859470110942E-2</v>
      </c>
      <c r="M70" s="31">
        <f t="shared" si="10"/>
        <v>18.201876099531191</v>
      </c>
      <c r="N70" s="40">
        <f t="shared" si="11"/>
        <v>19.129659916915745</v>
      </c>
      <c r="O70" s="40">
        <f t="shared" si="12"/>
        <v>17.319089569894526</v>
      </c>
      <c r="P70" s="42">
        <f t="shared" si="13"/>
        <v>323.04362296760422</v>
      </c>
      <c r="Q70" s="41">
        <f t="shared" si="14"/>
        <v>11.336439721099573</v>
      </c>
      <c r="R70" s="20">
        <f t="shared" si="15"/>
        <v>44.28</v>
      </c>
      <c r="S70" s="20">
        <f t="shared" si="16"/>
        <v>157.96628186378854</v>
      </c>
      <c r="T70" s="20">
        <f t="shared" si="17"/>
        <v>47.984930036400314</v>
      </c>
      <c r="U70" s="41">
        <f t="shared" si="21"/>
        <v>-1.9279659389625126</v>
      </c>
      <c r="V70" s="40">
        <f t="shared" si="22"/>
        <v>-3.1493809435826776</v>
      </c>
    </row>
    <row r="71" spans="1:22" x14ac:dyDescent="0.25">
      <c r="A71" s="22">
        <v>62</v>
      </c>
      <c r="B71" s="22" cm="1">
        <f t="array" ref="B71">KCASConv($K$4,A71,2)</f>
        <v>61.971809387207031</v>
      </c>
      <c r="C71" s="33" cm="1">
        <f t="array" ref="C71">KCASConv($K$4,A71,1)</f>
        <v>69.337532043457031</v>
      </c>
      <c r="D71" s="33">
        <f t="shared" si="5"/>
        <v>35.667454754864728</v>
      </c>
      <c r="E71" s="33">
        <f t="shared" si="6"/>
        <v>128.40283711751303</v>
      </c>
      <c r="F71" s="32" cm="1">
        <f t="array" ref="F71">KCASConv($K$4,A71,0)</f>
        <v>0.10880381613969803</v>
      </c>
      <c r="G71" s="32">
        <f t="shared" si="7"/>
        <v>578.26623488983637</v>
      </c>
      <c r="H71" s="32">
        <f t="shared" si="8"/>
        <v>1.0692246800234566</v>
      </c>
      <c r="I71" s="32">
        <f t="shared" si="18"/>
        <v>9.3518061580923248</v>
      </c>
      <c r="J71" s="38">
        <f t="shared" si="19"/>
        <v>0.03</v>
      </c>
      <c r="K71" s="39">
        <f t="shared" si="20"/>
        <v>2.8333652346253922E-2</v>
      </c>
      <c r="L71" s="31">
        <f t="shared" si="9"/>
        <v>5.8333652346253921E-2</v>
      </c>
      <c r="M71" s="31">
        <f t="shared" si="10"/>
        <v>18.32946570320691</v>
      </c>
      <c r="N71" s="40">
        <f t="shared" si="11"/>
        <v>18.953276264349228</v>
      </c>
      <c r="O71" s="40">
        <f t="shared" si="12"/>
        <v>17.726186664465537</v>
      </c>
      <c r="P71" s="42">
        <f t="shared" si="13"/>
        <v>320.79494815668517</v>
      </c>
      <c r="Q71" s="41">
        <f t="shared" si="14"/>
        <v>11.441939298967743</v>
      </c>
      <c r="R71" s="20">
        <f t="shared" si="15"/>
        <v>44.28</v>
      </c>
      <c r="S71" s="20">
        <f t="shared" si="16"/>
        <v>159.07357735283139</v>
      </c>
      <c r="T71" s="20">
        <f t="shared" si="17"/>
        <v>48.431489096159773</v>
      </c>
      <c r="U71" s="41">
        <f t="shared" si="21"/>
        <v>-1.9459080440421332</v>
      </c>
      <c r="V71" s="40">
        <f t="shared" si="22"/>
        <v>-3.1274365385481619</v>
      </c>
    </row>
    <row r="72" spans="1:22" x14ac:dyDescent="0.25">
      <c r="A72" s="22">
        <v>63</v>
      </c>
      <c r="B72" s="22" cm="1">
        <f t="array" ref="B72">KCASConv($K$4,A72,2)</f>
        <v>62.970428466796875</v>
      </c>
      <c r="C72" s="33" cm="1">
        <f t="array" ref="C72">KCASConv($K$4,A72,1)</f>
        <v>70.455001831054688</v>
      </c>
      <c r="D72" s="33">
        <f t="shared" si="5"/>
        <v>36.242284892517844</v>
      </c>
      <c r="E72" s="33">
        <f t="shared" si="6"/>
        <v>130.47222561306424</v>
      </c>
      <c r="F72" s="32" cm="1">
        <f t="array" ref="F72">KCASConv($K$4,A72,0)</f>
        <v>0.11055734753608704</v>
      </c>
      <c r="G72" s="32">
        <f t="shared" si="7"/>
        <v>597.05554535084423</v>
      </c>
      <c r="H72" s="32">
        <f t="shared" si="8"/>
        <v>1.0355762286825898</v>
      </c>
      <c r="I72" s="32">
        <f t="shared" si="18"/>
        <v>8.989789522242436</v>
      </c>
      <c r="J72" s="38">
        <f t="shared" si="19"/>
        <v>0.03</v>
      </c>
      <c r="K72" s="39">
        <f t="shared" si="20"/>
        <v>2.6182470064568069E-2</v>
      </c>
      <c r="L72" s="31">
        <f t="shared" si="9"/>
        <v>5.6182470064568071E-2</v>
      </c>
      <c r="M72" s="31">
        <f t="shared" si="10"/>
        <v>18.432372722175565</v>
      </c>
      <c r="N72" s="40">
        <f t="shared" si="11"/>
        <v>18.757384465120289</v>
      </c>
      <c r="O72" s="40">
        <f t="shared" si="12"/>
        <v>18.112992501751926</v>
      </c>
      <c r="P72" s="42">
        <f t="shared" si="13"/>
        <v>319.0039659368382</v>
      </c>
      <c r="Q72" s="41">
        <f t="shared" si="14"/>
        <v>11.561432615325948</v>
      </c>
      <c r="R72" s="20">
        <f t="shared" si="15"/>
        <v>44.28</v>
      </c>
      <c r="S72" s="20">
        <f t="shared" si="16"/>
        <v>159.96666326745225</v>
      </c>
      <c r="T72" s="20">
        <f t="shared" si="17"/>
        <v>48.93728091143258</v>
      </c>
      <c r="U72" s="41">
        <f t="shared" si="21"/>
        <v>-1.9662300366200591</v>
      </c>
      <c r="V72" s="40">
        <f t="shared" si="22"/>
        <v>-3.1099590002420139</v>
      </c>
    </row>
    <row r="73" spans="1:22" x14ac:dyDescent="0.25">
      <c r="A73" s="22">
        <v>64</v>
      </c>
      <c r="B73" s="22" cm="1">
        <f t="array" ref="B73">KCASConv($K$4,A73,2)</f>
        <v>63.969001770019531</v>
      </c>
      <c r="C73" s="33" cm="1">
        <f t="array" ref="C73">KCASConv($K$4,A73,1)</f>
        <v>71.572441101074219</v>
      </c>
      <c r="D73" s="33">
        <f t="shared" si="5"/>
        <v>36.817099331828302</v>
      </c>
      <c r="E73" s="33">
        <f t="shared" si="6"/>
        <v>132.54155759458189</v>
      </c>
      <c r="F73" s="32" cm="1">
        <f t="array" ref="F73">KCASConv($K$4,A73,0)</f>
        <v>0.11231081932783127</v>
      </c>
      <c r="G73" s="32">
        <f t="shared" si="7"/>
        <v>616.14472534576896</v>
      </c>
      <c r="H73" s="32">
        <f t="shared" si="8"/>
        <v>1.0034923688123401</v>
      </c>
      <c r="I73" s="32">
        <f t="shared" si="18"/>
        <v>8.644605998113926</v>
      </c>
      <c r="J73" s="38">
        <f t="shared" si="19"/>
        <v>0.03</v>
      </c>
      <c r="K73" s="39">
        <f t="shared" si="20"/>
        <v>2.421040062127985E-2</v>
      </c>
      <c r="L73" s="31">
        <f t="shared" si="9"/>
        <v>5.4210400621279853E-2</v>
      </c>
      <c r="M73" s="31">
        <f t="shared" si="10"/>
        <v>18.511067199500225</v>
      </c>
      <c r="N73" s="40">
        <f t="shared" si="11"/>
        <v>18.543362763955727</v>
      </c>
      <c r="O73" s="40">
        <f t="shared" si="12"/>
        <v>18.478827881772823</v>
      </c>
      <c r="P73" s="42">
        <f t="shared" si="13"/>
        <v>317.64781234000128</v>
      </c>
      <c r="Q73" s="41">
        <f t="shared" si="14"/>
        <v>11.694871059459784</v>
      </c>
      <c r="R73" s="20">
        <f t="shared" si="15"/>
        <v>44.28</v>
      </c>
      <c r="S73" s="20">
        <f t="shared" si="16"/>
        <v>160.6496189099484</v>
      </c>
      <c r="T73" s="20">
        <f t="shared" si="17"/>
        <v>49.502099722581086</v>
      </c>
      <c r="U73" s="41">
        <f t="shared" si="21"/>
        <v>-1.9889236495679903</v>
      </c>
      <c r="V73" s="40">
        <f t="shared" si="22"/>
        <v>-3.0967249877102359</v>
      </c>
    </row>
    <row r="74" spans="1:22" x14ac:dyDescent="0.25">
      <c r="A74" s="22">
        <v>65</v>
      </c>
      <c r="B74" s="22" cm="1">
        <f t="array" ref="B74">KCASConv($K$4,A74,2)</f>
        <v>64.967529296875</v>
      </c>
      <c r="C74" s="33" cm="1">
        <f t="array" ref="C74">KCASConv($K$4,A74,1)</f>
        <v>72.689842224121094</v>
      </c>
      <c r="D74" s="33">
        <f t="shared" si="5"/>
        <v>37.39189414821044</v>
      </c>
      <c r="E74" s="33">
        <f t="shared" si="6"/>
        <v>134.6108189335576</v>
      </c>
      <c r="F74" s="32" cm="1">
        <f t="array" ref="F74">KCASConv($K$4,A74,0)</f>
        <v>0.11406423151493073</v>
      </c>
      <c r="G74" s="32">
        <f t="shared" si="7"/>
        <v>635.5336168554162</v>
      </c>
      <c r="H74" s="32">
        <f t="shared" si="8"/>
        <v>0.97287777321324076</v>
      </c>
      <c r="I74" s="32">
        <f t="shared" si="18"/>
        <v>8.3152299803466487</v>
      </c>
      <c r="J74" s="38">
        <f t="shared" si="19"/>
        <v>0.03</v>
      </c>
      <c r="K74" s="39">
        <f t="shared" si="20"/>
        <v>2.2400623096366309E-2</v>
      </c>
      <c r="L74" s="31">
        <f t="shared" si="9"/>
        <v>5.2400623096366311E-2</v>
      </c>
      <c r="M74" s="31">
        <f t="shared" si="10"/>
        <v>18.566148944910243</v>
      </c>
      <c r="N74" s="40">
        <f t="shared" si="11"/>
        <v>18.312640549663868</v>
      </c>
      <c r="O74" s="40">
        <f t="shared" si="12"/>
        <v>18.823166747021574</v>
      </c>
      <c r="P74" s="42">
        <f t="shared" si="13"/>
        <v>316.70542003337493</v>
      </c>
      <c r="Q74" s="41">
        <f t="shared" si="14"/>
        <v>11.842215542052481</v>
      </c>
      <c r="R74" s="20">
        <f t="shared" si="15"/>
        <v>44.28</v>
      </c>
      <c r="S74" s="20">
        <f t="shared" si="16"/>
        <v>161.12764977189963</v>
      </c>
      <c r="T74" s="20">
        <f t="shared" si="17"/>
        <v>50.125780072179822</v>
      </c>
      <c r="U74" s="41">
        <f t="shared" si="21"/>
        <v>-2.0139822350429388</v>
      </c>
      <c r="V74" s="40">
        <f t="shared" si="22"/>
        <v>-3.0875287583915472</v>
      </c>
    </row>
    <row r="75" spans="1:22" x14ac:dyDescent="0.25">
      <c r="A75" s="22">
        <v>66</v>
      </c>
      <c r="B75" s="22" cm="1">
        <f t="array" ref="B75">KCASConv($K$4,A75,2)</f>
        <v>65.966011047363281</v>
      </c>
      <c r="C75" s="33" cm="1">
        <f t="array" ref="C75">KCASConv($K$4,A75,1)</f>
        <v>73.80718994140625</v>
      </c>
      <c r="D75" s="33">
        <f t="shared" si="5"/>
        <v>37.966661492492925</v>
      </c>
      <c r="E75" s="33">
        <f t="shared" si="6"/>
        <v>136.67998137297454</v>
      </c>
      <c r="F75" s="32" cm="1">
        <f t="array" ref="F75">KCASConv($K$4,A75,0)</f>
        <v>0.11581756919622421</v>
      </c>
      <c r="G75" s="32">
        <f t="shared" si="7"/>
        <v>655.22191819875775</v>
      </c>
      <c r="H75" s="32">
        <f t="shared" si="8"/>
        <v>0.94364445510032169</v>
      </c>
      <c r="I75" s="32">
        <f t="shared" si="18"/>
        <v>8.0007148375615973</v>
      </c>
      <c r="J75" s="38">
        <f t="shared" si="19"/>
        <v>0.03</v>
      </c>
      <c r="K75" s="39">
        <f t="shared" si="20"/>
        <v>2.0738108924578471E-2</v>
      </c>
      <c r="L75" s="31">
        <f t="shared" si="9"/>
        <v>5.0738108924578473E-2</v>
      </c>
      <c r="M75" s="31">
        <f t="shared" si="10"/>
        <v>18.598337129652126</v>
      </c>
      <c r="N75" s="40">
        <f t="shared" si="11"/>
        <v>18.066678322368908</v>
      </c>
      <c r="O75" s="40">
        <f t="shared" si="12"/>
        <v>19.145641374481649</v>
      </c>
      <c r="P75" s="42">
        <f t="shared" si="13"/>
        <v>316.15729723628164</v>
      </c>
      <c r="Q75" s="41">
        <f t="shared" si="14"/>
        <v>12.003437082551374</v>
      </c>
      <c r="R75" s="20">
        <f t="shared" si="15"/>
        <v>44.28</v>
      </c>
      <c r="S75" s="20">
        <f t="shared" si="16"/>
        <v>161.40699723233811</v>
      </c>
      <c r="T75" s="20">
        <f t="shared" si="17"/>
        <v>50.808199291222742</v>
      </c>
      <c r="U75" s="41">
        <f t="shared" si="21"/>
        <v>-2.0414008643794852</v>
      </c>
      <c r="V75" s="40">
        <f t="shared" si="22"/>
        <v>-3.0821800003677353</v>
      </c>
    </row>
    <row r="76" spans="1:22" x14ac:dyDescent="0.25">
      <c r="A76" s="22">
        <v>67</v>
      </c>
      <c r="B76" s="22" cm="1">
        <f t="array" ref="B76">KCASConv($K$4,A76,2)</f>
        <v>66.964447021484375</v>
      </c>
      <c r="C76" s="33" cm="1">
        <f t="array" ref="C76">KCASConv($K$4,A76,1)</f>
        <v>74.92449951171875</v>
      </c>
      <c r="D76" s="33">
        <f t="shared" si="5"/>
        <v>38.541409213847096</v>
      </c>
      <c r="E76" s="33">
        <f t="shared" si="6"/>
        <v>138.74907316984954</v>
      </c>
      <c r="F76" s="32" cm="1">
        <f t="array" ref="F76">KCASConv($K$4,A76,0)</f>
        <v>0.11757083982229233</v>
      </c>
      <c r="G76" s="32">
        <f t="shared" si="7"/>
        <v>675.20986133177985</v>
      </c>
      <c r="H76" s="32">
        <f t="shared" si="8"/>
        <v>0.91571015972564429</v>
      </c>
      <c r="I76" s="32">
        <f t="shared" si="18"/>
        <v>7.700175608164856</v>
      </c>
      <c r="J76" s="38">
        <f t="shared" si="19"/>
        <v>0.03</v>
      </c>
      <c r="K76" s="39">
        <f t="shared" si="20"/>
        <v>1.9209356988666427E-2</v>
      </c>
      <c r="L76" s="31">
        <f t="shared" si="9"/>
        <v>4.9209356988666422E-2</v>
      </c>
      <c r="M76" s="31">
        <f t="shared" si="10"/>
        <v>18.6084561100147</v>
      </c>
      <c r="N76" s="40">
        <f t="shared" si="11"/>
        <v>17.806942601215148</v>
      </c>
      <c r="O76" s="40">
        <f t="shared" si="12"/>
        <v>19.446046778109658</v>
      </c>
      <c r="P76" s="42">
        <f t="shared" si="13"/>
        <v>315.98537596224872</v>
      </c>
      <c r="Q76" s="41">
        <f t="shared" si="14"/>
        <v>12.178521680552352</v>
      </c>
      <c r="R76" s="20">
        <f t="shared" si="15"/>
        <v>44.28</v>
      </c>
      <c r="S76" s="20">
        <f t="shared" si="16"/>
        <v>161.49481552619901</v>
      </c>
      <c r="T76" s="20">
        <f t="shared" si="17"/>
        <v>51.549298118740111</v>
      </c>
      <c r="U76" s="41">
        <f t="shared" si="21"/>
        <v>-2.0711771565565225</v>
      </c>
      <c r="V76" s="40">
        <f t="shared" si="22"/>
        <v>-3.080502342986021</v>
      </c>
    </row>
    <row r="77" spans="1:22" x14ac:dyDescent="0.25">
      <c r="A77" s="22">
        <v>68</v>
      </c>
      <c r="B77" s="22" cm="1">
        <f t="array" ref="B77">KCASConv($K$4,A77,2)</f>
        <v>67.962837219238281</v>
      </c>
      <c r="C77" s="33" cm="1">
        <f t="array" ref="C77">KCASConv($K$4,A77,1)</f>
        <v>76.041763305664063</v>
      </c>
      <c r="D77" s="33">
        <f t="shared" si="5"/>
        <v>39.116133387687277</v>
      </c>
      <c r="E77" s="33">
        <f t="shared" si="6"/>
        <v>140.81808019567421</v>
      </c>
      <c r="F77" s="32" cm="1">
        <f t="array" ref="F77">KCASConv($K$4,A77,0)</f>
        <v>0.11932403594255447</v>
      </c>
      <c r="G77" s="32">
        <f t="shared" si="7"/>
        <v>695.49727593445255</v>
      </c>
      <c r="H77" s="32">
        <f t="shared" si="8"/>
        <v>0.88899921158961648</v>
      </c>
      <c r="I77" s="32">
        <f t="shared" si="18"/>
        <v>7.4127981153165736</v>
      </c>
      <c r="J77" s="38">
        <f t="shared" si="19"/>
        <v>0.03</v>
      </c>
      <c r="K77" s="39">
        <f t="shared" si="20"/>
        <v>1.7802291707745249E-2</v>
      </c>
      <c r="L77" s="31">
        <f t="shared" si="9"/>
        <v>4.7802291707745248E-2</v>
      </c>
      <c r="M77" s="31">
        <f t="shared" si="10"/>
        <v>18.597418237284529</v>
      </c>
      <c r="N77" s="40">
        <f t="shared" si="11"/>
        <v>17.534902117904057</v>
      </c>
      <c r="O77" s="40">
        <f t="shared" si="12"/>
        <v>19.724316837750575</v>
      </c>
      <c r="P77" s="42">
        <f t="shared" si="13"/>
        <v>316.17291846519004</v>
      </c>
      <c r="Q77" s="41">
        <f t="shared" si="14"/>
        <v>12.367462052258746</v>
      </c>
      <c r="R77" s="20">
        <f t="shared" si="15"/>
        <v>44.28</v>
      </c>
      <c r="S77" s="20">
        <f t="shared" si="16"/>
        <v>161.39902255929076</v>
      </c>
      <c r="T77" s="20">
        <f t="shared" si="17"/>
        <v>52.349045723846551</v>
      </c>
      <c r="U77" s="41">
        <f t="shared" si="21"/>
        <v>-2.1033098728331203</v>
      </c>
      <c r="V77" s="40">
        <f t="shared" si="22"/>
        <v>-3.0823324369563441</v>
      </c>
    </row>
    <row r="78" spans="1:22" x14ac:dyDescent="0.25">
      <c r="A78" s="22">
        <v>69</v>
      </c>
      <c r="B78" s="22" cm="1">
        <f t="array" ref="B78">KCASConv($K$4,A78,2)</f>
        <v>68.961174011230469</v>
      </c>
      <c r="C78" s="33" cm="1">
        <f t="array" ref="C78">KCASConv($K$4,A78,1)</f>
        <v>77.158981323242188</v>
      </c>
      <c r="D78" s="33">
        <f t="shared" si="5"/>
        <v>39.690834014013475</v>
      </c>
      <c r="E78" s="33">
        <f t="shared" si="6"/>
        <v>142.88700245044851</v>
      </c>
      <c r="F78" s="32" cm="1">
        <f t="array" ref="F78">KCASConv($K$4,A78,0)</f>
        <v>0.12107716500759125</v>
      </c>
      <c r="G78" s="32">
        <f t="shared" si="7"/>
        <v>716.08412509717334</v>
      </c>
      <c r="H78" s="32">
        <f t="shared" si="8"/>
        <v>0.86344119119321461</v>
      </c>
      <c r="I78" s="32">
        <f t="shared" si="18"/>
        <v>7.1378247303854536</v>
      </c>
      <c r="J78" s="38">
        <f t="shared" si="19"/>
        <v>0.03</v>
      </c>
      <c r="K78" s="39">
        <f t="shared" si="20"/>
        <v>1.6506056504215383E-2</v>
      </c>
      <c r="L78" s="31">
        <f t="shared" si="9"/>
        <v>4.6506056504215382E-2</v>
      </c>
      <c r="M78" s="31">
        <f t="shared" si="10"/>
        <v>18.566209567025982</v>
      </c>
      <c r="N78" s="40">
        <f t="shared" si="11"/>
        <v>17.252007165934565</v>
      </c>
      <c r="O78" s="40">
        <f t="shared" si="12"/>
        <v>19.980523678854738</v>
      </c>
      <c r="P78" s="42">
        <f t="shared" si="13"/>
        <v>316.70438593147281</v>
      </c>
      <c r="Q78" s="41">
        <f t="shared" si="14"/>
        <v>12.570261213516153</v>
      </c>
      <c r="R78" s="20">
        <f t="shared" si="15"/>
        <v>44.28</v>
      </c>
      <c r="S78" s="20">
        <f t="shared" si="16"/>
        <v>161.12817588526121</v>
      </c>
      <c r="T78" s="20">
        <f t="shared" si="17"/>
        <v>53.207454872026041</v>
      </c>
      <c r="U78" s="41">
        <f t="shared" si="21"/>
        <v>-2.1377995261081892</v>
      </c>
      <c r="V78" s="40">
        <f t="shared" si="22"/>
        <v>-3.0875186672682315</v>
      </c>
    </row>
    <row r="79" spans="1:22" x14ac:dyDescent="0.25">
      <c r="A79" s="22">
        <v>70</v>
      </c>
      <c r="B79" s="22" cm="1">
        <f t="array" ref="B79">KCASConv($K$4,A79,2)</f>
        <v>69.95947265625</v>
      </c>
      <c r="C79" s="33" cm="1">
        <f t="array" ref="C79">KCASConv($K$4,A79,1)</f>
        <v>78.276153564453125</v>
      </c>
      <c r="D79" s="33">
        <f t="shared" si="5"/>
        <v>40.265511092825683</v>
      </c>
      <c r="E79" s="33">
        <f t="shared" si="6"/>
        <v>144.95583993417247</v>
      </c>
      <c r="F79" s="32" cm="1">
        <f t="array" ref="F79">KCASConv($K$4,A79,0)</f>
        <v>0.12283022701740265</v>
      </c>
      <c r="G79" s="32">
        <f t="shared" si="7"/>
        <v>736.97037191185086</v>
      </c>
      <c r="H79" s="32">
        <f t="shared" si="8"/>
        <v>0.83897067444443851</v>
      </c>
      <c r="I79" s="32">
        <f t="shared" si="18"/>
        <v>6.8745515692774086</v>
      </c>
      <c r="J79" s="38">
        <f t="shared" si="19"/>
        <v>0.03</v>
      </c>
      <c r="K79" s="39">
        <f t="shared" si="20"/>
        <v>1.5310885776150007E-2</v>
      </c>
      <c r="L79" s="31">
        <f t="shared" si="9"/>
        <v>4.5310885776150008E-2</v>
      </c>
      <c r="M79" s="31">
        <f t="shared" si="10"/>
        <v>18.515874498442095</v>
      </c>
      <c r="N79" s="40">
        <f t="shared" si="11"/>
        <v>16.959678640220513</v>
      </c>
      <c r="O79" s="40">
        <f t="shared" si="12"/>
        <v>20.21486466311962</v>
      </c>
      <c r="P79" s="42">
        <f t="shared" si="13"/>
        <v>317.56534105341535</v>
      </c>
      <c r="Q79" s="41">
        <f t="shared" si="14"/>
        <v>12.786930762883266</v>
      </c>
      <c r="R79" s="20">
        <f t="shared" si="15"/>
        <v>44.28</v>
      </c>
      <c r="S79" s="20">
        <f t="shared" si="16"/>
        <v>160.69133939719393</v>
      </c>
      <c r="T79" s="20">
        <f t="shared" si="17"/>
        <v>54.124574657706944</v>
      </c>
      <c r="U79" s="41">
        <f t="shared" si="21"/>
        <v>-2.1746480889257258</v>
      </c>
      <c r="V79" s="40">
        <f t="shared" si="22"/>
        <v>-3.0959201977519824</v>
      </c>
    </row>
    <row r="80" spans="1:22" x14ac:dyDescent="0.25">
      <c r="A80" s="22">
        <v>71</v>
      </c>
      <c r="B80" s="22" cm="1">
        <f t="array" ref="B80">KCASConv($K$4,A80,2)</f>
        <v>70.957710266113281</v>
      </c>
      <c r="C80" s="33" cm="1">
        <f t="array" ref="C80">KCASConv($K$4,A80,1)</f>
        <v>79.393287658691406</v>
      </c>
      <c r="D80" s="33">
        <f t="shared" si="5"/>
        <v>40.84016854870957</v>
      </c>
      <c r="E80" s="33">
        <f t="shared" si="6"/>
        <v>147.02460677535447</v>
      </c>
      <c r="F80" s="32" cm="1">
        <f t="array" ref="F80">KCASConv($K$4,A80,0)</f>
        <v>0.12458321452140808</v>
      </c>
      <c r="G80" s="32">
        <f t="shared" si="7"/>
        <v>758.15612518376963</v>
      </c>
      <c r="H80" s="32">
        <f t="shared" si="8"/>
        <v>0.81552665662179447</v>
      </c>
      <c r="I80" s="32">
        <f t="shared" si="18"/>
        <v>6.6223222949794076</v>
      </c>
      <c r="J80" s="38">
        <f t="shared" si="19"/>
        <v>0.03</v>
      </c>
      <c r="K80" s="39">
        <f t="shared" si="20"/>
        <v>1.4207975336052262E-2</v>
      </c>
      <c r="L80" s="31">
        <f t="shared" si="9"/>
        <v>4.4207975336052259E-2</v>
      </c>
      <c r="M80" s="31">
        <f t="shared" si="10"/>
        <v>18.447500715028685</v>
      </c>
      <c r="N80" s="40">
        <f t="shared" si="11"/>
        <v>16.659294913292825</v>
      </c>
      <c r="O80" s="40">
        <f t="shared" si="12"/>
        <v>20.427652214707035</v>
      </c>
      <c r="P80" s="42">
        <f t="shared" si="13"/>
        <v>318.74236466133982</v>
      </c>
      <c r="Q80" s="41">
        <f t="shared" si="14"/>
        <v>13.017491896383367</v>
      </c>
      <c r="R80" s="20">
        <f t="shared" si="15"/>
        <v>44.28</v>
      </c>
      <c r="S80" s="20">
        <f t="shared" si="16"/>
        <v>160.09795263399897</v>
      </c>
      <c r="T80" s="20">
        <f t="shared" si="17"/>
        <v>55.100494799506315</v>
      </c>
      <c r="U80" s="41">
        <f t="shared" si="21"/>
        <v>-2.2138591660515932</v>
      </c>
      <c r="V80" s="40">
        <f t="shared" si="22"/>
        <v>-3.1074061536694049</v>
      </c>
    </row>
    <row r="81" spans="1:22" x14ac:dyDescent="0.25">
      <c r="A81" s="22">
        <v>72</v>
      </c>
      <c r="B81" s="22" cm="1">
        <f t="array" ref="B81">KCASConv($K$4,A81,2)</f>
        <v>71.955909729003906</v>
      </c>
      <c r="C81" s="33" cm="1">
        <f t="array" ref="C81">KCASConv($K$4,A81,1)</f>
        <v>80.510368347167969</v>
      </c>
      <c r="D81" s="33">
        <f t="shared" si="5"/>
        <v>41.414798532493812</v>
      </c>
      <c r="E81" s="33">
        <f t="shared" si="6"/>
        <v>149.09327471697773</v>
      </c>
      <c r="F81" s="32" cm="1">
        <f t="array" ref="F81">KCASConv($K$4,A81,0)</f>
        <v>0.12633612751960754</v>
      </c>
      <c r="G81" s="32">
        <f t="shared" si="7"/>
        <v>779.64105863433542</v>
      </c>
      <c r="H81" s="32">
        <f t="shared" si="8"/>
        <v>0.79305280695644531</v>
      </c>
      <c r="I81" s="32">
        <f t="shared" si="18"/>
        <v>6.3805308565554757</v>
      </c>
      <c r="J81" s="38">
        <f t="shared" si="19"/>
        <v>0.03</v>
      </c>
      <c r="K81" s="39">
        <f t="shared" si="20"/>
        <v>1.3189404716357231E-2</v>
      </c>
      <c r="L81" s="31">
        <f t="shared" si="9"/>
        <v>4.3189404716357231E-2</v>
      </c>
      <c r="M81" s="31">
        <f t="shared" si="10"/>
        <v>18.36220740167068</v>
      </c>
      <c r="N81" s="40">
        <f t="shared" si="11"/>
        <v>16.352190644110472</v>
      </c>
      <c r="O81" s="40">
        <f t="shared" si="12"/>
        <v>20.619296093114439</v>
      </c>
      <c r="P81" s="42">
        <f t="shared" si="13"/>
        <v>320.22293787319984</v>
      </c>
      <c r="Q81" s="41">
        <f t="shared" si="14"/>
        <v>13.261968457501855</v>
      </c>
      <c r="R81" s="20">
        <f t="shared" si="15"/>
        <v>44.28</v>
      </c>
      <c r="S81" s="20">
        <f t="shared" si="16"/>
        <v>159.35772852164197</v>
      </c>
      <c r="T81" s="20">
        <f t="shared" si="17"/>
        <v>56.135316222230067</v>
      </c>
      <c r="U81" s="41">
        <f t="shared" si="21"/>
        <v>-2.2554368125003155</v>
      </c>
      <c r="V81" s="40">
        <f t="shared" si="22"/>
        <v>-3.121854468500485</v>
      </c>
    </row>
    <row r="82" spans="1:22" x14ac:dyDescent="0.25">
      <c r="A82" s="22">
        <v>73</v>
      </c>
      <c r="B82" s="22" cm="1">
        <f t="array" ref="B82">KCASConv($K$4,A82,2)</f>
        <v>72.954048156738281</v>
      </c>
      <c r="C82" s="33" cm="1">
        <f t="array" ref="C82">KCASConv($K$4,A82,1)</f>
        <v>81.627395629882813</v>
      </c>
      <c r="D82" s="33">
        <f t="shared" si="5"/>
        <v>41.9894010441784</v>
      </c>
      <c r="E82" s="33">
        <f t="shared" si="6"/>
        <v>151.16184375904226</v>
      </c>
      <c r="F82" s="32" cm="1">
        <f t="array" ref="F82">KCASConv($K$4,A82,0)</f>
        <v>0.12808896601200104</v>
      </c>
      <c r="G82" s="32">
        <f t="shared" si="7"/>
        <v>801.42512920940135</v>
      </c>
      <c r="H82" s="32">
        <f t="shared" si="8"/>
        <v>0.77149631005256625</v>
      </c>
      <c r="I82" s="32">
        <f t="shared" si="18"/>
        <v>6.1486090242311171</v>
      </c>
      <c r="J82" s="38">
        <f t="shared" si="19"/>
        <v>0.03</v>
      </c>
      <c r="K82" s="39">
        <f t="shared" si="20"/>
        <v>1.2248004140387446E-2</v>
      </c>
      <c r="L82" s="31">
        <f t="shared" si="9"/>
        <v>4.2248004140387443E-2</v>
      </c>
      <c r="M82" s="31">
        <f t="shared" si="10"/>
        <v>18.261130336215004</v>
      </c>
      <c r="N82" s="40">
        <f t="shared" si="11"/>
        <v>16.039638753082649</v>
      </c>
      <c r="O82" s="40">
        <f t="shared" si="12"/>
        <v>20.790298727403869</v>
      </c>
      <c r="P82" s="42">
        <f t="shared" si="13"/>
        <v>321.99540180373913</v>
      </c>
      <c r="Q82" s="41">
        <f t="shared" si="14"/>
        <v>13.520394060718568</v>
      </c>
      <c r="R82" s="20">
        <f t="shared" si="15"/>
        <v>44.28</v>
      </c>
      <c r="S82" s="20">
        <f t="shared" si="16"/>
        <v>158.48052398929451</v>
      </c>
      <c r="T82" s="20">
        <f t="shared" si="17"/>
        <v>57.229181209390767</v>
      </c>
      <c r="U82" s="41">
        <f t="shared" si="21"/>
        <v>-2.2993867450201644</v>
      </c>
      <c r="V82" s="40">
        <f t="shared" si="22"/>
        <v>-3.1391514881610592</v>
      </c>
    </row>
    <row r="83" spans="1:22" x14ac:dyDescent="0.25">
      <c r="A83" s="22">
        <v>74</v>
      </c>
      <c r="B83" s="22" cm="1">
        <f t="array" ref="B83">KCASConv($K$4,A83,2)</f>
        <v>73.952140808105469</v>
      </c>
      <c r="C83" s="33" cm="1">
        <f t="array" ref="C83">KCASConv($K$4,A83,1)</f>
        <v>82.744384765625</v>
      </c>
      <c r="D83" s="33">
        <f t="shared" si="5"/>
        <v>42.563983932934669</v>
      </c>
      <c r="E83" s="33">
        <f t="shared" si="6"/>
        <v>153.23034215856481</v>
      </c>
      <c r="F83" s="32" cm="1">
        <f t="array" ref="F83">KCASConv($K$4,A83,0)</f>
        <v>0.12984172999858856</v>
      </c>
      <c r="G83" s="32">
        <f t="shared" si="7"/>
        <v>823.50859758124386</v>
      </c>
      <c r="H83" s="32">
        <f t="shared" si="8"/>
        <v>0.75080761971942345</v>
      </c>
      <c r="I83" s="32">
        <f t="shared" si="18"/>
        <v>5.92602374092424</v>
      </c>
      <c r="J83" s="38">
        <f t="shared" si="19"/>
        <v>0.03</v>
      </c>
      <c r="K83" s="39">
        <f t="shared" si="20"/>
        <v>1.1377277271810135E-2</v>
      </c>
      <c r="L83" s="31">
        <f t="shared" si="9"/>
        <v>4.1377277271810134E-2</v>
      </c>
      <c r="M83" s="31">
        <f t="shared" si="10"/>
        <v>18.145409007637632</v>
      </c>
      <c r="N83" s="40">
        <f t="shared" si="11"/>
        <v>15.722843717744553</v>
      </c>
      <c r="O83" s="40">
        <f t="shared" si="12"/>
        <v>20.941241544165699</v>
      </c>
      <c r="P83" s="42">
        <f t="shared" si="13"/>
        <v>324.04890942524543</v>
      </c>
      <c r="Q83" s="41">
        <f t="shared" si="14"/>
        <v>13.792812574261148</v>
      </c>
      <c r="R83" s="20">
        <f t="shared" si="15"/>
        <v>44.28</v>
      </c>
      <c r="S83" s="20">
        <f t="shared" si="16"/>
        <v>157.47622817342662</v>
      </c>
      <c r="T83" s="20">
        <f t="shared" si="17"/>
        <v>58.382275446608027</v>
      </c>
      <c r="U83" s="41">
        <f t="shared" si="21"/>
        <v>-2.3457164241940727</v>
      </c>
      <c r="V83" s="40">
        <f t="shared" si="22"/>
        <v>-3.1591914991293035</v>
      </c>
    </row>
    <row r="84" spans="1:22" x14ac:dyDescent="0.25">
      <c r="A84" s="22">
        <v>75</v>
      </c>
      <c r="B84" s="22" cm="1">
        <f t="array" ref="B84">KCASConv($K$4,A84,2)</f>
        <v>74.950180053710938</v>
      </c>
      <c r="C84" s="33" cm="1">
        <f t="array" ref="C84">KCASConv($K$4,A84,1)</f>
        <v>83.861320495605469</v>
      </c>
      <c r="D84" s="33">
        <f t="shared" si="5"/>
        <v>43.138539349591291</v>
      </c>
      <c r="E84" s="33">
        <f t="shared" si="6"/>
        <v>155.29874165852866</v>
      </c>
      <c r="F84" s="32" cm="1">
        <f t="array" ref="F84">KCASConv($K$4,A84,0)</f>
        <v>0.13159441947937012</v>
      </c>
      <c r="G84" s="32">
        <f t="shared" si="7"/>
        <v>845.89112517513877</v>
      </c>
      <c r="H84" s="32">
        <f t="shared" si="8"/>
        <v>0.73094102960406182</v>
      </c>
      <c r="I84" s="32">
        <f t="shared" si="18"/>
        <v>5.7122832615626535</v>
      </c>
      <c r="J84" s="38">
        <f t="shared" si="19"/>
        <v>0.03</v>
      </c>
      <c r="K84" s="39">
        <f t="shared" si="20"/>
        <v>1.0571364281024561E-2</v>
      </c>
      <c r="L84" s="31">
        <f t="shared" si="9"/>
        <v>4.0571364281024563E-2</v>
      </c>
      <c r="M84" s="31">
        <f t="shared" si="10"/>
        <v>18.016180686975979</v>
      </c>
      <c r="N84" s="40">
        <f t="shared" si="11"/>
        <v>15.402949768492308</v>
      </c>
      <c r="O84" s="40">
        <f t="shared" si="12"/>
        <v>21.072766672895376</v>
      </c>
      <c r="P84" s="42">
        <f t="shared" si="13"/>
        <v>326.37328089469554</v>
      </c>
      <c r="Q84" s="41">
        <f t="shared" si="14"/>
        <v>14.079266620531035</v>
      </c>
      <c r="R84" s="20">
        <f t="shared" si="15"/>
        <v>44.28</v>
      </c>
      <c r="S84" s="20">
        <f t="shared" si="16"/>
        <v>156.35471096197011</v>
      </c>
      <c r="T84" s="20">
        <f t="shared" si="17"/>
        <v>59.594779346163108</v>
      </c>
      <c r="U84" s="41">
        <f t="shared" si="21"/>
        <v>-2.3944330987297677</v>
      </c>
      <c r="V84" s="40">
        <f t="shared" si="22"/>
        <v>-3.1818753148998367</v>
      </c>
    </row>
    <row r="85" spans="1:22" x14ac:dyDescent="0.25">
      <c r="A85" s="22">
        <v>76</v>
      </c>
      <c r="B85" s="22" cm="1">
        <f t="array" ref="B85">KCASConv($K$4,A85,2)</f>
        <v>75.948173522949219</v>
      </c>
      <c r="C85" s="33" cm="1">
        <f t="array" ref="C85">KCASConv($K$4,A85,1)</f>
        <v>84.97821044921875</v>
      </c>
      <c r="D85" s="33">
        <f t="shared" si="5"/>
        <v>43.713071218733923</v>
      </c>
      <c r="E85" s="33">
        <f t="shared" si="6"/>
        <v>157.36705638744212</v>
      </c>
      <c r="F85" s="32" cm="1">
        <f t="array" ref="F85">KCASConv($K$4,A85,0)</f>
        <v>0.1333470344543457</v>
      </c>
      <c r="G85" s="32">
        <f t="shared" si="7"/>
        <v>868.57282490449393</v>
      </c>
      <c r="H85" s="32">
        <f t="shared" si="8"/>
        <v>0.71185341313946882</v>
      </c>
      <c r="I85" s="32">
        <f t="shared" si="18"/>
        <v>5.5069235964504424</v>
      </c>
      <c r="J85" s="38">
        <f t="shared" si="19"/>
        <v>0.03</v>
      </c>
      <c r="K85" s="39">
        <f t="shared" si="20"/>
        <v>9.824934650115514E-3</v>
      </c>
      <c r="L85" s="31">
        <f t="shared" si="9"/>
        <v>3.9824934650115509E-2</v>
      </c>
      <c r="M85" s="31">
        <f t="shared" si="10"/>
        <v>17.87456575619024</v>
      </c>
      <c r="N85" s="40">
        <f t="shared" si="11"/>
        <v>15.08102242474248</v>
      </c>
      <c r="O85" s="40">
        <f t="shared" si="12"/>
        <v>21.185572965410163</v>
      </c>
      <c r="P85" s="42">
        <f t="shared" si="13"/>
        <v>328.95904047143995</v>
      </c>
      <c r="Q85" s="41">
        <f t="shared" si="14"/>
        <v>14.379809964174429</v>
      </c>
      <c r="R85" s="20">
        <f t="shared" si="15"/>
        <v>44.28</v>
      </c>
      <c r="S85" s="20">
        <f t="shared" si="16"/>
        <v>155.12569566979388</v>
      </c>
      <c r="T85" s="20">
        <f t="shared" si="17"/>
        <v>60.866920483277994</v>
      </c>
      <c r="U85" s="41">
        <f t="shared" si="21"/>
        <v>-2.4455459122745626</v>
      </c>
      <c r="V85" s="40">
        <f t="shared" si="22"/>
        <v>-3.2071106348810021</v>
      </c>
    </row>
    <row r="86" spans="1:22" x14ac:dyDescent="0.25">
      <c r="A86" s="22">
        <v>77</v>
      </c>
      <c r="B86" s="22" cm="1">
        <f t="array" ref="B86">KCASConv($K$4,A86,2)</f>
        <v>76.94610595703125</v>
      </c>
      <c r="C86" s="33" cm="1">
        <f t="array" ref="C86">KCASConv($K$4,A86,1)</f>
        <v>86.095054626464844</v>
      </c>
      <c r="D86" s="33">
        <f t="shared" si="5"/>
        <v>44.287579540362572</v>
      </c>
      <c r="E86" s="33">
        <f t="shared" si="6"/>
        <v>159.43528634530526</v>
      </c>
      <c r="F86" s="32" cm="1">
        <f t="array" ref="F86">KCASConv($K$4,A86,0)</f>
        <v>0.13509957492351532</v>
      </c>
      <c r="G86" s="32">
        <f t="shared" si="7"/>
        <v>891.55365987205687</v>
      </c>
      <c r="H86" s="32">
        <f t="shared" si="8"/>
        <v>0.69350456152822415</v>
      </c>
      <c r="I86" s="32">
        <f t="shared" si="18"/>
        <v>5.3095121475632245</v>
      </c>
      <c r="J86" s="38">
        <f t="shared" si="19"/>
        <v>0.03</v>
      </c>
      <c r="K86" s="39">
        <f t="shared" si="20"/>
        <v>9.1331545276836304E-3</v>
      </c>
      <c r="L86" s="31">
        <f t="shared" si="9"/>
        <v>3.9133154527683629E-2</v>
      </c>
      <c r="M86" s="31">
        <f t="shared" si="10"/>
        <v>17.721662613158983</v>
      </c>
      <c r="N86" s="40">
        <f t="shared" si="11"/>
        <v>14.758055021108513</v>
      </c>
      <c r="O86" s="40">
        <f t="shared" si="12"/>
        <v>21.280400793020441</v>
      </c>
      <c r="P86" s="42">
        <f t="shared" si="13"/>
        <v>331.79731091561831</v>
      </c>
      <c r="Q86" s="41">
        <f t="shared" si="14"/>
        <v>14.694499798453856</v>
      </c>
      <c r="R86" s="20">
        <f t="shared" si="15"/>
        <v>44.28</v>
      </c>
      <c r="S86" s="20">
        <f t="shared" si="16"/>
        <v>153.79871482134405</v>
      </c>
      <c r="T86" s="20">
        <f t="shared" si="17"/>
        <v>62.198940945836419</v>
      </c>
      <c r="U86" s="41">
        <f t="shared" si="21"/>
        <v>-2.4990645915737852</v>
      </c>
      <c r="V86" s="40">
        <f t="shared" si="22"/>
        <v>-3.2348110127392302</v>
      </c>
    </row>
    <row r="87" spans="1:22" x14ac:dyDescent="0.25">
      <c r="A87" s="22">
        <v>78</v>
      </c>
      <c r="B87" s="22" cm="1">
        <f t="array" ref="B87">KCASConv($K$4,A87,2)</f>
        <v>77.943984985351563</v>
      </c>
      <c r="C87" s="33" cm="1">
        <f t="array" ref="C87">KCASConv($K$4,A87,1)</f>
        <v>87.211845397949219</v>
      </c>
      <c r="D87" s="33">
        <f t="shared" si="5"/>
        <v>44.862060389891575</v>
      </c>
      <c r="E87" s="33">
        <f t="shared" si="6"/>
        <v>161.50341740360966</v>
      </c>
      <c r="F87" s="32" cm="1">
        <f t="array" ref="F87">KCASConv($K$4,A87,0)</f>
        <v>0.13685202598571777</v>
      </c>
      <c r="G87" s="32">
        <f t="shared" si="7"/>
        <v>914.83343312067598</v>
      </c>
      <c r="H87" s="32">
        <f t="shared" si="8"/>
        <v>0.67585694573855237</v>
      </c>
      <c r="I87" s="32">
        <f t="shared" si="18"/>
        <v>5.1196451479135527</v>
      </c>
      <c r="J87" s="38">
        <f t="shared" si="19"/>
        <v>0.03</v>
      </c>
      <c r="K87" s="39">
        <f t="shared" si="20"/>
        <v>8.4916344199041319E-3</v>
      </c>
      <c r="L87" s="31">
        <f t="shared" si="9"/>
        <v>3.8491634419904129E-2</v>
      </c>
      <c r="M87" s="31">
        <f t="shared" si="10"/>
        <v>17.558541120017104</v>
      </c>
      <c r="N87" s="40">
        <f t="shared" si="11"/>
        <v>14.434967808301607</v>
      </c>
      <c r="O87" s="40">
        <f t="shared" si="12"/>
        <v>21.358022432583851</v>
      </c>
      <c r="P87" s="42">
        <f t="shared" si="13"/>
        <v>334.87975793710314</v>
      </c>
      <c r="Q87" s="41">
        <f t="shared" si="14"/>
        <v>15.023395923926593</v>
      </c>
      <c r="R87" s="20">
        <f t="shared" si="15"/>
        <v>44.28</v>
      </c>
      <c r="S87" s="20">
        <f t="shared" si="16"/>
        <v>152.38305329157703</v>
      </c>
      <c r="T87" s="20">
        <f t="shared" si="17"/>
        <v>63.591093857890336</v>
      </c>
      <c r="U87" s="41">
        <f t="shared" si="21"/>
        <v>-2.5549993067902368</v>
      </c>
      <c r="V87" s="40">
        <f t="shared" si="22"/>
        <v>-3.2648953133811709</v>
      </c>
    </row>
    <row r="88" spans="1:22" x14ac:dyDescent="0.25">
      <c r="A88" s="22">
        <v>79</v>
      </c>
      <c r="B88" s="22" cm="1">
        <f t="array" ref="B88">KCASConv($K$4,A88,2)</f>
        <v>78.941810607910156</v>
      </c>
      <c r="C88" s="33" cm="1">
        <f t="array" ref="C88">KCASConv($K$4,A88,1)</f>
        <v>88.328582763671875</v>
      </c>
      <c r="D88" s="33">
        <f t="shared" si="5"/>
        <v>45.436513767320925</v>
      </c>
      <c r="E88" s="33">
        <f t="shared" si="6"/>
        <v>163.57144956235533</v>
      </c>
      <c r="F88" s="32" cm="1">
        <f t="array" ref="F88">KCASConv($K$4,A88,0)</f>
        <v>0.13860440254211426</v>
      </c>
      <c r="G88" s="32">
        <f t="shared" si="7"/>
        <v>938.41210160737876</v>
      </c>
      <c r="H88" s="32">
        <f t="shared" si="8"/>
        <v>0.65887527335740037</v>
      </c>
      <c r="I88" s="32">
        <f t="shared" si="18"/>
        <v>4.9369428938260613</v>
      </c>
      <c r="J88" s="38">
        <f t="shared" si="19"/>
        <v>0.03</v>
      </c>
      <c r="K88" s="39">
        <f t="shared" si="20"/>
        <v>7.8963751960541475E-3</v>
      </c>
      <c r="L88" s="31">
        <f t="shared" si="9"/>
        <v>3.7896375196054148E-2</v>
      </c>
      <c r="M88" s="31">
        <f t="shared" si="10"/>
        <v>17.386234697876958</v>
      </c>
      <c r="N88" s="40">
        <f t="shared" si="11"/>
        <v>14.112603584355952</v>
      </c>
      <c r="O88" s="40">
        <f t="shared" si="12"/>
        <v>21.419233889963738</v>
      </c>
      <c r="P88" s="42">
        <f t="shared" si="13"/>
        <v>338.19858653570395</v>
      </c>
      <c r="Q88" s="41">
        <f t="shared" si="14"/>
        <v>15.36656473321799</v>
      </c>
      <c r="R88" s="20">
        <f t="shared" si="15"/>
        <v>44.28</v>
      </c>
      <c r="S88" s="20">
        <f t="shared" si="16"/>
        <v>150.8876796994322</v>
      </c>
      <c r="T88" s="20">
        <f t="shared" si="17"/>
        <v>65.043660246425361</v>
      </c>
      <c r="U88" s="41">
        <f t="shared" si="21"/>
        <v>-2.6133613491867331</v>
      </c>
      <c r="V88" s="40">
        <f t="shared" si="22"/>
        <v>-3.2972876765747969</v>
      </c>
    </row>
    <row r="89" spans="1:22" x14ac:dyDescent="0.25">
      <c r="A89" s="22">
        <v>80</v>
      </c>
      <c r="B89" s="22" cm="1">
        <f t="array" ref="B89">KCASConv($K$4,A89,2)</f>
        <v>79.939582824707031</v>
      </c>
      <c r="C89" s="33" cm="1">
        <f t="array" ref="C89">KCASConv($K$4,A89,1)</f>
        <v>89.445266723632813</v>
      </c>
      <c r="D89" s="33">
        <f t="shared" si="5"/>
        <v>46.010939672650622</v>
      </c>
      <c r="E89" s="33">
        <f t="shared" si="6"/>
        <v>165.63938282154226</v>
      </c>
      <c r="F89" s="32" cm="1">
        <f t="array" ref="F89">KCASConv($K$4,A89,0)</f>
        <v>0.14035668969154358</v>
      </c>
      <c r="G89" s="32">
        <f t="shared" si="7"/>
        <v>962.28962229125091</v>
      </c>
      <c r="H89" s="32">
        <f t="shared" si="8"/>
        <v>0.64252644489323807</v>
      </c>
      <c r="I89" s="32">
        <f t="shared" si="18"/>
        <v>4.7610492748084532</v>
      </c>
      <c r="J89" s="38">
        <f t="shared" si="19"/>
        <v>0.03</v>
      </c>
      <c r="K89" s="39">
        <f t="shared" si="20"/>
        <v>7.3437337122889976E-3</v>
      </c>
      <c r="L89" s="31">
        <f t="shared" si="9"/>
        <v>3.7343733712288996E-2</v>
      </c>
      <c r="M89" s="31">
        <f t="shared" si="10"/>
        <v>17.205736572660832</v>
      </c>
      <c r="N89" s="40">
        <f t="shared" si="11"/>
        <v>13.791730839498767</v>
      </c>
      <c r="O89" s="40">
        <f t="shared" si="12"/>
        <v>21.46484545362237</v>
      </c>
      <c r="P89" s="42">
        <f t="shared" si="13"/>
        <v>341.74648525905394</v>
      </c>
      <c r="Q89" s="41">
        <f t="shared" si="14"/>
        <v>15.724076916594717</v>
      </c>
      <c r="R89" s="20">
        <f t="shared" si="15"/>
        <v>44.28</v>
      </c>
      <c r="S89" s="20">
        <f t="shared" si="16"/>
        <v>149.32121382702081</v>
      </c>
      <c r="T89" s="20">
        <f t="shared" si="17"/>
        <v>66.556939329501432</v>
      </c>
      <c r="U89" s="41">
        <f t="shared" si="21"/>
        <v>-2.6741627409174686</v>
      </c>
      <c r="V89" s="40">
        <f t="shared" si="22"/>
        <v>-3.3319169724361863</v>
      </c>
    </row>
    <row r="90" spans="1:22" x14ac:dyDescent="0.25">
      <c r="A90" s="22">
        <v>81</v>
      </c>
      <c r="B90" s="22" cm="1">
        <f t="array" ref="B90">KCASConv($K$4,A90,2)</f>
        <v>80.937294006347656</v>
      </c>
      <c r="C90" s="33" cm="1">
        <f t="array" ref="C90">KCASConv($K$4,A90,1)</f>
        <v>90.561897277832031</v>
      </c>
      <c r="D90" s="33">
        <f t="shared" si="5"/>
        <v>46.585338105880673</v>
      </c>
      <c r="E90" s="33">
        <f t="shared" si="6"/>
        <v>167.70721718117042</v>
      </c>
      <c r="F90" s="32" cm="1">
        <f t="array" ref="F90">KCASConv($K$4,A90,0)</f>
        <v>0.14210890233516693</v>
      </c>
      <c r="G90" s="32">
        <f t="shared" si="7"/>
        <v>986.46595213343687</v>
      </c>
      <c r="H90" s="32">
        <f t="shared" si="8"/>
        <v>0.62677939226514612</v>
      </c>
      <c r="I90" s="32">
        <f t="shared" si="18"/>
        <v>4.5916300358894429</v>
      </c>
      <c r="J90" s="38">
        <f t="shared" si="19"/>
        <v>0.03</v>
      </c>
      <c r="K90" s="39">
        <f t="shared" si="20"/>
        <v>6.8303875283696495E-3</v>
      </c>
      <c r="L90" s="31">
        <f t="shared" si="9"/>
        <v>3.6830387528369646E-2</v>
      </c>
      <c r="M90" s="31">
        <f t="shared" si="10"/>
        <v>17.017996125681588</v>
      </c>
      <c r="N90" s="40">
        <f t="shared" si="11"/>
        <v>13.473045452982992</v>
      </c>
      <c r="O90" s="40">
        <f t="shared" si="12"/>
        <v>21.495673947243464</v>
      </c>
      <c r="P90" s="42">
        <f t="shared" si="13"/>
        <v>345.51659058886406</v>
      </c>
      <c r="Q90" s="41">
        <f t="shared" si="14"/>
        <v>16.096007193773382</v>
      </c>
      <c r="R90" s="20">
        <f t="shared" si="15"/>
        <v>44.28</v>
      </c>
      <c r="S90" s="20">
        <f t="shared" si="16"/>
        <v>147.69189494787952</v>
      </c>
      <c r="T90" s="20">
        <f t="shared" si="17"/>
        <v>68.131247381051338</v>
      </c>
      <c r="U90" s="41">
        <f t="shared" si="21"/>
        <v>-2.7374161894172415</v>
      </c>
      <c r="V90" s="40">
        <f t="shared" si="22"/>
        <v>-3.3687164534864089</v>
      </c>
    </row>
    <row r="91" spans="1:22" x14ac:dyDescent="0.25">
      <c r="A91" s="22">
        <v>82</v>
      </c>
      <c r="B91" s="22" cm="1">
        <f t="array" ref="B91">KCASConv($K$4,A91,2)</f>
        <v>81.934959411621094</v>
      </c>
      <c r="C91" s="33" cm="1">
        <f t="array" ref="C91">KCASConv($K$4,A91,1)</f>
        <v>91.678482055664063</v>
      </c>
      <c r="D91" s="33">
        <f t="shared" si="5"/>
        <v>47.159712991596741</v>
      </c>
      <c r="E91" s="33">
        <f t="shared" si="6"/>
        <v>169.77496676974826</v>
      </c>
      <c r="F91" s="32" cm="1">
        <f t="array" ref="F91">KCASConv($K$4,A91,0)</f>
        <v>0.14386104047298431</v>
      </c>
      <c r="G91" s="32">
        <f t="shared" si="7"/>
        <v>1010.9412163562309</v>
      </c>
      <c r="H91" s="32">
        <f t="shared" si="8"/>
        <v>0.61160482920757853</v>
      </c>
      <c r="I91" s="32">
        <f t="shared" si="18"/>
        <v>4.4283700922759097</v>
      </c>
      <c r="J91" s="38">
        <f t="shared" si="19"/>
        <v>0.03</v>
      </c>
      <c r="K91" s="39">
        <f t="shared" si="20"/>
        <v>6.3533003401565176E-3</v>
      </c>
      <c r="L91" s="31">
        <f t="shared" si="9"/>
        <v>3.6353300340156519E-2</v>
      </c>
      <c r="M91" s="31">
        <f t="shared" si="10"/>
        <v>16.823914843626692</v>
      </c>
      <c r="N91" s="40">
        <f t="shared" si="11"/>
        <v>13.157170857059157</v>
      </c>
      <c r="O91" s="40">
        <f t="shared" si="12"/>
        <v>21.512535919813047</v>
      </c>
      <c r="P91" s="42">
        <f t="shared" si="13"/>
        <v>349.50248230883591</v>
      </c>
      <c r="Q91" s="41">
        <f t="shared" si="14"/>
        <v>16.482436755535321</v>
      </c>
      <c r="R91" s="20">
        <f t="shared" si="15"/>
        <v>44.28</v>
      </c>
      <c r="S91" s="20">
        <f t="shared" si="16"/>
        <v>146.00754667861739</v>
      </c>
      <c r="T91" s="20">
        <f t="shared" si="17"/>
        <v>69.766928065757952</v>
      </c>
      <c r="U91" s="41">
        <f t="shared" si="21"/>
        <v>-2.8031355026420615</v>
      </c>
      <c r="V91" s="40">
        <f t="shared" si="22"/>
        <v>-3.4076237092388668</v>
      </c>
    </row>
    <row r="92" spans="1:22" x14ac:dyDescent="0.25">
      <c r="A92" s="22">
        <v>83</v>
      </c>
      <c r="B92" s="22" cm="1">
        <f t="array" ref="B92">KCASConv($K$4,A92,2)</f>
        <v>82.93255615234375</v>
      </c>
      <c r="C92" s="33" cm="1">
        <f t="array" ref="C92">KCASConv($K$4,A92,1)</f>
        <v>92.795005798339844</v>
      </c>
      <c r="D92" s="33">
        <f t="shared" si="5"/>
        <v>47.734056480627494</v>
      </c>
      <c r="E92" s="33">
        <f t="shared" si="6"/>
        <v>171.84260333025898</v>
      </c>
      <c r="F92" s="32" cm="1">
        <f t="array" ref="F92">KCASConv($K$4,A92,0)</f>
        <v>0.14561307430267334</v>
      </c>
      <c r="G92" s="32">
        <f t="shared" si="7"/>
        <v>1035.7150374558855</v>
      </c>
      <c r="H92" s="32">
        <f t="shared" si="8"/>
        <v>0.59697552667307829</v>
      </c>
      <c r="I92" s="32">
        <f t="shared" si="18"/>
        <v>4.2709764923529958</v>
      </c>
      <c r="J92" s="38">
        <f t="shared" si="19"/>
        <v>0.03</v>
      </c>
      <c r="K92" s="39">
        <f t="shared" si="20"/>
        <v>5.9097067413251218E-3</v>
      </c>
      <c r="L92" s="31">
        <f t="shared" si="9"/>
        <v>3.5909706741325119E-2</v>
      </c>
      <c r="M92" s="31">
        <f t="shared" si="10"/>
        <v>16.624349816426516</v>
      </c>
      <c r="N92" s="40">
        <f t="shared" si="11"/>
        <v>12.844669454752058</v>
      </c>
      <c r="O92" s="40">
        <f t="shared" si="12"/>
        <v>21.516241254201674</v>
      </c>
      <c r="P92" s="42">
        <f t="shared" si="13"/>
        <v>353.69804322752958</v>
      </c>
      <c r="Q92" s="41">
        <f t="shared" si="14"/>
        <v>16.883442372510324</v>
      </c>
      <c r="R92" s="20">
        <f t="shared" si="15"/>
        <v>44.28</v>
      </c>
      <c r="S92" s="20">
        <f t="shared" si="16"/>
        <v>144.27560733541586</v>
      </c>
      <c r="T92" s="20">
        <f t="shared" si="17"/>
        <v>71.464306338668024</v>
      </c>
      <c r="U92" s="41">
        <f t="shared" si="21"/>
        <v>-2.8713337368214833</v>
      </c>
      <c r="V92" s="40">
        <f t="shared" si="22"/>
        <v>-3.448579296795903</v>
      </c>
    </row>
    <row r="93" spans="1:22" x14ac:dyDescent="0.25">
      <c r="A93" s="22">
        <v>84</v>
      </c>
      <c r="B93" s="22" cm="1">
        <f t="array" ref="B93">KCASConv($K$4,A93,2)</f>
        <v>83.930099487304688</v>
      </c>
      <c r="C93" s="33" cm="1">
        <f t="array" ref="C93">KCASConv($K$4,A93,1)</f>
        <v>93.911476135253906</v>
      </c>
      <c r="D93" s="33">
        <f t="shared" si="5"/>
        <v>48.308372497558594</v>
      </c>
      <c r="E93" s="33">
        <f t="shared" si="6"/>
        <v>173.91014099121094</v>
      </c>
      <c r="F93" s="32" cm="1">
        <f t="array" ref="F93">KCASConv($K$4,A93,0)</f>
        <v>0.1473650336265564</v>
      </c>
      <c r="G93" s="32">
        <f t="shared" si="7"/>
        <v>1060.7875386095379</v>
      </c>
      <c r="H93" s="32">
        <f t="shared" si="8"/>
        <v>0.58286556682114377</v>
      </c>
      <c r="I93" s="32">
        <f t="shared" ref="I93:I124" si="23">(H93-$E$9)/$E$10*180/PI()</f>
        <v>4.1191703915066693</v>
      </c>
      <c r="J93" s="38">
        <f t="shared" ref="J93:J124" si="24">$E$12</f>
        <v>0.03</v>
      </c>
      <c r="K93" s="39">
        <f t="shared" ref="K93:K124" si="25">$E$23*(H93-$E$11)^2</f>
        <v>5.4970676602067187E-3</v>
      </c>
      <c r="L93" s="31">
        <f t="shared" si="9"/>
        <v>3.5497067660206716E-2</v>
      </c>
      <c r="M93" s="31">
        <f t="shared" si="10"/>
        <v>16.420104680211477</v>
      </c>
      <c r="N93" s="40">
        <f t="shared" si="11"/>
        <v>12.536032846660103</v>
      </c>
      <c r="O93" s="40">
        <f t="shared" si="12"/>
        <v>21.507588645233646</v>
      </c>
      <c r="P93" s="42">
        <f t="shared" si="13"/>
        <v>358.09759526601692</v>
      </c>
      <c r="Q93" s="41">
        <f t="shared" si="14"/>
        <v>17.299112022590723</v>
      </c>
      <c r="R93" s="20">
        <f t="shared" si="15"/>
        <v>44.28</v>
      </c>
      <c r="S93" s="20">
        <f t="shared" si="16"/>
        <v>142.50305133183534</v>
      </c>
      <c r="T93" s="20">
        <f t="shared" si="17"/>
        <v>73.22375459297659</v>
      </c>
      <c r="U93" s="41">
        <f t="shared" ref="U93:U124" si="26">-1000*Q93/$E$4</f>
        <v>-2.9420258541820954</v>
      </c>
      <c r="V93" s="40">
        <f t="shared" ref="V93:V124" si="27">ASIN(U93/D93)*180/PI()</f>
        <v>-3.4915280691899313</v>
      </c>
    </row>
    <row r="94" spans="1:22" x14ac:dyDescent="0.25">
      <c r="A94" s="22">
        <v>85</v>
      </c>
      <c r="B94" s="22" cm="1">
        <f t="array" ref="B94">KCASConv($K$4,A94,2)</f>
        <v>84.927589416503906</v>
      </c>
      <c r="C94" s="33" cm="1">
        <f t="array" ref="C94">KCASConv($K$4,A94,1)</f>
        <v>95.027908325195313</v>
      </c>
      <c r="D94" s="33">
        <f t="shared" ref="D94:D157" si="28">C94/1.944</f>
        <v>48.882668891561373</v>
      </c>
      <c r="E94" s="33">
        <f t="shared" ref="E94:E157" si="29">3.6*D94</f>
        <v>175.97760800962095</v>
      </c>
      <c r="F94" s="32" cm="1">
        <f t="array" ref="F94">KCASConv($K$4,A94,0)</f>
        <v>0.14911691844463348</v>
      </c>
      <c r="G94" s="32">
        <f t="shared" ref="G94:G157" si="30">0.5*$K$6*D94^2</f>
        <v>1086.1590255992555</v>
      </c>
      <c r="H94" s="32">
        <f t="shared" ref="H94:H157" si="31">$E$4/(G94*$E$5)</f>
        <v>0.5692504646152784</v>
      </c>
      <c r="I94" s="32">
        <f t="shared" si="23"/>
        <v>3.9726883603608991</v>
      </c>
      <c r="J94" s="38">
        <f t="shared" si="24"/>
        <v>0.03</v>
      </c>
      <c r="K94" s="39">
        <f t="shared" si="25"/>
        <v>5.1130561739441251E-3</v>
      </c>
      <c r="L94" s="31">
        <f t="shared" ref="L94:L157" si="32">J94+K94</f>
        <v>3.5113056173944127E-2</v>
      </c>
      <c r="M94" s="31">
        <f t="shared" ref="M94:M157" si="33">H94/L94</f>
        <v>16.211931590212714</v>
      </c>
      <c r="N94" s="40">
        <f t="shared" ref="N94:N157" si="34">H94^1.5/L94</f>
        <v>12.231689818817683</v>
      </c>
      <c r="O94" s="40">
        <f t="shared" ref="O94:O157" si="35">H94^0.5/L94</f>
        <v>21.487360273099359</v>
      </c>
      <c r="P94" s="42">
        <f t="shared" ref="P94:P157" si="36">G94*$E$5*L94</f>
        <v>362.69583098597627</v>
      </c>
      <c r="Q94" s="41">
        <f t="shared" ref="Q94:Q157" si="37">P94*D94/1000</f>
        <v>17.729540214437183</v>
      </c>
      <c r="R94" s="20">
        <f t="shared" ref="R94:R157" si="38">$S$4*$X$14</f>
        <v>44.28</v>
      </c>
      <c r="S94" s="20">
        <f t="shared" ref="S94:S157" si="39">60^2*1000*$X$15*$W$4/$E$4*M94/1000</f>
        <v>140.69640630077464</v>
      </c>
      <c r="T94" s="20">
        <f t="shared" ref="T94:T157" si="40">E94/S94*60</f>
        <v>75.045672865342567</v>
      </c>
      <c r="U94" s="41">
        <f t="shared" si="26"/>
        <v>-3.0152279276253715</v>
      </c>
      <c r="V94" s="40">
        <f t="shared" si="27"/>
        <v>-3.5364185071440719</v>
      </c>
    </row>
    <row r="95" spans="1:22" x14ac:dyDescent="0.25">
      <c r="A95" s="22">
        <v>86</v>
      </c>
      <c r="B95" s="22" cm="1">
        <f t="array" ref="B95">KCASConv($K$4,A95,2)</f>
        <v>85.925010681152344</v>
      </c>
      <c r="C95" s="33" cm="1">
        <f t="array" ref="C95">KCASConv($K$4,A95,1)</f>
        <v>96.144264221191406</v>
      </c>
      <c r="D95" s="33">
        <f t="shared" si="28"/>
        <v>49.456926039707511</v>
      </c>
      <c r="E95" s="33">
        <f t="shared" si="29"/>
        <v>178.04493374294705</v>
      </c>
      <c r="F95" s="32" cm="1">
        <f t="array" ref="F95">KCASConv($K$4,A95,0)</f>
        <v>0.15086869895458221</v>
      </c>
      <c r="G95" s="32">
        <f t="shared" si="30"/>
        <v>1111.828585413625</v>
      </c>
      <c r="H95" s="32">
        <f t="shared" si="31"/>
        <v>0.55610778323210153</v>
      </c>
      <c r="I95" s="32">
        <f t="shared" si="23"/>
        <v>3.831289005835298</v>
      </c>
      <c r="J95" s="38">
        <f t="shared" si="24"/>
        <v>0.03</v>
      </c>
      <c r="K95" s="39">
        <f t="shared" si="25"/>
        <v>4.7555570381348066E-3</v>
      </c>
      <c r="L95" s="31">
        <f t="shared" si="32"/>
        <v>3.4755557038134807E-2</v>
      </c>
      <c r="M95" s="31">
        <f t="shared" si="33"/>
        <v>16.000542952654275</v>
      </c>
      <c r="N95" s="40">
        <f t="shared" si="34"/>
        <v>11.93202643131753</v>
      </c>
      <c r="O95" s="40">
        <f t="shared" si="35"/>
        <v>21.456319783852923</v>
      </c>
      <c r="P95" s="42">
        <f t="shared" si="36"/>
        <v>367.48752947940352</v>
      </c>
      <c r="Q95" s="41">
        <f t="shared" si="37"/>
        <v>18.174803565977694</v>
      </c>
      <c r="R95" s="20">
        <f t="shared" si="38"/>
        <v>44.28</v>
      </c>
      <c r="S95" s="20">
        <f t="shared" si="39"/>
        <v>138.86185491053533</v>
      </c>
      <c r="T95" s="20">
        <f t="shared" si="40"/>
        <v>76.930385464455853</v>
      </c>
      <c r="U95" s="41">
        <f t="shared" si="26"/>
        <v>-3.0909529874111725</v>
      </c>
      <c r="V95" s="40">
        <f t="shared" si="27"/>
        <v>-3.5831999454487575</v>
      </c>
    </row>
    <row r="96" spans="1:22" x14ac:dyDescent="0.25">
      <c r="A96" s="22">
        <v>87</v>
      </c>
      <c r="B96" s="22" cm="1">
        <f t="array" ref="B96">KCASConv($K$4,A96,2)</f>
        <v>86.922378540039063</v>
      </c>
      <c r="C96" s="33" cm="1">
        <f t="array" ref="C96">KCASConv($K$4,A96,1)</f>
        <v>97.260574340820313</v>
      </c>
      <c r="D96" s="33">
        <f t="shared" si="28"/>
        <v>50.031159640339666</v>
      </c>
      <c r="E96" s="33">
        <f t="shared" si="29"/>
        <v>180.1121747052228</v>
      </c>
      <c r="F96" s="32" cm="1">
        <f t="array" ref="F96">KCASConv($K$4,A96,0)</f>
        <v>0.15262040495872498</v>
      </c>
      <c r="G96" s="32">
        <f t="shared" si="30"/>
        <v>1137.7968706025545</v>
      </c>
      <c r="H96" s="32">
        <f t="shared" si="31"/>
        <v>0.54341556559301907</v>
      </c>
      <c r="I96" s="32">
        <f t="shared" si="23"/>
        <v>3.6947360963230915</v>
      </c>
      <c r="J96" s="38">
        <f t="shared" si="24"/>
        <v>0.03</v>
      </c>
      <c r="K96" s="39">
        <f t="shared" si="25"/>
        <v>4.4226076748121032E-3</v>
      </c>
      <c r="L96" s="31">
        <f t="shared" si="32"/>
        <v>3.4422607674812103E-2</v>
      </c>
      <c r="M96" s="31">
        <f t="shared" si="33"/>
        <v>15.786589172053054</v>
      </c>
      <c r="N96" s="40">
        <f t="shared" si="34"/>
        <v>11.637356645915565</v>
      </c>
      <c r="O96" s="40">
        <f t="shared" si="35"/>
        <v>21.415206671925084</v>
      </c>
      <c r="P96" s="42">
        <f t="shared" si="36"/>
        <v>372.46804461152027</v>
      </c>
      <c r="Q96" s="41">
        <f t="shared" si="37"/>
        <v>18.635008200884126</v>
      </c>
      <c r="R96" s="20">
        <f t="shared" si="38"/>
        <v>44.28</v>
      </c>
      <c r="S96" s="20">
        <f t="shared" si="39"/>
        <v>137.00504174317473</v>
      </c>
      <c r="T96" s="20">
        <f t="shared" si="40"/>
        <v>78.87834159104392</v>
      </c>
      <c r="U96" s="41">
        <f t="shared" si="26"/>
        <v>-3.169219081783015</v>
      </c>
      <c r="V96" s="40">
        <f t="shared" si="27"/>
        <v>-3.6318273396683152</v>
      </c>
    </row>
    <row r="97" spans="1:22" x14ac:dyDescent="0.25">
      <c r="A97" s="22">
        <v>88</v>
      </c>
      <c r="B97" s="22" cm="1">
        <f t="array" ref="B97">KCASConv($K$4,A97,2)</f>
        <v>87.919685363769531</v>
      </c>
      <c r="C97" s="33" cm="1">
        <f t="array" ref="C97">KCASConv($K$4,A97,1)</f>
        <v>98.376823425292969</v>
      </c>
      <c r="D97" s="33">
        <f t="shared" si="28"/>
        <v>50.605361844286506</v>
      </c>
      <c r="E97" s="33">
        <f t="shared" si="29"/>
        <v>182.17930263943143</v>
      </c>
      <c r="F97" s="32" cm="1">
        <f t="array" ref="F97">KCASConv($K$4,A97,0)</f>
        <v>0.15437200665473938</v>
      </c>
      <c r="G97" s="32">
        <f t="shared" si="30"/>
        <v>1164.0634831825566</v>
      </c>
      <c r="H97" s="32">
        <f t="shared" si="31"/>
        <v>0.53115361739381073</v>
      </c>
      <c r="I97" s="32">
        <f t="shared" si="23"/>
        <v>3.562812365537547</v>
      </c>
      <c r="J97" s="38">
        <f t="shared" si="24"/>
        <v>0.03</v>
      </c>
      <c r="K97" s="39">
        <f t="shared" si="25"/>
        <v>4.1124200714196292E-3</v>
      </c>
      <c r="L97" s="31">
        <f t="shared" si="32"/>
        <v>3.4112420071419625E-2</v>
      </c>
      <c r="M97" s="31">
        <f t="shared" si="33"/>
        <v>15.570681185379359</v>
      </c>
      <c r="N97" s="40">
        <f t="shared" si="34"/>
        <v>11.347957072451212</v>
      </c>
      <c r="O97" s="40">
        <f t="shared" si="35"/>
        <v>21.364736492112694</v>
      </c>
      <c r="P97" s="42">
        <f t="shared" si="36"/>
        <v>377.63280424245244</v>
      </c>
      <c r="Q97" s="41">
        <f t="shared" si="37"/>
        <v>19.110244702961918</v>
      </c>
      <c r="R97" s="20">
        <f t="shared" si="38"/>
        <v>44.28</v>
      </c>
      <c r="S97" s="20">
        <f t="shared" si="39"/>
        <v>135.13126885882804</v>
      </c>
      <c r="T97" s="20">
        <f t="shared" si="40"/>
        <v>80.889924668621859</v>
      </c>
      <c r="U97" s="41">
        <f t="shared" si="26"/>
        <v>-3.2500416161499861</v>
      </c>
      <c r="V97" s="40">
        <f t="shared" si="27"/>
        <v>-3.6822563773315307</v>
      </c>
    </row>
    <row r="98" spans="1:22" x14ac:dyDescent="0.25">
      <c r="A98" s="22">
        <v>89</v>
      </c>
      <c r="B98" s="22" cm="1">
        <f t="array" ref="B98">KCASConv($K$4,A98,2)</f>
        <v>88.91693115234375</v>
      </c>
      <c r="C98" s="33" cm="1">
        <f t="array" ref="C98">KCASConv($K$4,A98,1)</f>
        <v>99.493019104003906</v>
      </c>
      <c r="D98" s="33">
        <f t="shared" si="28"/>
        <v>51.1795365761337</v>
      </c>
      <c r="E98" s="33">
        <f t="shared" si="29"/>
        <v>184.24633167408132</v>
      </c>
      <c r="F98" s="32" cm="1">
        <f t="array" ref="F98">KCASConv($K$4,A98,0)</f>
        <v>0.15612353384494781</v>
      </c>
      <c r="G98" s="32">
        <f t="shared" si="30"/>
        <v>1190.6285565867702</v>
      </c>
      <c r="H98" s="32">
        <f t="shared" si="31"/>
        <v>0.51930262091222934</v>
      </c>
      <c r="I98" s="32">
        <f t="shared" si="23"/>
        <v>3.4353099781536631</v>
      </c>
      <c r="J98" s="38">
        <f t="shared" si="24"/>
        <v>0.03</v>
      </c>
      <c r="K98" s="39">
        <f t="shared" si="25"/>
        <v>3.8233444848233154E-3</v>
      </c>
      <c r="L98" s="31">
        <f t="shared" si="32"/>
        <v>3.3823344484823312E-2</v>
      </c>
      <c r="M98" s="31">
        <f t="shared" si="33"/>
        <v>15.353378822287748</v>
      </c>
      <c r="N98" s="40">
        <f t="shared" si="34"/>
        <v>11.064052372637093</v>
      </c>
      <c r="O98" s="40">
        <f t="shared" si="35"/>
        <v>21.305597020098801</v>
      </c>
      <c r="P98" s="42">
        <f t="shared" si="36"/>
        <v>382.97758871580061</v>
      </c>
      <c r="Q98" s="41">
        <f t="shared" si="37"/>
        <v>19.600615509519805</v>
      </c>
      <c r="R98" s="20">
        <f t="shared" si="38"/>
        <v>44.28</v>
      </c>
      <c r="S98" s="20">
        <f t="shared" si="39"/>
        <v>133.2453947791401</v>
      </c>
      <c r="T98" s="20">
        <f t="shared" si="40"/>
        <v>82.965568294263718</v>
      </c>
      <c r="U98" s="41">
        <f t="shared" si="26"/>
        <v>-3.333438011823096</v>
      </c>
      <c r="V98" s="40">
        <f t="shared" si="27"/>
        <v>-3.7344461970740301</v>
      </c>
    </row>
    <row r="99" spans="1:22" x14ac:dyDescent="0.25">
      <c r="A99" s="22">
        <v>90</v>
      </c>
      <c r="B99" s="22" cm="1">
        <f t="array" ref="B99">KCASConv($K$4,A99,2)</f>
        <v>89.914108276367188</v>
      </c>
      <c r="C99" s="33" cm="1">
        <f t="array" ref="C99">KCASConv($K$4,A99,1)</f>
        <v>100.60914611816406</v>
      </c>
      <c r="D99" s="33">
        <f t="shared" si="28"/>
        <v>51.753675986709908</v>
      </c>
      <c r="E99" s="33">
        <f t="shared" si="29"/>
        <v>186.31323355215568</v>
      </c>
      <c r="F99" s="32" cm="1">
        <f t="array" ref="F99">KCASConv($K$4,A99,0)</f>
        <v>0.15787495672702789</v>
      </c>
      <c r="G99" s="32">
        <f t="shared" si="30"/>
        <v>1217.4916784957284</v>
      </c>
      <c r="H99" s="32">
        <f t="shared" si="31"/>
        <v>0.50784456344900075</v>
      </c>
      <c r="I99" s="32">
        <f t="shared" si="23"/>
        <v>3.3120351393150957</v>
      </c>
      <c r="J99" s="38">
        <f t="shared" si="24"/>
        <v>0.03</v>
      </c>
      <c r="K99" s="39">
        <f t="shared" si="25"/>
        <v>3.5538692022881418E-3</v>
      </c>
      <c r="L99" s="31">
        <f t="shared" si="32"/>
        <v>3.3553869202288138E-2</v>
      </c>
      <c r="M99" s="31">
        <f t="shared" si="33"/>
        <v>15.135201260615551</v>
      </c>
      <c r="N99" s="40">
        <f t="shared" si="34"/>
        <v>10.785830826388668</v>
      </c>
      <c r="O99" s="40">
        <f t="shared" si="35"/>
        <v>21.2384489323608</v>
      </c>
      <c r="P99" s="42">
        <f t="shared" si="36"/>
        <v>388.49830264899032</v>
      </c>
      <c r="Q99" s="41">
        <f t="shared" si="37"/>
        <v>20.106215276682608</v>
      </c>
      <c r="R99" s="20">
        <f t="shared" si="38"/>
        <v>44.28</v>
      </c>
      <c r="S99" s="20">
        <f t="shared" si="39"/>
        <v>131.35192522605641</v>
      </c>
      <c r="T99" s="20">
        <f t="shared" si="40"/>
        <v>85.105673128815255</v>
      </c>
      <c r="U99" s="41">
        <f t="shared" si="26"/>
        <v>-3.4194243667827564</v>
      </c>
      <c r="V99" s="40">
        <f t="shared" si="27"/>
        <v>-3.7883571606254756</v>
      </c>
    </row>
    <row r="100" spans="1:22" x14ac:dyDescent="0.25">
      <c r="A100" s="22">
        <v>91</v>
      </c>
      <c r="B100" s="22" cm="1">
        <f t="array" ref="B100">KCASConv($K$4,A100,2)</f>
        <v>90.911231994628906</v>
      </c>
      <c r="C100" s="33" cm="1">
        <f t="array" ref="C100">KCASConv($K$4,A100,1)</f>
        <v>101.72522735595703</v>
      </c>
      <c r="D100" s="33">
        <f t="shared" si="28"/>
        <v>52.32779184977214</v>
      </c>
      <c r="E100" s="33">
        <f t="shared" si="29"/>
        <v>188.38005065917972</v>
      </c>
      <c r="F100" s="32" cm="1">
        <f t="array" ref="F100">KCASConv($K$4,A100,0)</f>
        <v>0.15962629020214081</v>
      </c>
      <c r="G100" s="32">
        <f t="shared" si="30"/>
        <v>1244.6533536954873</v>
      </c>
      <c r="H100" s="32">
        <f t="shared" si="31"/>
        <v>0.49676203268378016</v>
      </c>
      <c r="I100" s="32">
        <f t="shared" si="23"/>
        <v>3.1928005135165733</v>
      </c>
      <c r="J100" s="38">
        <f t="shared" si="24"/>
        <v>0.03</v>
      </c>
      <c r="K100" s="39">
        <f t="shared" si="25"/>
        <v>3.3025936190541616E-3</v>
      </c>
      <c r="L100" s="31">
        <f t="shared" si="32"/>
        <v>3.330259361905416E-2</v>
      </c>
      <c r="M100" s="31">
        <f t="shared" si="33"/>
        <v>14.916616956811332</v>
      </c>
      <c r="N100" s="40">
        <f t="shared" si="34"/>
        <v>10.513432612915002</v>
      </c>
      <c r="O100" s="40">
        <f t="shared" si="35"/>
        <v>21.163921397365435</v>
      </c>
      <c r="P100" s="42">
        <f t="shared" si="36"/>
        <v>394.19125777812729</v>
      </c>
      <c r="Q100" s="41">
        <f t="shared" si="37"/>
        <v>20.627158086013718</v>
      </c>
      <c r="R100" s="20">
        <f t="shared" si="38"/>
        <v>44.28</v>
      </c>
      <c r="S100" s="20">
        <f t="shared" si="39"/>
        <v>129.45492573232693</v>
      </c>
      <c r="T100" s="20">
        <f t="shared" si="40"/>
        <v>87.31072205720092</v>
      </c>
      <c r="U100" s="41">
        <f t="shared" si="26"/>
        <v>-3.5080200826553942</v>
      </c>
      <c r="V100" s="40">
        <f t="shared" si="27"/>
        <v>-3.8439536150883287</v>
      </c>
    </row>
    <row r="101" spans="1:22" x14ac:dyDescent="0.25">
      <c r="A101" s="22">
        <v>92</v>
      </c>
      <c r="B101" s="22" cm="1">
        <f t="array" ref="B101">KCASConv($K$4,A101,2)</f>
        <v>91.908287048339844</v>
      </c>
      <c r="C101" s="33" cm="1">
        <f t="array" ref="C101">KCASConv($K$4,A101,1)</f>
        <v>102.84123992919922</v>
      </c>
      <c r="D101" s="33">
        <f t="shared" si="28"/>
        <v>52.901872391563387</v>
      </c>
      <c r="E101" s="33">
        <f t="shared" si="29"/>
        <v>190.44674060962819</v>
      </c>
      <c r="F101" s="32" cm="1">
        <f t="array" ref="F101">KCASConv($K$4,A101,0)</f>
        <v>0.16137753427028656</v>
      </c>
      <c r="G101" s="32">
        <f t="shared" si="30"/>
        <v>1272.1129790765442</v>
      </c>
      <c r="H101" s="32">
        <f t="shared" si="31"/>
        <v>0.48603900764953267</v>
      </c>
      <c r="I101" s="32">
        <f t="shared" si="23"/>
        <v>3.0774337345314806</v>
      </c>
      <c r="J101" s="38">
        <f t="shared" si="24"/>
        <v>0.03</v>
      </c>
      <c r="K101" s="39">
        <f t="shared" si="25"/>
        <v>3.0682376057822001E-3</v>
      </c>
      <c r="L101" s="31">
        <f t="shared" si="32"/>
        <v>3.3068237605782203E-2</v>
      </c>
      <c r="M101" s="31">
        <f t="shared" si="33"/>
        <v>14.698062032932336</v>
      </c>
      <c r="N101" s="40">
        <f t="shared" si="34"/>
        <v>10.246974105425156</v>
      </c>
      <c r="O101" s="40">
        <f t="shared" si="35"/>
        <v>21.082616712142421</v>
      </c>
      <c r="P101" s="42">
        <f t="shared" si="36"/>
        <v>400.05274075080979</v>
      </c>
      <c r="Q101" s="41">
        <f t="shared" si="37"/>
        <v>21.163539041094531</v>
      </c>
      <c r="R101" s="20">
        <f t="shared" si="38"/>
        <v>44.28</v>
      </c>
      <c r="S101" s="20">
        <f t="shared" si="39"/>
        <v>127.55818121437707</v>
      </c>
      <c r="T101" s="20">
        <f t="shared" si="40"/>
        <v>89.58111763426254</v>
      </c>
      <c r="U101" s="41">
        <f t="shared" si="26"/>
        <v>-3.5992413335194779</v>
      </c>
      <c r="V101" s="40">
        <f t="shared" si="27"/>
        <v>-3.901199672586356</v>
      </c>
    </row>
    <row r="102" spans="1:22" x14ac:dyDescent="0.25">
      <c r="A102" s="22">
        <v>93</v>
      </c>
      <c r="B102" s="22" cm="1">
        <f t="array" ref="B102">KCASConv($K$4,A102,2)</f>
        <v>92.905281066894531</v>
      </c>
      <c r="C102" s="33" cm="1">
        <f t="array" ref="C102">KCASConv($K$4,A102,1)</f>
        <v>103.95719909667969</v>
      </c>
      <c r="D102" s="33">
        <f t="shared" si="28"/>
        <v>53.475925461254988</v>
      </c>
      <c r="E102" s="33">
        <f t="shared" si="29"/>
        <v>192.51333166051796</v>
      </c>
      <c r="F102" s="32" cm="1">
        <f t="array" ref="F102">KCASConv($K$4,A102,0)</f>
        <v>0.16312868893146515</v>
      </c>
      <c r="G102" s="32">
        <f t="shared" si="30"/>
        <v>1299.870880925349</v>
      </c>
      <c r="H102" s="32">
        <f t="shared" si="31"/>
        <v>0.47565995903247166</v>
      </c>
      <c r="I102" s="32">
        <f t="shared" si="23"/>
        <v>2.9657677257274604</v>
      </c>
      <c r="J102" s="38">
        <f t="shared" si="24"/>
        <v>0.03</v>
      </c>
      <c r="K102" s="39">
        <f t="shared" si="25"/>
        <v>2.8496127004736713E-3</v>
      </c>
      <c r="L102" s="31">
        <f t="shared" si="32"/>
        <v>3.2849612700473672E-2</v>
      </c>
      <c r="M102" s="31">
        <f t="shared" si="33"/>
        <v>14.479925939145485</v>
      </c>
      <c r="N102" s="40">
        <f t="shared" si="34"/>
        <v>9.9865306127971483</v>
      </c>
      <c r="O102" s="40">
        <f t="shared" si="35"/>
        <v>20.995104639689465</v>
      </c>
      <c r="P102" s="42">
        <f t="shared" si="36"/>
        <v>406.079425040692</v>
      </c>
      <c r="Q102" s="41">
        <f t="shared" si="37"/>
        <v>21.715473064825328</v>
      </c>
      <c r="R102" s="20">
        <f t="shared" si="38"/>
        <v>44.28</v>
      </c>
      <c r="S102" s="20">
        <f t="shared" si="39"/>
        <v>125.66507154329832</v>
      </c>
      <c r="T102" s="20">
        <f t="shared" si="40"/>
        <v>91.917346306138938</v>
      </c>
      <c r="U102" s="41">
        <f t="shared" si="26"/>
        <v>-3.6931076640859399</v>
      </c>
      <c r="V102" s="40">
        <f t="shared" si="27"/>
        <v>-3.960063233234695</v>
      </c>
    </row>
    <row r="103" spans="1:22" x14ac:dyDescent="0.25">
      <c r="A103" s="22">
        <v>94</v>
      </c>
      <c r="B103" s="22" cm="1">
        <f t="array" ref="B103">KCASConv($K$4,A103,2)</f>
        <v>93.902206420898438</v>
      </c>
      <c r="C103" s="33" cm="1">
        <f t="array" ref="C103">KCASConv($K$4,A103,1)</f>
        <v>105.07309722900391</v>
      </c>
      <c r="D103" s="33">
        <f t="shared" si="28"/>
        <v>54.049947134261267</v>
      </c>
      <c r="E103" s="33">
        <f t="shared" si="29"/>
        <v>194.57980968334056</v>
      </c>
      <c r="F103" s="32" cm="1">
        <f t="array" ref="F103">KCASConv($K$4,A103,0)</f>
        <v>0.16487973928451538</v>
      </c>
      <c r="G103" s="32">
        <f t="shared" si="30"/>
        <v>1327.9268233885061</v>
      </c>
      <c r="H103" s="32">
        <f t="shared" si="31"/>
        <v>0.4656103928910259</v>
      </c>
      <c r="I103" s="32">
        <f t="shared" si="23"/>
        <v>2.8576465498248247</v>
      </c>
      <c r="J103" s="38">
        <f t="shared" si="24"/>
        <v>0.03</v>
      </c>
      <c r="K103" s="39">
        <f t="shared" si="25"/>
        <v>2.6456268632538498E-3</v>
      </c>
      <c r="L103" s="31">
        <f t="shared" si="32"/>
        <v>3.2645626863253847E-2</v>
      </c>
      <c r="M103" s="31">
        <f t="shared" si="33"/>
        <v>14.262565544885287</v>
      </c>
      <c r="N103" s="40">
        <f t="shared" si="34"/>
        <v>9.7321543041255314</v>
      </c>
      <c r="O103" s="40">
        <f t="shared" si="35"/>
        <v>20.901926702489437</v>
      </c>
      <c r="P103" s="42">
        <f t="shared" si="36"/>
        <v>412.26804402722848</v>
      </c>
      <c r="Q103" s="41">
        <f t="shared" si="37"/>
        <v>22.283065984816997</v>
      </c>
      <c r="R103" s="20">
        <f t="shared" si="38"/>
        <v>44.28</v>
      </c>
      <c r="S103" s="20">
        <f t="shared" si="39"/>
        <v>123.77869383596877</v>
      </c>
      <c r="T103" s="20">
        <f t="shared" si="40"/>
        <v>94.319856020389381</v>
      </c>
      <c r="U103" s="41">
        <f t="shared" si="26"/>
        <v>-3.7896370722477886</v>
      </c>
      <c r="V103" s="40">
        <f t="shared" si="27"/>
        <v>-4.0205127927496482</v>
      </c>
    </row>
    <row r="104" spans="1:22" x14ac:dyDescent="0.25">
      <c r="A104" s="22">
        <v>95</v>
      </c>
      <c r="B104" s="22" cm="1">
        <f t="array" ref="B104">KCASConv($K$4,A104,2)</f>
        <v>94.899070739746094</v>
      </c>
      <c r="C104" s="33" cm="1">
        <f t="array" ref="C104">KCASConv($K$4,A104,1)</f>
        <v>106.18893432617188</v>
      </c>
      <c r="D104" s="33">
        <f t="shared" si="28"/>
        <v>54.623937410582244</v>
      </c>
      <c r="E104" s="33">
        <f t="shared" si="29"/>
        <v>196.64617467809609</v>
      </c>
      <c r="F104" s="32" cm="1">
        <f t="array" ref="F104">KCASConv($K$4,A104,0)</f>
        <v>0.16663070023059845</v>
      </c>
      <c r="G104" s="32">
        <f t="shared" si="30"/>
        <v>1356.2807573133664</v>
      </c>
      <c r="H104" s="32">
        <f t="shared" si="31"/>
        <v>0.45587650391297113</v>
      </c>
      <c r="I104" s="32">
        <f t="shared" si="23"/>
        <v>2.752921678362704</v>
      </c>
      <c r="J104" s="38">
        <f t="shared" si="24"/>
        <v>0.03</v>
      </c>
      <c r="K104" s="39">
        <f t="shared" si="25"/>
        <v>2.4552701260309984E-3</v>
      </c>
      <c r="L104" s="31">
        <f t="shared" si="32"/>
        <v>3.2455270126030999E-2</v>
      </c>
      <c r="M104" s="31">
        <f t="shared" si="33"/>
        <v>14.046301329266456</v>
      </c>
      <c r="N104" s="40">
        <f t="shared" si="34"/>
        <v>9.4838698508631012</v>
      </c>
      <c r="O104" s="40">
        <f t="shared" si="35"/>
        <v>20.803594327540985</v>
      </c>
      <c r="P104" s="42">
        <f t="shared" si="36"/>
        <v>418.61553886421382</v>
      </c>
      <c r="Q104" s="41">
        <f t="shared" si="37"/>
        <v>22.866428994015976</v>
      </c>
      <c r="R104" s="20">
        <f t="shared" si="38"/>
        <v>44.28</v>
      </c>
      <c r="S104" s="20">
        <f t="shared" si="39"/>
        <v>121.90182939327676</v>
      </c>
      <c r="T104" s="20">
        <f t="shared" si="40"/>
        <v>96.789117434988242</v>
      </c>
      <c r="U104" s="41">
        <f t="shared" si="26"/>
        <v>-3.8888484683700639</v>
      </c>
      <c r="V104" s="40">
        <f t="shared" si="27"/>
        <v>-4.0825188869330082</v>
      </c>
    </row>
    <row r="105" spans="1:22" x14ac:dyDescent="0.25">
      <c r="A105" s="22">
        <v>96</v>
      </c>
      <c r="B105" s="22" cm="1">
        <f t="array" ref="B105">KCASConv($K$4,A105,2)</f>
        <v>95.895866394042969</v>
      </c>
      <c r="C105" s="33" cm="1">
        <f t="array" ref="C105">KCASConv($K$4,A105,1)</f>
        <v>107.30471038818359</v>
      </c>
      <c r="D105" s="33">
        <f t="shared" si="28"/>
        <v>55.197896290217898</v>
      </c>
      <c r="E105" s="33">
        <f t="shared" si="29"/>
        <v>198.71242664478444</v>
      </c>
      <c r="F105" s="32" cm="1">
        <f t="array" ref="F105">KCASConv($K$4,A105,0)</f>
        <v>0.16838157176971436</v>
      </c>
      <c r="G105" s="32">
        <f t="shared" si="30"/>
        <v>1384.9326335499672</v>
      </c>
      <c r="H105" s="32">
        <f t="shared" si="31"/>
        <v>0.44644520245261926</v>
      </c>
      <c r="I105" s="32">
        <f t="shared" si="23"/>
        <v>2.6514522825865003</v>
      </c>
      <c r="J105" s="38">
        <f t="shared" si="24"/>
        <v>0.03</v>
      </c>
      <c r="K105" s="39">
        <f t="shared" si="25"/>
        <v>2.2776091534339599E-3</v>
      </c>
      <c r="L105" s="31">
        <f t="shared" si="32"/>
        <v>3.2277609153433959E-2</v>
      </c>
      <c r="M105" s="31">
        <f t="shared" si="33"/>
        <v>13.831421042692771</v>
      </c>
      <c r="N105" s="40">
        <f t="shared" si="34"/>
        <v>9.2416790508166642</v>
      </c>
      <c r="O105" s="40">
        <f t="shared" si="35"/>
        <v>20.700589904530275</v>
      </c>
      <c r="P105" s="42">
        <f t="shared" si="36"/>
        <v>425.11900851333291</v>
      </c>
      <c r="Q105" s="41">
        <f t="shared" si="37"/>
        <v>23.465674942919211</v>
      </c>
      <c r="R105" s="20">
        <f t="shared" si="38"/>
        <v>44.28</v>
      </c>
      <c r="S105" s="20">
        <f t="shared" si="39"/>
        <v>120.03697547765513</v>
      </c>
      <c r="T105" s="20">
        <f t="shared" si="40"/>
        <v>99.325608223996653</v>
      </c>
      <c r="U105" s="41">
        <f t="shared" si="26"/>
        <v>-3.9907610447141515</v>
      </c>
      <c r="V105" s="40">
        <f t="shared" si="27"/>
        <v>-4.1460536040525193</v>
      </c>
    </row>
    <row r="106" spans="1:22" x14ac:dyDescent="0.25">
      <c r="A106" s="22">
        <v>97</v>
      </c>
      <c r="B106" s="22" cm="1">
        <f t="array" ref="B106">KCASConv($K$4,A106,2)</f>
        <v>96.892601013183594</v>
      </c>
      <c r="C106" s="33" cm="1">
        <f t="array" ref="C106">KCASConv($K$4,A106,1)</f>
        <v>108.42042541503906</v>
      </c>
      <c r="D106" s="33">
        <f t="shared" si="28"/>
        <v>55.771823773168244</v>
      </c>
      <c r="E106" s="33">
        <f t="shared" si="29"/>
        <v>200.77856558340568</v>
      </c>
      <c r="F106" s="32" cm="1">
        <f t="array" ref="F106">KCASConv($K$4,A106,0)</f>
        <v>0.1701323390007019</v>
      </c>
      <c r="G106" s="32">
        <f t="shared" si="30"/>
        <v>1413.8824029510367</v>
      </c>
      <c r="H106" s="32">
        <f t="shared" si="31"/>
        <v>0.43730407046438508</v>
      </c>
      <c r="I106" s="32">
        <f t="shared" si="23"/>
        <v>2.5531047593463683</v>
      </c>
      <c r="J106" s="38">
        <f t="shared" si="24"/>
        <v>0.03</v>
      </c>
      <c r="K106" s="39">
        <f t="shared" si="25"/>
        <v>2.1117808077501491E-3</v>
      </c>
      <c r="L106" s="31">
        <f t="shared" si="32"/>
        <v>3.2111780807750151E-2</v>
      </c>
      <c r="M106" s="31">
        <f t="shared" si="33"/>
        <v>13.618181846795682</v>
      </c>
      <c r="N106" s="40">
        <f t="shared" si="34"/>
        <v>9.0055634203269932</v>
      </c>
      <c r="O106" s="40">
        <f t="shared" si="35"/>
        <v>20.593367472577469</v>
      </c>
      <c r="P106" s="42">
        <f t="shared" si="36"/>
        <v>431.77570002735325</v>
      </c>
      <c r="Q106" s="41">
        <f t="shared" si="37"/>
        <v>24.080918251461899</v>
      </c>
      <c r="R106" s="20">
        <f t="shared" si="38"/>
        <v>44.28</v>
      </c>
      <c r="S106" s="20">
        <f t="shared" si="39"/>
        <v>118.1863638846911</v>
      </c>
      <c r="T106" s="20">
        <f t="shared" si="40"/>
        <v>101.92981270460064</v>
      </c>
      <c r="U106" s="41">
        <f t="shared" si="26"/>
        <v>-4.0953942604527036</v>
      </c>
      <c r="V106" s="40">
        <f t="shared" si="27"/>
        <v>-4.2110904903120794</v>
      </c>
    </row>
    <row r="107" spans="1:22" x14ac:dyDescent="0.25">
      <c r="A107" s="22">
        <v>98</v>
      </c>
      <c r="B107" s="22" cm="1">
        <f t="array" ref="B107">KCASConv($K$4,A107,2)</f>
        <v>97.889259338378906</v>
      </c>
      <c r="C107" s="33" cm="1">
        <f t="array" ref="C107">KCASConv($K$4,A107,1)</f>
        <v>109.53607177734375</v>
      </c>
      <c r="D107" s="33">
        <f t="shared" si="28"/>
        <v>56.345715934847611</v>
      </c>
      <c r="E107" s="33">
        <f t="shared" si="29"/>
        <v>202.84457736545141</v>
      </c>
      <c r="F107" s="32" cm="1">
        <f t="array" ref="F107">KCASConv($K$4,A107,0)</f>
        <v>0.1718830019235611</v>
      </c>
      <c r="G107" s="32">
        <f t="shared" si="30"/>
        <v>1443.1298153385414</v>
      </c>
      <c r="H107" s="32">
        <f t="shared" si="31"/>
        <v>0.42844138025338291</v>
      </c>
      <c r="I107" s="32">
        <f t="shared" si="23"/>
        <v>2.4577529328309526</v>
      </c>
      <c r="J107" s="38">
        <f t="shared" si="24"/>
        <v>0.03</v>
      </c>
      <c r="K107" s="39">
        <f t="shared" si="25"/>
        <v>1.9569873313692687E-3</v>
      </c>
      <c r="L107" s="31">
        <f t="shared" si="32"/>
        <v>3.1956987331369265E-2</v>
      </c>
      <c r="M107" s="31">
        <f t="shared" si="33"/>
        <v>13.406813846711421</v>
      </c>
      <c r="N107" s="40">
        <f t="shared" si="34"/>
        <v>8.7754881504358337</v>
      </c>
      <c r="O107" s="40">
        <f t="shared" si="35"/>
        <v>20.482354307714058</v>
      </c>
      <c r="P107" s="42">
        <f t="shared" si="36"/>
        <v>438.58295246206575</v>
      </c>
      <c r="Q107" s="41">
        <f t="shared" si="37"/>
        <v>24.71227045329433</v>
      </c>
      <c r="R107" s="20">
        <f t="shared" si="38"/>
        <v>44.28</v>
      </c>
      <c r="S107" s="20">
        <f t="shared" si="39"/>
        <v>116.35199159824556</v>
      </c>
      <c r="T107" s="20">
        <f t="shared" si="40"/>
        <v>104.60220297690721</v>
      </c>
      <c r="U107" s="41">
        <f t="shared" si="26"/>
        <v>-4.202767083893594</v>
      </c>
      <c r="V107" s="40">
        <f t="shared" si="27"/>
        <v>-4.2776040022111728</v>
      </c>
    </row>
    <row r="108" spans="1:22" x14ac:dyDescent="0.25">
      <c r="A108" s="22">
        <v>99</v>
      </c>
      <c r="B108" s="22" cm="1">
        <f t="array" ref="B108">KCASConv($K$4,A108,2)</f>
        <v>98.885856628417969</v>
      </c>
      <c r="C108" s="33" cm="1">
        <f t="array" ref="C108">KCASConv($K$4,A108,1)</f>
        <v>110.65166473388672</v>
      </c>
      <c r="D108" s="33">
        <f t="shared" si="28"/>
        <v>56.919580624427326</v>
      </c>
      <c r="E108" s="33">
        <f t="shared" si="29"/>
        <v>204.91049024793838</v>
      </c>
      <c r="F108" s="32" cm="1">
        <f t="array" ref="F108">KCASConv($K$4,A108,0)</f>
        <v>0.17363357543945313</v>
      </c>
      <c r="G108" s="32">
        <f t="shared" si="30"/>
        <v>1472.6752215900144</v>
      </c>
      <c r="H108" s="32">
        <f t="shared" si="31"/>
        <v>0.4198458159029072</v>
      </c>
      <c r="I108" s="32">
        <f t="shared" si="23"/>
        <v>2.3652750574640353</v>
      </c>
      <c r="J108" s="38">
        <f t="shared" si="24"/>
        <v>0.03</v>
      </c>
      <c r="K108" s="39">
        <f t="shared" si="25"/>
        <v>1.8124868832050244E-3</v>
      </c>
      <c r="L108" s="31">
        <f t="shared" si="32"/>
        <v>3.1812486883205024E-2</v>
      </c>
      <c r="M108" s="31">
        <f t="shared" si="33"/>
        <v>13.197516354012524</v>
      </c>
      <c r="N108" s="40">
        <f t="shared" si="34"/>
        <v>8.5513980725734715</v>
      </c>
      <c r="O108" s="40">
        <f t="shared" si="35"/>
        <v>20.367948777060228</v>
      </c>
      <c r="P108" s="42">
        <f t="shared" si="36"/>
        <v>445.53837572720772</v>
      </c>
      <c r="Q108" s="41">
        <f t="shared" si="37"/>
        <v>25.359857498481194</v>
      </c>
      <c r="R108" s="20">
        <f t="shared" si="38"/>
        <v>44.28</v>
      </c>
      <c r="S108" s="20">
        <f t="shared" si="39"/>
        <v>114.53558835803727</v>
      </c>
      <c r="T108" s="20">
        <f t="shared" si="40"/>
        <v>107.34331216288335</v>
      </c>
      <c r="U108" s="41">
        <f t="shared" si="26"/>
        <v>-4.3129009351158496</v>
      </c>
      <c r="V108" s="40">
        <f t="shared" si="27"/>
        <v>-4.3455712545459049</v>
      </c>
    </row>
    <row r="109" spans="1:22" x14ac:dyDescent="0.25">
      <c r="A109" s="22">
        <v>100</v>
      </c>
      <c r="B109" s="22" cm="1">
        <f t="array" ref="B109">KCASConv($K$4,A109,2)</f>
        <v>99.88238525390625</v>
      </c>
      <c r="C109" s="33" cm="1">
        <f t="array" ref="C109">KCASConv($K$4,A109,1)</f>
        <v>111.76718902587891</v>
      </c>
      <c r="D109" s="33">
        <f t="shared" si="28"/>
        <v>57.493409992736062</v>
      </c>
      <c r="E109" s="33">
        <f t="shared" si="29"/>
        <v>206.97627597384982</v>
      </c>
      <c r="F109" s="32" cm="1">
        <f t="array" ref="F109">KCASConv($K$4,A109,0)</f>
        <v>0.1753840446472168</v>
      </c>
      <c r="G109" s="32">
        <f t="shared" si="30"/>
        <v>1502.5181684521228</v>
      </c>
      <c r="H109" s="32">
        <f t="shared" si="31"/>
        <v>0.41150685758789612</v>
      </c>
      <c r="I109" s="32">
        <f t="shared" si="23"/>
        <v>2.2755579526525485</v>
      </c>
      <c r="J109" s="38">
        <f t="shared" si="24"/>
        <v>0.03</v>
      </c>
      <c r="K109" s="39">
        <f t="shared" si="25"/>
        <v>1.6775959497044917E-3</v>
      </c>
      <c r="L109" s="31">
        <f t="shared" si="32"/>
        <v>3.1677595949704491E-2</v>
      </c>
      <c r="M109" s="31">
        <f t="shared" si="33"/>
        <v>12.990469928376459</v>
      </c>
      <c r="N109" s="40">
        <f t="shared" si="34"/>
        <v>8.3332306082847136</v>
      </c>
      <c r="O109" s="40">
        <f t="shared" si="35"/>
        <v>20.250526703567196</v>
      </c>
      <c r="P109" s="42">
        <f t="shared" si="36"/>
        <v>452.63951438397874</v>
      </c>
      <c r="Q109" s="41">
        <f t="shared" si="37"/>
        <v>26.023789179391041</v>
      </c>
      <c r="R109" s="20">
        <f t="shared" si="38"/>
        <v>44.28</v>
      </c>
      <c r="S109" s="20">
        <f t="shared" si="39"/>
        <v>112.73872116412427</v>
      </c>
      <c r="T109" s="20">
        <f t="shared" si="40"/>
        <v>110.15360499213141</v>
      </c>
      <c r="U109" s="41">
        <f t="shared" si="26"/>
        <v>-4.4258144862909932</v>
      </c>
      <c r="V109" s="40">
        <f t="shared" si="27"/>
        <v>-4.4149687356953367</v>
      </c>
    </row>
    <row r="110" spans="1:22" x14ac:dyDescent="0.25">
      <c r="A110" s="22">
        <v>101</v>
      </c>
      <c r="B110" s="22" cm="1">
        <f t="array" ref="B110">KCASConv($K$4,A110,2)</f>
        <v>100.87884521484375</v>
      </c>
      <c r="C110" s="33" cm="1">
        <f t="array" ref="C110">KCASConv($K$4,A110,1)</f>
        <v>112.88264465332031</v>
      </c>
      <c r="D110" s="33">
        <f t="shared" si="28"/>
        <v>58.067204039773827</v>
      </c>
      <c r="E110" s="33">
        <f t="shared" si="29"/>
        <v>209.04193454318579</v>
      </c>
      <c r="F110" s="32" cm="1">
        <f t="array" ref="F110">KCASConv($K$4,A110,0)</f>
        <v>0.17713440954685211</v>
      </c>
      <c r="G110" s="32">
        <f t="shared" si="30"/>
        <v>1532.6586006466609</v>
      </c>
      <c r="H110" s="32">
        <f t="shared" si="31"/>
        <v>0.40341438707066396</v>
      </c>
      <c r="I110" s="32">
        <f t="shared" si="23"/>
        <v>2.1884927583978362</v>
      </c>
      <c r="J110" s="38">
        <f t="shared" si="24"/>
        <v>0.03</v>
      </c>
      <c r="K110" s="39">
        <f t="shared" si="25"/>
        <v>1.5516786907776206E-3</v>
      </c>
      <c r="L110" s="31">
        <f t="shared" si="32"/>
        <v>3.1551678690777622E-2</v>
      </c>
      <c r="M110" s="31">
        <f t="shared" si="33"/>
        <v>12.78582959164641</v>
      </c>
      <c r="N110" s="40">
        <f t="shared" si="34"/>
        <v>8.1209082367974315</v>
      </c>
      <c r="O110" s="40">
        <f t="shared" si="35"/>
        <v>20.13043782539896</v>
      </c>
      <c r="P110" s="42">
        <f t="shared" si="36"/>
        <v>459.88412076457547</v>
      </c>
      <c r="Q110" s="41">
        <f t="shared" si="37"/>
        <v>26.704185075088589</v>
      </c>
      <c r="R110" s="20">
        <f t="shared" si="38"/>
        <v>44.28</v>
      </c>
      <c r="S110" s="20">
        <f t="shared" si="39"/>
        <v>110.96273538464564</v>
      </c>
      <c r="T110" s="20">
        <f t="shared" si="40"/>
        <v>113.0335876194226</v>
      </c>
      <c r="U110" s="41">
        <f t="shared" si="26"/>
        <v>-4.541528073994658</v>
      </c>
      <c r="V110" s="40">
        <f t="shared" si="27"/>
        <v>-4.4857749767109896</v>
      </c>
    </row>
    <row r="111" spans="1:22" x14ac:dyDescent="0.25">
      <c r="A111" s="22">
        <v>102</v>
      </c>
      <c r="B111" s="22" cm="1">
        <f t="array" ref="B111">KCASConv($K$4,A111,2)</f>
        <v>101.87522888183594</v>
      </c>
      <c r="C111" s="33" cm="1">
        <f t="array" ref="C111">KCASConv($K$4,A111,1)</f>
        <v>113.99803161621094</v>
      </c>
      <c r="D111" s="33">
        <f t="shared" si="28"/>
        <v>58.640962765540607</v>
      </c>
      <c r="E111" s="33">
        <f t="shared" si="29"/>
        <v>211.1074659559462</v>
      </c>
      <c r="F111" s="32" cm="1">
        <f t="array" ref="F111">KCASConv($K$4,A111,0)</f>
        <v>0.17888467013835907</v>
      </c>
      <c r="G111" s="32">
        <f t="shared" si="30"/>
        <v>1563.0964628988243</v>
      </c>
      <c r="H111" s="32">
        <f t="shared" si="31"/>
        <v>0.39555878005238326</v>
      </c>
      <c r="I111" s="32">
        <f t="shared" si="23"/>
        <v>2.103975928885899</v>
      </c>
      <c r="J111" s="38">
        <f t="shared" si="24"/>
        <v>0.03</v>
      </c>
      <c r="K111" s="39">
        <f t="shared" si="25"/>
        <v>1.4341451280376137E-3</v>
      </c>
      <c r="L111" s="31">
        <f t="shared" si="32"/>
        <v>3.1434145128037612E-2</v>
      </c>
      <c r="M111" s="31">
        <f t="shared" si="33"/>
        <v>12.583729522186545</v>
      </c>
      <c r="N111" s="40">
        <f t="shared" si="34"/>
        <v>7.9143433834929393</v>
      </c>
      <c r="O111" s="40">
        <f t="shared" si="35"/>
        <v>20.008008373483342</v>
      </c>
      <c r="P111" s="42">
        <f t="shared" si="36"/>
        <v>467.27005611753583</v>
      </c>
      <c r="Q111" s="41">
        <f t="shared" si="37"/>
        <v>27.401165962240487</v>
      </c>
      <c r="R111" s="20">
        <f t="shared" si="38"/>
        <v>44.28</v>
      </c>
      <c r="S111" s="20">
        <f t="shared" si="39"/>
        <v>109.20879549611895</v>
      </c>
      <c r="T111" s="20">
        <f t="shared" si="40"/>
        <v>115.98377126874283</v>
      </c>
      <c r="U111" s="41">
        <f t="shared" si="26"/>
        <v>-4.6600622384762733</v>
      </c>
      <c r="V111" s="40">
        <f t="shared" si="27"/>
        <v>-4.557969585866001</v>
      </c>
    </row>
    <row r="112" spans="1:22" x14ac:dyDescent="0.25">
      <c r="A112" s="22">
        <v>103</v>
      </c>
      <c r="B112" s="22" cm="1">
        <f t="array" ref="B112">KCASConv($K$4,A112,2)</f>
        <v>102.87155151367188</v>
      </c>
      <c r="C112" s="33" cm="1">
        <f t="array" ref="C112">KCASConv($K$4,A112,1)</f>
        <v>115.11335754394531</v>
      </c>
      <c r="D112" s="33">
        <f t="shared" si="28"/>
        <v>59.214690094622078</v>
      </c>
      <c r="E112" s="33">
        <f t="shared" si="29"/>
        <v>213.17288434063948</v>
      </c>
      <c r="F112" s="32" cm="1">
        <f t="array" ref="F112">KCASConv($K$4,A112,0)</f>
        <v>0.18063482642173767</v>
      </c>
      <c r="G112" s="32">
        <f t="shared" si="30"/>
        <v>1593.8319112067359</v>
      </c>
      <c r="H112" s="32">
        <f t="shared" si="31"/>
        <v>0.38793082609340163</v>
      </c>
      <c r="I112" s="32">
        <f t="shared" si="23"/>
        <v>2.0219083709268637</v>
      </c>
      <c r="J112" s="38">
        <f t="shared" si="24"/>
        <v>0.03</v>
      </c>
      <c r="K112" s="39">
        <f t="shared" si="25"/>
        <v>1.3244467708238481E-3</v>
      </c>
      <c r="L112" s="31">
        <f t="shared" si="32"/>
        <v>3.1324446770823848E-2</v>
      </c>
      <c r="M112" s="31">
        <f t="shared" si="33"/>
        <v>12.384283397934656</v>
      </c>
      <c r="N112" s="40">
        <f t="shared" si="34"/>
        <v>7.7134386089374996</v>
      </c>
      <c r="O112" s="40">
        <f t="shared" si="35"/>
        <v>19.88354131744185</v>
      </c>
      <c r="P112" s="42">
        <f t="shared" si="36"/>
        <v>474.79533623888284</v>
      </c>
      <c r="Q112" s="41">
        <f t="shared" si="37"/>
        <v>28.114858693757334</v>
      </c>
      <c r="R112" s="20">
        <f t="shared" si="38"/>
        <v>44.28</v>
      </c>
      <c r="S112" s="20">
        <f t="shared" si="39"/>
        <v>107.4778880606472</v>
      </c>
      <c r="T112" s="20">
        <f t="shared" si="40"/>
        <v>119.00469288362893</v>
      </c>
      <c r="U112" s="41">
        <f t="shared" si="26"/>
        <v>-4.7814385533600907</v>
      </c>
      <c r="V112" s="40">
        <f t="shared" si="27"/>
        <v>-4.6315336952000479</v>
      </c>
    </row>
    <row r="113" spans="1:22" x14ac:dyDescent="0.25">
      <c r="A113" s="22">
        <v>104</v>
      </c>
      <c r="B113" s="22" cm="1">
        <f t="array" ref="B113">KCASConv($K$4,A113,2)</f>
        <v>103.8677978515625</v>
      </c>
      <c r="C113" s="33" cm="1">
        <f t="array" ref="C113">KCASConv($K$4,A113,1)</f>
        <v>116.22862243652344</v>
      </c>
      <c r="D113" s="33">
        <f t="shared" si="28"/>
        <v>59.788386027018234</v>
      </c>
      <c r="E113" s="33">
        <f t="shared" si="29"/>
        <v>215.23818969726565</v>
      </c>
      <c r="F113" s="32" cm="1">
        <f t="array" ref="F113">KCASConv($K$4,A113,0)</f>
        <v>0.18238489329814911</v>
      </c>
      <c r="G113" s="32">
        <f t="shared" si="30"/>
        <v>1624.8648964429492</v>
      </c>
      <c r="H113" s="32">
        <f t="shared" si="31"/>
        <v>0.3805218091190164</v>
      </c>
      <c r="I113" s="32">
        <f t="shared" si="23"/>
        <v>1.9421963100997404</v>
      </c>
      <c r="J113" s="38">
        <f t="shared" si="24"/>
        <v>0.03</v>
      </c>
      <c r="K113" s="39">
        <f t="shared" si="25"/>
        <v>1.2220748811532711E-3</v>
      </c>
      <c r="L113" s="31">
        <f t="shared" si="32"/>
        <v>3.1222074881153271E-2</v>
      </c>
      <c r="M113" s="31">
        <f t="shared" si="33"/>
        <v>12.187588767481708</v>
      </c>
      <c r="N113" s="40">
        <f t="shared" si="34"/>
        <v>7.5180908291178365</v>
      </c>
      <c r="O113" s="40">
        <f t="shared" si="35"/>
        <v>19.757319157405746</v>
      </c>
      <c r="P113" s="42">
        <f t="shared" si="36"/>
        <v>482.45802448542656</v>
      </c>
      <c r="Q113" s="41">
        <f t="shared" si="37"/>
        <v>28.845386609767299</v>
      </c>
      <c r="R113" s="20">
        <f t="shared" si="38"/>
        <v>44.28</v>
      </c>
      <c r="S113" s="20">
        <f t="shared" si="39"/>
        <v>105.77085966064485</v>
      </c>
      <c r="T113" s="20">
        <f t="shared" si="40"/>
        <v>122.09687453869755</v>
      </c>
      <c r="U113" s="41">
        <f t="shared" si="26"/>
        <v>-4.905677994858384</v>
      </c>
      <c r="V113" s="40">
        <f t="shared" si="27"/>
        <v>-4.7064489152206486</v>
      </c>
    </row>
    <row r="114" spans="1:22" x14ac:dyDescent="0.25">
      <c r="A114" s="22">
        <v>105</v>
      </c>
      <c r="B114" s="22" cm="1">
        <f t="array" ref="B114">KCASConv($K$4,A114,2)</f>
        <v>104.86397552490234</v>
      </c>
      <c r="C114" s="33" cm="1">
        <f t="array" ref="C114">KCASConv($K$4,A114,1)</f>
        <v>117.34381866455078</v>
      </c>
      <c r="D114" s="33">
        <f t="shared" si="28"/>
        <v>60.362046638143404</v>
      </c>
      <c r="E114" s="33">
        <f t="shared" si="29"/>
        <v>217.30336789731626</v>
      </c>
      <c r="F114" s="32" cm="1">
        <f t="array" ref="F114">KCASConv($K$4,A114,0)</f>
        <v>0.184134840965271</v>
      </c>
      <c r="G114" s="32">
        <f t="shared" si="30"/>
        <v>1656.1951541195663</v>
      </c>
      <c r="H114" s="32">
        <f t="shared" si="31"/>
        <v>0.37332347485169454</v>
      </c>
      <c r="I114" s="32">
        <f t="shared" si="23"/>
        <v>1.8647509403625038</v>
      </c>
      <c r="J114" s="38">
        <f t="shared" si="24"/>
        <v>0.03</v>
      </c>
      <c r="K114" s="39">
        <f t="shared" si="25"/>
        <v>1.1265571748783256E-3</v>
      </c>
      <c r="L114" s="31">
        <f t="shared" si="32"/>
        <v>3.1126557174878326E-2</v>
      </c>
      <c r="M114" s="31">
        <f t="shared" si="33"/>
        <v>11.993728466474829</v>
      </c>
      <c r="N114" s="40">
        <f t="shared" si="34"/>
        <v>7.3281923832370905</v>
      </c>
      <c r="O114" s="40">
        <f t="shared" si="35"/>
        <v>19.629605092870918</v>
      </c>
      <c r="P114" s="42">
        <f t="shared" si="36"/>
        <v>490.25622152743603</v>
      </c>
      <c r="Q114" s="41">
        <f t="shared" si="37"/>
        <v>29.592868908479058</v>
      </c>
      <c r="R114" s="20">
        <f t="shared" si="38"/>
        <v>44.28</v>
      </c>
      <c r="S114" s="20">
        <f t="shared" si="39"/>
        <v>104.08842919119228</v>
      </c>
      <c r="T114" s="20">
        <f t="shared" si="40"/>
        <v>125.26082077663094</v>
      </c>
      <c r="U114" s="41">
        <f t="shared" si="26"/>
        <v>-5.0328008347753501</v>
      </c>
      <c r="V114" s="40">
        <f t="shared" si="27"/>
        <v>-4.7826972349148669</v>
      </c>
    </row>
    <row r="115" spans="1:22" x14ac:dyDescent="0.25">
      <c r="A115" s="22">
        <v>106</v>
      </c>
      <c r="B115" s="22" cm="1">
        <f t="array" ref="B115">KCASConv($K$4,A115,2)</f>
        <v>105.86007690429688</v>
      </c>
      <c r="C115" s="33" cm="1">
        <f t="array" ref="C115">KCASConv($K$4,A115,1)</f>
        <v>118.45893859863281</v>
      </c>
      <c r="D115" s="33">
        <f t="shared" si="28"/>
        <v>60.935668003411941</v>
      </c>
      <c r="E115" s="33">
        <f t="shared" si="29"/>
        <v>219.36840481228299</v>
      </c>
      <c r="F115" s="32" cm="1">
        <f t="array" ref="F115">KCASConv($K$4,A115,0)</f>
        <v>0.18588468432426453</v>
      </c>
      <c r="G115" s="32">
        <f t="shared" si="30"/>
        <v>1687.8224115648989</v>
      </c>
      <c r="H115" s="32">
        <f t="shared" si="31"/>
        <v>0.36632795354055531</v>
      </c>
      <c r="I115" s="32">
        <f t="shared" si="23"/>
        <v>1.7894875927147904</v>
      </c>
      <c r="J115" s="38">
        <f t="shared" si="24"/>
        <v>0.03</v>
      </c>
      <c r="K115" s="39">
        <f t="shared" si="25"/>
        <v>1.0374542434057746E-3</v>
      </c>
      <c r="L115" s="31">
        <f t="shared" si="32"/>
        <v>3.1037454243405774E-2</v>
      </c>
      <c r="M115" s="31">
        <f t="shared" si="33"/>
        <v>11.802770635365027</v>
      </c>
      <c r="N115" s="40">
        <f t="shared" si="34"/>
        <v>7.1436307398268859</v>
      </c>
      <c r="O115" s="40">
        <f t="shared" si="35"/>
        <v>19.500643264549645</v>
      </c>
      <c r="P115" s="42">
        <f t="shared" si="36"/>
        <v>498.18811037313259</v>
      </c>
      <c r="Q115" s="41">
        <f t="shared" si="37"/>
        <v>30.357425296944353</v>
      </c>
      <c r="R115" s="20">
        <f t="shared" si="38"/>
        <v>44.28</v>
      </c>
      <c r="S115" s="20">
        <f t="shared" si="39"/>
        <v>102.43118801406078</v>
      </c>
      <c r="T115" s="20">
        <f t="shared" si="40"/>
        <v>128.49703829394434</v>
      </c>
      <c r="U115" s="41">
        <f t="shared" si="26"/>
        <v>-5.1628274314531213</v>
      </c>
      <c r="V115" s="40">
        <f t="shared" si="27"/>
        <v>-4.8602614622229057</v>
      </c>
    </row>
    <row r="116" spans="1:22" x14ac:dyDescent="0.25">
      <c r="A116" s="22">
        <v>107</v>
      </c>
      <c r="B116" s="22" cm="1">
        <f t="array" ref="B116">KCASConv($K$4,A116,2)</f>
        <v>106.85610961914063</v>
      </c>
      <c r="C116" s="33" cm="1">
        <f t="array" ref="C116">KCASConv($K$4,A116,1)</f>
        <v>119.57399749755859</v>
      </c>
      <c r="D116" s="33">
        <f t="shared" si="28"/>
        <v>61.509257971995162</v>
      </c>
      <c r="E116" s="33">
        <f t="shared" si="29"/>
        <v>221.4333286991826</v>
      </c>
      <c r="F116" s="32" cm="1">
        <f t="array" ref="F116">KCASConv($K$4,A116,0)</f>
        <v>0.1876344233751297</v>
      </c>
      <c r="G116" s="32">
        <f t="shared" si="30"/>
        <v>1719.7470462933918</v>
      </c>
      <c r="H116" s="32">
        <f t="shared" si="31"/>
        <v>0.35952760105102799</v>
      </c>
      <c r="I116" s="32">
        <f t="shared" si="23"/>
        <v>1.71632402551483</v>
      </c>
      <c r="J116" s="38">
        <f t="shared" si="24"/>
        <v>0.03</v>
      </c>
      <c r="K116" s="39">
        <f t="shared" si="25"/>
        <v>9.543553929258809E-4</v>
      </c>
      <c r="L116" s="31">
        <f t="shared" si="32"/>
        <v>3.0954355392925879E-2</v>
      </c>
      <c r="M116" s="31">
        <f t="shared" si="33"/>
        <v>11.614766209384294</v>
      </c>
      <c r="N116" s="40">
        <f t="shared" si="34"/>
        <v>6.9642858885437997</v>
      </c>
      <c r="O116" s="40">
        <f t="shared" si="35"/>
        <v>19.370657129479618</v>
      </c>
      <c r="P116" s="42">
        <f t="shared" si="36"/>
        <v>506.25211855312091</v>
      </c>
      <c r="Q116" s="41">
        <f t="shared" si="37"/>
        <v>31.139192158952991</v>
      </c>
      <c r="R116" s="20">
        <f t="shared" si="38"/>
        <v>44.28</v>
      </c>
      <c r="S116" s="20">
        <f t="shared" si="39"/>
        <v>100.79957817429941</v>
      </c>
      <c r="T116" s="20">
        <f t="shared" si="40"/>
        <v>131.80610437652058</v>
      </c>
      <c r="U116" s="41">
        <f t="shared" si="26"/>
        <v>-5.2957809794137738</v>
      </c>
      <c r="V116" s="40">
        <f t="shared" si="27"/>
        <v>-4.9391268107091992</v>
      </c>
    </row>
    <row r="117" spans="1:22" x14ac:dyDescent="0.25">
      <c r="A117" s="22">
        <v>108</v>
      </c>
      <c r="B117" s="22" cm="1">
        <f t="array" ref="B117">KCASConv($K$4,A117,2)</f>
        <v>107.85206604003906</v>
      </c>
      <c r="C117" s="33" cm="1">
        <f t="array" ref="C117">KCASConv($K$4,A117,1)</f>
        <v>120.68898773193359</v>
      </c>
      <c r="D117" s="33">
        <f t="shared" si="28"/>
        <v>62.082812619307404</v>
      </c>
      <c r="E117" s="33">
        <f t="shared" si="29"/>
        <v>223.49812542950667</v>
      </c>
      <c r="F117" s="32" cm="1">
        <f t="array" ref="F117">KCASConv($K$4,A117,0)</f>
        <v>0.18938405811786652</v>
      </c>
      <c r="G117" s="32">
        <f t="shared" si="30"/>
        <v>1751.9687876867747</v>
      </c>
      <c r="H117" s="32">
        <f t="shared" si="31"/>
        <v>0.35291526556521979</v>
      </c>
      <c r="I117" s="32">
        <f t="shared" si="23"/>
        <v>1.6451832938528104</v>
      </c>
      <c r="J117" s="38">
        <f t="shared" si="24"/>
        <v>0.03</v>
      </c>
      <c r="K117" s="39">
        <f t="shared" si="25"/>
        <v>8.7687996977803598E-4</v>
      </c>
      <c r="L117" s="31">
        <f t="shared" si="32"/>
        <v>3.0876879969778035E-2</v>
      </c>
      <c r="M117" s="31">
        <f t="shared" si="33"/>
        <v>11.429757990789534</v>
      </c>
      <c r="N117" s="40">
        <f t="shared" si="34"/>
        <v>6.7900388183725129</v>
      </c>
      <c r="O117" s="40">
        <f t="shared" si="35"/>
        <v>19.239855797956956</v>
      </c>
      <c r="P117" s="42">
        <f t="shared" si="36"/>
        <v>514.4465879976018</v>
      </c>
      <c r="Q117" s="41">
        <f t="shared" si="37"/>
        <v>31.938291125297148</v>
      </c>
      <c r="R117" s="20">
        <f t="shared" si="38"/>
        <v>44.28</v>
      </c>
      <c r="S117" s="20">
        <f t="shared" si="39"/>
        <v>99.193971134352026</v>
      </c>
      <c r="T117" s="20">
        <f t="shared" si="40"/>
        <v>135.18853386369165</v>
      </c>
      <c r="U117" s="41">
        <f t="shared" si="26"/>
        <v>-5.4316821641661823</v>
      </c>
      <c r="V117" s="40">
        <f t="shared" si="27"/>
        <v>-5.0192776718263534</v>
      </c>
    </row>
    <row r="118" spans="1:22" x14ac:dyDescent="0.25">
      <c r="A118" s="22">
        <v>109</v>
      </c>
      <c r="B118" s="22" cm="1">
        <f t="array" ref="B118">KCASConv($K$4,A118,2)</f>
        <v>108.84794616699219</v>
      </c>
      <c r="C118" s="33" cm="1">
        <f t="array" ref="C118">KCASConv($K$4,A118,1)</f>
        <v>121.80390167236328</v>
      </c>
      <c r="D118" s="33">
        <f t="shared" si="28"/>
        <v>62.656328020763006</v>
      </c>
      <c r="E118" s="33">
        <f t="shared" si="29"/>
        <v>225.56278087474684</v>
      </c>
      <c r="F118" s="32" cm="1">
        <f t="array" ref="F118">KCASConv($K$4,A118,0)</f>
        <v>0.19113357365131378</v>
      </c>
      <c r="G118" s="32">
        <f t="shared" si="30"/>
        <v>1784.4873569444974</v>
      </c>
      <c r="H118" s="32">
        <f t="shared" si="31"/>
        <v>0.34648411912939375</v>
      </c>
      <c r="I118" s="32">
        <f t="shared" si="23"/>
        <v>1.5759919372054954</v>
      </c>
      <c r="J118" s="38">
        <f t="shared" si="24"/>
        <v>0.03</v>
      </c>
      <c r="K118" s="39">
        <f t="shared" si="25"/>
        <v>8.04673225238556E-4</v>
      </c>
      <c r="L118" s="31">
        <f t="shared" si="32"/>
        <v>3.0804673225238555E-2</v>
      </c>
      <c r="M118" s="31">
        <f t="shared" si="33"/>
        <v>11.247777783453847</v>
      </c>
      <c r="N118" s="40">
        <f t="shared" si="34"/>
        <v>6.6207683750929842</v>
      </c>
      <c r="O118" s="40">
        <f t="shared" si="35"/>
        <v>19.108432420305164</v>
      </c>
      <c r="P118" s="42">
        <f t="shared" si="36"/>
        <v>522.76992959887878</v>
      </c>
      <c r="Q118" s="41">
        <f t="shared" si="37"/>
        <v>32.754844188338531</v>
      </c>
      <c r="R118" s="20">
        <f t="shared" si="38"/>
        <v>44.28</v>
      </c>
      <c r="S118" s="20">
        <f t="shared" si="39"/>
        <v>97.614642906403034</v>
      </c>
      <c r="T118" s="20">
        <f t="shared" si="40"/>
        <v>138.64484312524246</v>
      </c>
      <c r="U118" s="41">
        <f t="shared" si="26"/>
        <v>-5.5705517327106344</v>
      </c>
      <c r="V118" s="40">
        <f t="shared" si="27"/>
        <v>-5.1006991265041686</v>
      </c>
    </row>
    <row r="119" spans="1:22" x14ac:dyDescent="0.25">
      <c r="A119" s="22">
        <v>110</v>
      </c>
      <c r="B119" s="22" cm="1">
        <f t="array" ref="B119">KCASConv($K$4,A119,2)</f>
        <v>109.84375762939453</v>
      </c>
      <c r="C119" s="33" cm="1">
        <f t="array" ref="C119">KCASConv($K$4,A119,1)</f>
        <v>122.91875457763672</v>
      </c>
      <c r="D119" s="33">
        <f t="shared" si="28"/>
        <v>63.229812025533292</v>
      </c>
      <c r="E119" s="33">
        <f t="shared" si="29"/>
        <v>227.62732329191985</v>
      </c>
      <c r="F119" s="32" cm="1">
        <f t="array" ref="F119">KCASConv($K$4,A119,0)</f>
        <v>0.19288298487663269</v>
      </c>
      <c r="G119" s="32">
        <f t="shared" si="30"/>
        <v>1817.3031438697285</v>
      </c>
      <c r="H119" s="32">
        <f t="shared" si="31"/>
        <v>0.34022751352967245</v>
      </c>
      <c r="I119" s="32">
        <f t="shared" si="23"/>
        <v>1.5086784288331265</v>
      </c>
      <c r="J119" s="38">
        <f t="shared" si="24"/>
        <v>0.03</v>
      </c>
      <c r="K119" s="39">
        <f t="shared" si="25"/>
        <v>7.3740305046456588E-4</v>
      </c>
      <c r="L119" s="31">
        <f t="shared" si="32"/>
        <v>3.0737403050464567E-2</v>
      </c>
      <c r="M119" s="31">
        <f t="shared" si="33"/>
        <v>11.068843811270849</v>
      </c>
      <c r="N119" s="40">
        <f t="shared" si="34"/>
        <v>6.4563486528668825</v>
      </c>
      <c r="O119" s="40">
        <f t="shared" si="35"/>
        <v>18.976562435782554</v>
      </c>
      <c r="P119" s="42">
        <f t="shared" si="36"/>
        <v>531.22079417298221</v>
      </c>
      <c r="Q119" s="41">
        <f t="shared" si="37"/>
        <v>33.588990959612183</v>
      </c>
      <c r="R119" s="20">
        <f t="shared" si="38"/>
        <v>44.28</v>
      </c>
      <c r="S119" s="20">
        <f t="shared" si="39"/>
        <v>96.061751647814873</v>
      </c>
      <c r="T119" s="20">
        <f t="shared" si="40"/>
        <v>142.17562310946951</v>
      </c>
      <c r="U119" s="41">
        <f t="shared" si="26"/>
        <v>-5.7124134285054726</v>
      </c>
      <c r="V119" s="40">
        <f t="shared" si="27"/>
        <v>-5.1833786183042916</v>
      </c>
    </row>
    <row r="120" spans="1:22" x14ac:dyDescent="0.25">
      <c r="A120" s="22">
        <v>111</v>
      </c>
      <c r="B120" s="22" cm="1">
        <f t="array" ref="B120">KCASConv($K$4,A120,2)</f>
        <v>110.83948516845703</v>
      </c>
      <c r="C120" s="33" cm="1">
        <f t="array" ref="C120">KCASConv($K$4,A120,1)</f>
        <v>124.03353118896484</v>
      </c>
      <c r="D120" s="33">
        <f t="shared" si="28"/>
        <v>63.803256784446937</v>
      </c>
      <c r="E120" s="33">
        <f t="shared" si="29"/>
        <v>229.69172442400898</v>
      </c>
      <c r="F120" s="32" cm="1">
        <f t="array" ref="F120">KCASConv($K$4,A120,0)</f>
        <v>0.19463227689266205</v>
      </c>
      <c r="G120" s="32">
        <f t="shared" si="30"/>
        <v>1850.4156440740724</v>
      </c>
      <c r="H120" s="32">
        <f t="shared" si="31"/>
        <v>0.33413926862785631</v>
      </c>
      <c r="I120" s="32">
        <f t="shared" si="23"/>
        <v>1.4431762779240638</v>
      </c>
      <c r="J120" s="38">
        <f t="shared" si="24"/>
        <v>0.03</v>
      </c>
      <c r="K120" s="39">
        <f t="shared" si="25"/>
        <v>6.7476155651749199E-4</v>
      </c>
      <c r="L120" s="31">
        <f t="shared" si="32"/>
        <v>3.067476155651749E-2</v>
      </c>
      <c r="M120" s="31">
        <f t="shared" si="33"/>
        <v>10.892970366280206</v>
      </c>
      <c r="N120" s="40">
        <f t="shared" si="34"/>
        <v>6.2966576456097272</v>
      </c>
      <c r="O120" s="40">
        <f t="shared" si="35"/>
        <v>18.844410809501582</v>
      </c>
      <c r="P120" s="42">
        <f t="shared" si="36"/>
        <v>539.7976678796324</v>
      </c>
      <c r="Q120" s="41">
        <f t="shared" si="37"/>
        <v>34.440849215369788</v>
      </c>
      <c r="R120" s="20">
        <f t="shared" si="38"/>
        <v>44.28</v>
      </c>
      <c r="S120" s="20">
        <f t="shared" si="39"/>
        <v>94.535421393074643</v>
      </c>
      <c r="T120" s="20">
        <f t="shared" si="40"/>
        <v>145.78137234018959</v>
      </c>
      <c r="U120" s="41">
        <f t="shared" si="26"/>
        <v>-5.8572872815254744</v>
      </c>
      <c r="V120" s="40">
        <f t="shared" si="27"/>
        <v>-5.26730199598145</v>
      </c>
    </row>
    <row r="121" spans="1:22" x14ac:dyDescent="0.25">
      <c r="A121" s="22">
        <v>112</v>
      </c>
      <c r="B121" s="22" cm="1">
        <f t="array" ref="B121">KCASConv($K$4,A121,2)</f>
        <v>111.83514404296875</v>
      </c>
      <c r="C121" s="33" cm="1">
        <f t="array" ref="C121">KCASConv($K$4,A121,1)</f>
        <v>125.14824676513672</v>
      </c>
      <c r="D121" s="33">
        <f t="shared" si="28"/>
        <v>64.376670146675266</v>
      </c>
      <c r="E121" s="33">
        <f t="shared" si="29"/>
        <v>231.75601252803096</v>
      </c>
      <c r="F121" s="32" cm="1">
        <f t="array" ref="F121">KCASConv($K$4,A121,0)</f>
        <v>0.19638147950172424</v>
      </c>
      <c r="G121" s="32">
        <f t="shared" si="30"/>
        <v>1883.8252555519095</v>
      </c>
      <c r="H121" s="32">
        <f t="shared" si="31"/>
        <v>0.32821331391871073</v>
      </c>
      <c r="I121" s="32">
        <f t="shared" si="23"/>
        <v>1.3794201731847591</v>
      </c>
      <c r="J121" s="38">
        <f t="shared" si="24"/>
        <v>0.03</v>
      </c>
      <c r="K121" s="39">
        <f t="shared" si="25"/>
        <v>6.1645973349644585E-4</v>
      </c>
      <c r="L121" s="31">
        <f t="shared" si="32"/>
        <v>3.0616459733496446E-2</v>
      </c>
      <c r="M121" s="31">
        <f t="shared" si="33"/>
        <v>10.720158920256331</v>
      </c>
      <c r="N121" s="40">
        <f t="shared" si="34"/>
        <v>6.1415687904179759</v>
      </c>
      <c r="O121" s="40">
        <f t="shared" si="35"/>
        <v>18.712125712057713</v>
      </c>
      <c r="P121" s="42">
        <f t="shared" si="36"/>
        <v>548.49933137552807</v>
      </c>
      <c r="Q121" s="41">
        <f t="shared" si="37"/>
        <v>35.310560531634302</v>
      </c>
      <c r="R121" s="20">
        <f t="shared" si="38"/>
        <v>44.28</v>
      </c>
      <c r="S121" s="20">
        <f t="shared" si="39"/>
        <v>93.035664915081739</v>
      </c>
      <c r="T121" s="20">
        <f t="shared" si="40"/>
        <v>149.46269008099173</v>
      </c>
      <c r="U121" s="41">
        <f t="shared" si="26"/>
        <v>-6.0051973693255611</v>
      </c>
      <c r="V121" s="40">
        <f t="shared" si="27"/>
        <v>-5.3524580061278222</v>
      </c>
    </row>
    <row r="122" spans="1:22" x14ac:dyDescent="0.25">
      <c r="A122" s="22">
        <v>113</v>
      </c>
      <c r="B122" s="22" cm="1">
        <f t="array" ref="B122">KCASConv($K$4,A122,2)</f>
        <v>112.83071899414063</v>
      </c>
      <c r="C122" s="33" cm="1">
        <f t="array" ref="C122">KCASConv($K$4,A122,1)</f>
        <v>126.26287841796875</v>
      </c>
      <c r="D122" s="33">
        <f t="shared" si="28"/>
        <v>64.950040338461292</v>
      </c>
      <c r="E122" s="33">
        <f t="shared" si="29"/>
        <v>233.82014521846065</v>
      </c>
      <c r="F122" s="32" cm="1">
        <f t="array" ref="F122">KCASConv($K$4,A122,0)</f>
        <v>0.19813054800033569</v>
      </c>
      <c r="G122" s="32">
        <f t="shared" si="30"/>
        <v>1917.5312340053024</v>
      </c>
      <c r="H122" s="32">
        <f t="shared" si="31"/>
        <v>0.32244404628391282</v>
      </c>
      <c r="I122" s="32">
        <f t="shared" si="23"/>
        <v>1.3173498318394929</v>
      </c>
      <c r="J122" s="38">
        <f t="shared" si="24"/>
        <v>0.03</v>
      </c>
      <c r="K122" s="39">
        <f t="shared" si="25"/>
        <v>5.6222973267585957E-4</v>
      </c>
      <c r="L122" s="31">
        <f t="shared" si="32"/>
        <v>3.0562229732675857E-2</v>
      </c>
      <c r="M122" s="31">
        <f t="shared" si="33"/>
        <v>10.550409741183548</v>
      </c>
      <c r="N122" s="40">
        <f t="shared" si="34"/>
        <v>5.9909612098742837</v>
      </c>
      <c r="O122" s="40">
        <f t="shared" si="35"/>
        <v>18.579847508175817</v>
      </c>
      <c r="P122" s="42">
        <f t="shared" si="36"/>
        <v>557.32432618682162</v>
      </c>
      <c r="Q122" s="41">
        <f t="shared" si="37"/>
        <v>36.198237467439824</v>
      </c>
      <c r="R122" s="20">
        <f t="shared" si="38"/>
        <v>44.28</v>
      </c>
      <c r="S122" s="20">
        <f t="shared" si="39"/>
        <v>91.562484539557232</v>
      </c>
      <c r="T122" s="20">
        <f t="shared" si="40"/>
        <v>153.22005277223204</v>
      </c>
      <c r="U122" s="41">
        <f t="shared" si="26"/>
        <v>-6.156162834598609</v>
      </c>
      <c r="V122" s="40">
        <f t="shared" si="27"/>
        <v>-5.4388330719576263</v>
      </c>
    </row>
    <row r="123" spans="1:22" x14ac:dyDescent="0.25">
      <c r="A123" s="22">
        <v>114</v>
      </c>
      <c r="B123" s="22" cm="1">
        <f t="array" ref="B123">KCASConv($K$4,A123,2)</f>
        <v>113.82622528076172</v>
      </c>
      <c r="C123" s="33" cm="1">
        <f t="array" ref="C123">KCASConv($K$4,A123,1)</f>
        <v>127.37744140625</v>
      </c>
      <c r="D123" s="33">
        <f t="shared" si="28"/>
        <v>65.523375208976333</v>
      </c>
      <c r="E123" s="33">
        <f t="shared" si="29"/>
        <v>235.88415075231481</v>
      </c>
      <c r="F123" s="32" cm="1">
        <f t="array" ref="F123">KCASConv($K$4,A123,0)</f>
        <v>0.19987951219081879</v>
      </c>
      <c r="G123" s="32">
        <f t="shared" si="30"/>
        <v>1951.5339794820623</v>
      </c>
      <c r="H123" s="32">
        <f t="shared" si="31"/>
        <v>0.31682591052426889</v>
      </c>
      <c r="I123" s="32">
        <f t="shared" si="23"/>
        <v>1.2569054866644125</v>
      </c>
      <c r="J123" s="38">
        <f t="shared" si="24"/>
        <v>0.03</v>
      </c>
      <c r="K123" s="39">
        <f t="shared" si="25"/>
        <v>5.1181948120679322E-4</v>
      </c>
      <c r="L123" s="31">
        <f t="shared" si="32"/>
        <v>3.0511819481206792E-2</v>
      </c>
      <c r="M123" s="31">
        <f t="shared" si="33"/>
        <v>10.383710834400162</v>
      </c>
      <c r="N123" s="40">
        <f t="shared" si="34"/>
        <v>5.8447095128568742</v>
      </c>
      <c r="O123" s="40">
        <f t="shared" si="35"/>
        <v>18.447700515356587</v>
      </c>
      <c r="P123" s="42">
        <f t="shared" si="36"/>
        <v>566.27154721221314</v>
      </c>
      <c r="Q123" s="41">
        <f t="shared" si="37"/>
        <v>37.104023058153395</v>
      </c>
      <c r="R123" s="20">
        <f t="shared" si="38"/>
        <v>44.28</v>
      </c>
      <c r="S123" s="20">
        <f t="shared" si="39"/>
        <v>90.115776169972847</v>
      </c>
      <c r="T123" s="20">
        <f t="shared" si="40"/>
        <v>157.05406585461753</v>
      </c>
      <c r="U123" s="41">
        <f t="shared" si="26"/>
        <v>-6.3102080030873129</v>
      </c>
      <c r="V123" s="40">
        <f t="shared" si="27"/>
        <v>-5.5264170921294289</v>
      </c>
    </row>
    <row r="124" spans="1:22" x14ac:dyDescent="0.25">
      <c r="A124" s="22">
        <v>115</v>
      </c>
      <c r="B124" s="22" cm="1">
        <f t="array" ref="B124">KCASConv($K$4,A124,2)</f>
        <v>114.82164764404297</v>
      </c>
      <c r="C124" s="33" cm="1">
        <f t="array" ref="C124">KCASConv($K$4,A124,1)</f>
        <v>128.49192810058594</v>
      </c>
      <c r="D124" s="33">
        <f t="shared" si="28"/>
        <v>66.096670833634747</v>
      </c>
      <c r="E124" s="33">
        <f t="shared" si="29"/>
        <v>237.94801500108508</v>
      </c>
      <c r="F124" s="32" cm="1">
        <f t="array" ref="F124">KCASConv($K$4,A124,0)</f>
        <v>0.20162835717201233</v>
      </c>
      <c r="G124" s="32">
        <f t="shared" si="30"/>
        <v>1985.8332009281626</v>
      </c>
      <c r="H124" s="32">
        <f t="shared" si="31"/>
        <v>0.3113537076928049</v>
      </c>
      <c r="I124" s="32">
        <f t="shared" si="23"/>
        <v>1.198031203278632</v>
      </c>
      <c r="J124" s="38">
        <f t="shared" si="24"/>
        <v>0.03</v>
      </c>
      <c r="K124" s="39">
        <f t="shared" si="25"/>
        <v>4.6499451217612864E-4</v>
      </c>
      <c r="L124" s="31">
        <f t="shared" si="32"/>
        <v>3.0464994512176127E-2</v>
      </c>
      <c r="M124" s="31">
        <f t="shared" si="33"/>
        <v>10.22004804787883</v>
      </c>
      <c r="N124" s="40">
        <f t="shared" si="34"/>
        <v>5.7026925555700334</v>
      </c>
      <c r="O124" s="40">
        <f t="shared" si="35"/>
        <v>18.315801015597849</v>
      </c>
      <c r="P124" s="42">
        <f t="shared" si="36"/>
        <v>575.3397608752332</v>
      </c>
      <c r="Q124" s="41">
        <f t="shared" si="37"/>
        <v>38.028042792072419</v>
      </c>
      <c r="R124" s="20">
        <f t="shared" si="38"/>
        <v>44.28</v>
      </c>
      <c r="S124" s="20">
        <f t="shared" si="39"/>
        <v>88.69541698694843</v>
      </c>
      <c r="T124" s="20">
        <f t="shared" si="40"/>
        <v>160.96526049554461</v>
      </c>
      <c r="U124" s="41">
        <f t="shared" si="26"/>
        <v>-6.4673542163388467</v>
      </c>
      <c r="V124" s="40">
        <f t="shared" si="27"/>
        <v>-5.6151987255185984</v>
      </c>
    </row>
    <row r="125" spans="1:22" x14ac:dyDescent="0.25">
      <c r="A125" s="22">
        <v>116</v>
      </c>
      <c r="B125" s="22" cm="1">
        <f t="array" ref="B125">KCASConv($K$4,A125,2)</f>
        <v>115.81699371337891</v>
      </c>
      <c r="C125" s="33" cm="1">
        <f t="array" ref="C125">KCASConv($K$4,A125,1)</f>
        <v>129.60635375976563</v>
      </c>
      <c r="D125" s="33">
        <f t="shared" si="28"/>
        <v>66.669935061607831</v>
      </c>
      <c r="E125" s="33">
        <f t="shared" si="29"/>
        <v>240.01176622178821</v>
      </c>
      <c r="F125" s="32" cm="1">
        <f t="array" ref="F125">KCASConv($K$4,A125,0)</f>
        <v>0.20337709784507751</v>
      </c>
      <c r="G125" s="32">
        <f t="shared" si="30"/>
        <v>2020.4293127180258</v>
      </c>
      <c r="H125" s="32">
        <f t="shared" si="31"/>
        <v>0.30602235182218657</v>
      </c>
      <c r="I125" s="32">
        <f t="shared" ref="I125:I156" si="41">(H125-$E$9)/$E$10*180/PI()</f>
        <v>1.1406722628255321</v>
      </c>
      <c r="J125" s="38">
        <f t="shared" ref="J125:J159" si="42">$E$12</f>
        <v>0.03</v>
      </c>
      <c r="K125" s="39">
        <f t="shared" ref="K125:K159" si="43">$E$23*(H125-$E$11)^2</f>
        <v>4.2153469971931666E-4</v>
      </c>
      <c r="L125" s="31">
        <f t="shared" si="32"/>
        <v>3.0421534699719317E-2</v>
      </c>
      <c r="M125" s="31">
        <f t="shared" si="33"/>
        <v>10.059398871320258</v>
      </c>
      <c r="N125" s="40">
        <f t="shared" si="34"/>
        <v>5.5647877357677205</v>
      </c>
      <c r="O125" s="40">
        <f t="shared" si="35"/>
        <v>18.184252564012464</v>
      </c>
      <c r="P125" s="42">
        <f t="shared" si="36"/>
        <v>584.5279698336758</v>
      </c>
      <c r="Q125" s="41">
        <f t="shared" si="37"/>
        <v>38.97044179050463</v>
      </c>
      <c r="R125" s="20">
        <f t="shared" si="38"/>
        <v>44.28</v>
      </c>
      <c r="S125" s="20">
        <f t="shared" si="39"/>
        <v>87.301211633243682</v>
      </c>
      <c r="T125" s="20">
        <f t="shared" si="40"/>
        <v>164.95425096509894</v>
      </c>
      <c r="U125" s="41">
        <f t="shared" ref="U125:U159" si="44">-1000*Q125/$E$4</f>
        <v>-6.627626154847726</v>
      </c>
      <c r="V125" s="40">
        <f t="shared" ref="V125:V156" si="45">ASIN(U125/D125)*180/PI()</f>
        <v>-5.7051689618735555</v>
      </c>
    </row>
    <row r="126" spans="1:22" x14ac:dyDescent="0.25">
      <c r="A126" s="22">
        <v>117</v>
      </c>
      <c r="B126" s="22" cm="1">
        <f t="array" ref="B126">KCASConv($K$4,A126,2)</f>
        <v>116.812255859375</v>
      </c>
      <c r="C126" s="33" cm="1">
        <f t="array" ref="C126">KCASConv($K$4,A126,1)</f>
        <v>130.72068786621094</v>
      </c>
      <c r="D126" s="33">
        <f t="shared" si="28"/>
        <v>67.243152194552948</v>
      </c>
      <c r="E126" s="33">
        <f t="shared" si="29"/>
        <v>242.07534790039063</v>
      </c>
      <c r="F126" s="32" cm="1">
        <f t="array" ref="F126">KCASConv($K$4,A126,0)</f>
        <v>0.20512570440769196</v>
      </c>
      <c r="G126" s="32">
        <f t="shared" si="30"/>
        <v>2055.3213061080201</v>
      </c>
      <c r="H126" s="32">
        <f t="shared" si="31"/>
        <v>0.30082718849407913</v>
      </c>
      <c r="I126" s="32">
        <f t="shared" si="41"/>
        <v>1.0847785893937336</v>
      </c>
      <c r="J126" s="38">
        <f t="shared" si="42"/>
        <v>0.03</v>
      </c>
      <c r="K126" s="39">
        <f t="shared" si="43"/>
        <v>3.8123588906182118E-4</v>
      </c>
      <c r="L126" s="31">
        <f t="shared" si="32"/>
        <v>3.038123588906182E-2</v>
      </c>
      <c r="M126" s="31">
        <f t="shared" si="33"/>
        <v>9.901742957151594</v>
      </c>
      <c r="N126" s="40">
        <f t="shared" si="34"/>
        <v>5.4308797970862113</v>
      </c>
      <c r="O126" s="40">
        <f t="shared" si="35"/>
        <v>18.053154783890495</v>
      </c>
      <c r="P126" s="42">
        <f t="shared" si="36"/>
        <v>593.83484558676957</v>
      </c>
      <c r="Q126" s="41">
        <f t="shared" si="37"/>
        <v>39.931326900219993</v>
      </c>
      <c r="R126" s="20">
        <f t="shared" si="38"/>
        <v>44.28</v>
      </c>
      <c r="S126" s="20">
        <f t="shared" si="39"/>
        <v>85.932983520994199</v>
      </c>
      <c r="T126" s="20">
        <f t="shared" si="40"/>
        <v>169.0214895247407</v>
      </c>
      <c r="U126" s="41">
        <f t="shared" si="44"/>
        <v>-6.7910419898333325</v>
      </c>
      <c r="V126" s="40">
        <f t="shared" si="45"/>
        <v>-5.7963155665613399</v>
      </c>
    </row>
    <row r="127" spans="1:22" x14ac:dyDescent="0.25">
      <c r="A127" s="22">
        <v>118</v>
      </c>
      <c r="B127" s="22" cm="1">
        <f t="array" ref="B127">KCASConv($K$4,A127,2)</f>
        <v>117.80744171142578</v>
      </c>
      <c r="C127" s="33" cm="1">
        <f t="array" ref="C127">KCASConv($K$4,A127,1)</f>
        <v>131.8349609375</v>
      </c>
      <c r="D127" s="33">
        <f t="shared" si="28"/>
        <v>67.816337930812765</v>
      </c>
      <c r="E127" s="33">
        <f t="shared" si="29"/>
        <v>244.13881655092595</v>
      </c>
      <c r="F127" s="32" cm="1">
        <f t="array" ref="F127">KCASConv($K$4,A127,0)</f>
        <v>0.20687420666217804</v>
      </c>
      <c r="G127" s="32">
        <f t="shared" si="30"/>
        <v>2090.5100753083043</v>
      </c>
      <c r="H127" s="32">
        <f t="shared" si="31"/>
        <v>0.29576347766574101</v>
      </c>
      <c r="I127" s="32">
        <f t="shared" si="41"/>
        <v>1.03029918585681</v>
      </c>
      <c r="J127" s="38">
        <f t="shared" si="42"/>
        <v>0.03</v>
      </c>
      <c r="K127" s="39">
        <f t="shared" si="43"/>
        <v>3.4390483487306366E-4</v>
      </c>
      <c r="L127" s="31">
        <f t="shared" si="32"/>
        <v>3.0343904834873061E-2</v>
      </c>
      <c r="M127" s="31">
        <f t="shared" si="33"/>
        <v>9.7470473650389131</v>
      </c>
      <c r="N127" s="40">
        <f t="shared" si="34"/>
        <v>5.3008479683146961</v>
      </c>
      <c r="O127" s="40">
        <f t="shared" si="35"/>
        <v>17.92259142389949</v>
      </c>
      <c r="P127" s="42">
        <f t="shared" si="36"/>
        <v>603.25961081205082</v>
      </c>
      <c r="Q127" s="41">
        <f t="shared" si="37"/>
        <v>40.910857626840624</v>
      </c>
      <c r="R127" s="20">
        <f t="shared" si="38"/>
        <v>44.28</v>
      </c>
      <c r="S127" s="20">
        <f t="shared" si="39"/>
        <v>84.590446775159137</v>
      </c>
      <c r="T127" s="20">
        <f t="shared" si="40"/>
        <v>173.16765133054233</v>
      </c>
      <c r="U127" s="41">
        <f t="shared" si="44"/>
        <v>-6.9576288481021473</v>
      </c>
      <c r="V127" s="40">
        <f t="shared" si="45"/>
        <v>-5.8886317213322608</v>
      </c>
    </row>
    <row r="128" spans="1:22" x14ac:dyDescent="0.25">
      <c r="A128" s="22">
        <v>119</v>
      </c>
      <c r="B128" s="22" cm="1">
        <f t="array" ref="B128">KCASConv($K$4,A128,2)</f>
        <v>118.80255126953125</v>
      </c>
      <c r="C128" s="33" cm="1">
        <f t="array" ref="C128">KCASConv($K$4,A128,1)</f>
        <v>132.94915771484375</v>
      </c>
      <c r="D128" s="33">
        <f t="shared" si="28"/>
        <v>68.389484421215926</v>
      </c>
      <c r="E128" s="33">
        <f t="shared" si="29"/>
        <v>246.20214391637734</v>
      </c>
      <c r="F128" s="32" cm="1">
        <f t="array" ref="F128">KCASConv($K$4,A128,0)</f>
        <v>0.20862258970737457</v>
      </c>
      <c r="G128" s="32">
        <f t="shared" si="30"/>
        <v>2125.9950832300169</v>
      </c>
      <c r="H128" s="32">
        <f t="shared" si="31"/>
        <v>0.29082688612293428</v>
      </c>
      <c r="I128" s="32">
        <f t="shared" si="41"/>
        <v>0.97718743207094116</v>
      </c>
      <c r="J128" s="38">
        <f t="shared" si="42"/>
        <v>0.03</v>
      </c>
      <c r="K128" s="39">
        <f t="shared" si="43"/>
        <v>3.0936224712626301E-4</v>
      </c>
      <c r="L128" s="31">
        <f t="shared" si="32"/>
        <v>3.0309362247126263E-2</v>
      </c>
      <c r="M128" s="31">
        <f t="shared" si="33"/>
        <v>9.5952822679569447</v>
      </c>
      <c r="N128" s="40">
        <f t="shared" si="34"/>
        <v>5.1745791197241537</v>
      </c>
      <c r="O128" s="40">
        <f t="shared" si="35"/>
        <v>17.792643550626977</v>
      </c>
      <c r="P128" s="42">
        <f t="shared" si="36"/>
        <v>612.80114912679767</v>
      </c>
      <c r="Q128" s="41">
        <f t="shared" si="37"/>
        <v>41.909154641510341</v>
      </c>
      <c r="R128" s="20">
        <f t="shared" si="38"/>
        <v>44.28</v>
      </c>
      <c r="S128" s="20">
        <f t="shared" si="39"/>
        <v>83.273342539769203</v>
      </c>
      <c r="T128" s="20">
        <f t="shared" si="40"/>
        <v>177.39324715983213</v>
      </c>
      <c r="U128" s="41">
        <f t="shared" si="44"/>
        <v>-7.1274072519575418</v>
      </c>
      <c r="V128" s="40">
        <f t="shared" si="45"/>
        <v>-5.9821073067757533</v>
      </c>
    </row>
    <row r="129" spans="1:22" x14ac:dyDescent="0.25">
      <c r="A129" s="22">
        <v>120</v>
      </c>
      <c r="B129" s="22" cm="1">
        <f t="array" ref="B129">KCASConv($K$4,A129,2)</f>
        <v>119.79757690429688</v>
      </c>
      <c r="C129" s="33" cm="1">
        <f t="array" ref="C129">KCASConv($K$4,A129,1)</f>
        <v>134.06326293945313</v>
      </c>
      <c r="D129" s="33">
        <f t="shared" si="28"/>
        <v>68.96258381659112</v>
      </c>
      <c r="E129" s="33">
        <f t="shared" si="29"/>
        <v>248.26530173972805</v>
      </c>
      <c r="F129" s="32" cm="1">
        <f t="array" ref="F129">KCASConv($K$4,A129,0)</f>
        <v>0.21037085354328156</v>
      </c>
      <c r="G129" s="32">
        <f t="shared" si="30"/>
        <v>2161.7757764287567</v>
      </c>
      <c r="H129" s="32">
        <f t="shared" si="31"/>
        <v>0.2860132566523052</v>
      </c>
      <c r="I129" s="32">
        <f t="shared" si="41"/>
        <v>0.92539860144893338</v>
      </c>
      <c r="J129" s="38">
        <f t="shared" si="42"/>
        <v>0.03</v>
      </c>
      <c r="K129" s="39">
        <f t="shared" si="43"/>
        <v>2.7744010863245552E-4</v>
      </c>
      <c r="L129" s="31">
        <f t="shared" si="32"/>
        <v>3.0277440108632453E-2</v>
      </c>
      <c r="M129" s="31">
        <f t="shared" si="33"/>
        <v>9.446414743984894</v>
      </c>
      <c r="N129" s="40">
        <f t="shared" si="34"/>
        <v>5.05196218191226</v>
      </c>
      <c r="O129" s="40">
        <f t="shared" si="35"/>
        <v>17.663384701268331</v>
      </c>
      <c r="P129" s="42">
        <f t="shared" si="36"/>
        <v>622.45837805757503</v>
      </c>
      <c r="Q129" s="41">
        <f t="shared" si="37"/>
        <v>42.926338069134879</v>
      </c>
      <c r="R129" s="20">
        <f t="shared" si="38"/>
        <v>44.28</v>
      </c>
      <c r="S129" s="20">
        <f t="shared" si="39"/>
        <v>81.981385099583193</v>
      </c>
      <c r="T129" s="20">
        <f t="shared" si="40"/>
        <v>181.6987854778196</v>
      </c>
      <c r="U129" s="41">
        <f t="shared" si="44"/>
        <v>-7.3003976308052518</v>
      </c>
      <c r="V129" s="40">
        <f t="shared" si="45"/>
        <v>-6.0767325545086432</v>
      </c>
    </row>
    <row r="130" spans="1:22" x14ac:dyDescent="0.25">
      <c r="A130" s="22">
        <v>121</v>
      </c>
      <c r="B130" s="22" cm="1">
        <f t="array" ref="B130">KCASConv($K$4,A130,2)</f>
        <v>120.79251861572266</v>
      </c>
      <c r="C130" s="33" cm="1">
        <f t="array" ref="C130">KCASConv($K$4,A130,1)</f>
        <v>135.17730712890625</v>
      </c>
      <c r="D130" s="33">
        <f t="shared" si="28"/>
        <v>69.535651815281</v>
      </c>
      <c r="E130" s="33">
        <f t="shared" si="29"/>
        <v>250.3283465350116</v>
      </c>
      <c r="F130" s="32" cm="1">
        <f t="array" ref="F130">KCASConv($K$4,A130,0)</f>
        <v>0.21211898326873779</v>
      </c>
      <c r="G130" s="32">
        <f t="shared" si="30"/>
        <v>2197.8530736668667</v>
      </c>
      <c r="H130" s="32">
        <f t="shared" si="31"/>
        <v>0.28131840903127209</v>
      </c>
      <c r="I130" s="32">
        <f t="shared" si="41"/>
        <v>0.87488771985213176</v>
      </c>
      <c r="J130" s="38">
        <f t="shared" si="42"/>
        <v>0.03</v>
      </c>
      <c r="K130" s="39">
        <f t="shared" si="43"/>
        <v>2.4797974531146863E-4</v>
      </c>
      <c r="L130" s="31">
        <f t="shared" si="32"/>
        <v>3.0247979745311467E-2</v>
      </c>
      <c r="M130" s="31">
        <f t="shared" si="33"/>
        <v>9.3004032467615403</v>
      </c>
      <c r="N130" s="40">
        <f t="shared" si="34"/>
        <v>4.9328834610778145</v>
      </c>
      <c r="O130" s="40">
        <f t="shared" si="35"/>
        <v>17.534876149997931</v>
      </c>
      <c r="P130" s="42">
        <f t="shared" si="36"/>
        <v>632.23065107929085</v>
      </c>
      <c r="Q130" s="41">
        <f t="shared" si="37"/>
        <v>43.962570420397974</v>
      </c>
      <c r="R130" s="20">
        <f t="shared" si="38"/>
        <v>44.28</v>
      </c>
      <c r="S130" s="20">
        <f t="shared" si="39"/>
        <v>80.714213891537653</v>
      </c>
      <c r="T130" s="20">
        <f t="shared" si="40"/>
        <v>186.08495416041475</v>
      </c>
      <c r="U130" s="41">
        <f t="shared" si="44"/>
        <v>-7.4766276225166628</v>
      </c>
      <c r="V130" s="40">
        <f t="shared" si="45"/>
        <v>-6.1725019879565979</v>
      </c>
    </row>
    <row r="131" spans="1:22" x14ac:dyDescent="0.25">
      <c r="A131" s="22">
        <v>122</v>
      </c>
      <c r="B131" s="22" cm="1">
        <f t="array" ref="B131">KCASConv($K$4,A131,2)</f>
        <v>121.78737640380859</v>
      </c>
      <c r="C131" s="33" cm="1">
        <f t="array" ref="C131">KCASConv($K$4,A131,1)</f>
        <v>136.291259765625</v>
      </c>
      <c r="D131" s="33">
        <f t="shared" si="28"/>
        <v>70.108672718942898</v>
      </c>
      <c r="E131" s="33">
        <f t="shared" si="29"/>
        <v>252.39122178819443</v>
      </c>
      <c r="F131" s="32" cm="1">
        <f t="array" ref="F131">KCASConv($K$4,A131,0)</f>
        <v>0.21386700868606567</v>
      </c>
      <c r="G131" s="32">
        <f t="shared" si="30"/>
        <v>2234.2259253224511</v>
      </c>
      <c r="H131" s="32">
        <f t="shared" si="31"/>
        <v>0.27673858894964687</v>
      </c>
      <c r="I131" s="32">
        <f t="shared" si="41"/>
        <v>0.82561439544406068</v>
      </c>
      <c r="J131" s="38">
        <f t="shared" si="42"/>
        <v>0.03</v>
      </c>
      <c r="K131" s="39">
        <f t="shared" si="43"/>
        <v>2.2083407255897149E-4</v>
      </c>
      <c r="L131" s="31">
        <f t="shared" si="32"/>
        <v>3.0220834072558971E-2</v>
      </c>
      <c r="M131" s="31">
        <f t="shared" si="33"/>
        <v>9.15721214990986</v>
      </c>
      <c r="N131" s="40">
        <f t="shared" si="34"/>
        <v>4.817238370206419</v>
      </c>
      <c r="O131" s="40">
        <f t="shared" si="35"/>
        <v>17.407179781071033</v>
      </c>
      <c r="P131" s="42">
        <f t="shared" si="36"/>
        <v>642.11682592260138</v>
      </c>
      <c r="Q131" s="41">
        <f t="shared" si="37"/>
        <v>45.017958395934087</v>
      </c>
      <c r="R131" s="20">
        <f t="shared" si="38"/>
        <v>44.28</v>
      </c>
      <c r="S131" s="20">
        <f t="shared" si="39"/>
        <v>79.471519729574865</v>
      </c>
      <c r="T131" s="20">
        <f t="shared" si="40"/>
        <v>190.55220485051464</v>
      </c>
      <c r="U131" s="41">
        <f t="shared" si="44"/>
        <v>-7.6561153734581788</v>
      </c>
      <c r="V131" s="40">
        <f t="shared" si="45"/>
        <v>-6.2694052931959892</v>
      </c>
    </row>
    <row r="132" spans="1:22" x14ac:dyDescent="0.25">
      <c r="A132" s="22">
        <v>123</v>
      </c>
      <c r="B132" s="22" cm="1">
        <f t="array" ref="B132">KCASConv($K$4,A132,2)</f>
        <v>122.78215789794922</v>
      </c>
      <c r="C132" s="33" cm="1">
        <f t="array" ref="C132">KCASConv($K$4,A132,1)</f>
        <v>137.4051513671875</v>
      </c>
      <c r="D132" s="33">
        <f t="shared" si="28"/>
        <v>70.681662225919496</v>
      </c>
      <c r="E132" s="33">
        <f t="shared" si="29"/>
        <v>254.45398401331019</v>
      </c>
      <c r="F132" s="32" cm="1">
        <f t="array" ref="F132">KCASConv($K$4,A132,0)</f>
        <v>0.215614914894104</v>
      </c>
      <c r="G132" s="32">
        <f t="shared" si="30"/>
        <v>2270.8952665231391</v>
      </c>
      <c r="H132" s="32">
        <f t="shared" si="31"/>
        <v>0.27226994528686432</v>
      </c>
      <c r="I132" s="32">
        <f t="shared" si="41"/>
        <v>0.77753719482568628</v>
      </c>
      <c r="J132" s="38">
        <f t="shared" si="42"/>
        <v>0.03</v>
      </c>
      <c r="K132" s="39">
        <f t="shared" si="43"/>
        <v>1.958636822657818E-4</v>
      </c>
      <c r="L132" s="31">
        <f t="shared" si="32"/>
        <v>3.0195863682265782E-2</v>
      </c>
      <c r="M132" s="31">
        <f t="shared" si="33"/>
        <v>9.0167960801455784</v>
      </c>
      <c r="N132" s="40">
        <f t="shared" si="34"/>
        <v>4.7049184476088977</v>
      </c>
      <c r="O132" s="40">
        <f t="shared" si="35"/>
        <v>17.280344485513393</v>
      </c>
      <c r="P132" s="42">
        <f t="shared" si="36"/>
        <v>652.11633353308196</v>
      </c>
      <c r="Q132" s="41">
        <f t="shared" si="37"/>
        <v>46.092666418790358</v>
      </c>
      <c r="R132" s="20">
        <f t="shared" si="38"/>
        <v>44.28</v>
      </c>
      <c r="S132" s="20">
        <f t="shared" si="39"/>
        <v>78.252908838406285</v>
      </c>
      <c r="T132" s="20">
        <f t="shared" si="40"/>
        <v>195.10123351868933</v>
      </c>
      <c r="U132" s="41">
        <f t="shared" si="44"/>
        <v>-7.8388888467330542</v>
      </c>
      <c r="V132" s="40">
        <f t="shared" si="45"/>
        <v>-6.3674377954504662</v>
      </c>
    </row>
    <row r="133" spans="1:22" x14ac:dyDescent="0.25">
      <c r="A133" s="22">
        <v>124</v>
      </c>
      <c r="B133" s="22" cm="1">
        <f t="array" ref="B133">KCASConv($K$4,A133,2)</f>
        <v>123.77684783935547</v>
      </c>
      <c r="C133" s="33" cm="1">
        <f t="array" ref="C133">KCASConv($K$4,A133,1)</f>
        <v>138.51896667480469</v>
      </c>
      <c r="D133" s="33">
        <f t="shared" si="28"/>
        <v>71.254612487039452</v>
      </c>
      <c r="E133" s="33">
        <f t="shared" si="29"/>
        <v>256.51660495334204</v>
      </c>
      <c r="F133" s="32" cm="1">
        <f t="array" ref="F133">KCASConv($K$4,A133,0)</f>
        <v>0.21736268699169159</v>
      </c>
      <c r="G133" s="32">
        <f t="shared" si="30"/>
        <v>2307.8605397521387</v>
      </c>
      <c r="H133" s="32">
        <f t="shared" si="31"/>
        <v>0.26790896560624</v>
      </c>
      <c r="I133" s="32">
        <f t="shared" si="41"/>
        <v>0.73061832842686569</v>
      </c>
      <c r="J133" s="38">
        <f t="shared" si="42"/>
        <v>0.03</v>
      </c>
      <c r="K133" s="39">
        <f t="shared" si="43"/>
        <v>1.7293890062027495E-4</v>
      </c>
      <c r="L133" s="31">
        <f t="shared" si="32"/>
        <v>3.0172938900620273E-2</v>
      </c>
      <c r="M133" s="31">
        <f t="shared" si="33"/>
        <v>8.8791140461538713</v>
      </c>
      <c r="N133" s="40">
        <f t="shared" si="34"/>
        <v>4.5958226166126384</v>
      </c>
      <c r="O133" s="40">
        <f t="shared" si="35"/>
        <v>17.154418875878022</v>
      </c>
      <c r="P133" s="42">
        <f t="shared" si="36"/>
        <v>662.22823239296213</v>
      </c>
      <c r="Q133" s="41">
        <f t="shared" si="37"/>
        <v>47.186816077137621</v>
      </c>
      <c r="R133" s="20">
        <f t="shared" si="38"/>
        <v>44.28</v>
      </c>
      <c r="S133" s="20">
        <f t="shared" si="39"/>
        <v>77.058025471978254</v>
      </c>
      <c r="T133" s="20">
        <f t="shared" si="40"/>
        <v>199.73255482386293</v>
      </c>
      <c r="U133" s="41">
        <f t="shared" si="44"/>
        <v>-8.0249687206016365</v>
      </c>
      <c r="V133" s="40">
        <f t="shared" si="45"/>
        <v>-6.466591190757387</v>
      </c>
    </row>
    <row r="134" spans="1:22" x14ac:dyDescent="0.25">
      <c r="A134" s="22">
        <v>125</v>
      </c>
      <c r="B134" s="22" cm="1">
        <f t="array" ref="B134">KCASConv($K$4,A134,2)</f>
        <v>124.77145385742188</v>
      </c>
      <c r="C134" s="33" cm="1">
        <f t="array" ref="C134">KCASConv($K$4,A134,1)</f>
        <v>139.6326904296875</v>
      </c>
      <c r="D134" s="33">
        <f t="shared" si="28"/>
        <v>71.827515653131428</v>
      </c>
      <c r="E134" s="33">
        <f t="shared" si="29"/>
        <v>258.57905635127315</v>
      </c>
      <c r="F134" s="32" cm="1">
        <f t="array" ref="F134">KCASConv($K$4,A134,0)</f>
        <v>0.21911033987998962</v>
      </c>
      <c r="G134" s="32">
        <f t="shared" si="30"/>
        <v>2345.1211711427204</v>
      </c>
      <c r="H134" s="32">
        <f t="shared" si="31"/>
        <v>0.26365227416678577</v>
      </c>
      <c r="I134" s="32">
        <f t="shared" si="41"/>
        <v>0.68482147735780408</v>
      </c>
      <c r="J134" s="38">
        <f t="shared" si="42"/>
        <v>0.03</v>
      </c>
      <c r="K134" s="39">
        <f t="shared" si="43"/>
        <v>1.5193796755980554E-4</v>
      </c>
      <c r="L134" s="31">
        <f t="shared" si="32"/>
        <v>3.0151937967559803E-2</v>
      </c>
      <c r="M134" s="31">
        <f t="shared" si="33"/>
        <v>8.7441236596615077</v>
      </c>
      <c r="N134" s="40">
        <f t="shared" si="34"/>
        <v>4.4898522705680319</v>
      </c>
      <c r="O134" s="40">
        <f t="shared" si="35"/>
        <v>17.029446397749492</v>
      </c>
      <c r="P134" s="42">
        <f t="shared" si="36"/>
        <v>672.4516062284988</v>
      </c>
      <c r="Q134" s="41">
        <f t="shared" si="37"/>
        <v>48.300528272350874</v>
      </c>
      <c r="R134" s="20">
        <f t="shared" si="38"/>
        <v>44.28</v>
      </c>
      <c r="S134" s="20">
        <f t="shared" si="39"/>
        <v>75.886501760633806</v>
      </c>
      <c r="T134" s="20">
        <f t="shared" si="40"/>
        <v>204.44668051788724</v>
      </c>
      <c r="U134" s="41">
        <f t="shared" si="44"/>
        <v>-8.2143755565222563</v>
      </c>
      <c r="V134" s="40">
        <f t="shared" si="45"/>
        <v>-6.5668574435890381</v>
      </c>
    </row>
    <row r="135" spans="1:22" x14ac:dyDescent="0.25">
      <c r="A135" s="22">
        <v>126</v>
      </c>
      <c r="B135" s="22" cm="1">
        <f t="array" ref="B135">KCASConv($K$4,A135,2)</f>
        <v>125.76598358154297</v>
      </c>
      <c r="C135" s="33" cm="1">
        <f t="array" ref="C135">KCASConv($K$4,A135,1)</f>
        <v>140.746337890625</v>
      </c>
      <c r="D135" s="33">
        <f t="shared" si="28"/>
        <v>72.400379573366777</v>
      </c>
      <c r="E135" s="33">
        <f t="shared" si="29"/>
        <v>260.64136646412038</v>
      </c>
      <c r="F135" s="32" cm="1">
        <f t="array" ref="F135">KCASConv($K$4,A135,0)</f>
        <v>0.22085785865783691</v>
      </c>
      <c r="G135" s="32">
        <f t="shared" si="30"/>
        <v>2382.6776037379077</v>
      </c>
      <c r="H135" s="32">
        <f t="shared" si="31"/>
        <v>0.25949651308195465</v>
      </c>
      <c r="I135" s="32">
        <f t="shared" si="41"/>
        <v>0.64011051482089665</v>
      </c>
      <c r="J135" s="38">
        <f t="shared" si="42"/>
        <v>0.03</v>
      </c>
      <c r="K135" s="39">
        <f t="shared" si="43"/>
        <v>1.3274601442356327E-4</v>
      </c>
      <c r="L135" s="31">
        <f t="shared" si="32"/>
        <v>3.0132746014423561E-2</v>
      </c>
      <c r="M135" s="31">
        <f t="shared" si="33"/>
        <v>8.6117777967445157</v>
      </c>
      <c r="N135" s="40">
        <f t="shared" si="34"/>
        <v>4.3869085260128982</v>
      </c>
      <c r="O135" s="40">
        <f t="shared" si="35"/>
        <v>16.90546232745492</v>
      </c>
      <c r="P135" s="42">
        <f t="shared" si="36"/>
        <v>682.78584733372918</v>
      </c>
      <c r="Q135" s="41">
        <f t="shared" si="37"/>
        <v>49.433954514284849</v>
      </c>
      <c r="R135" s="20">
        <f t="shared" si="38"/>
        <v>44.28</v>
      </c>
      <c r="S135" s="20">
        <f t="shared" si="39"/>
        <v>74.737928736032771</v>
      </c>
      <c r="T135" s="20">
        <f t="shared" si="40"/>
        <v>209.24425191231683</v>
      </c>
      <c r="U135" s="41">
        <f t="shared" si="44"/>
        <v>-8.4071351214770154</v>
      </c>
      <c r="V135" s="40">
        <f t="shared" si="45"/>
        <v>-6.6682315668159875</v>
      </c>
    </row>
    <row r="136" spans="1:22" x14ac:dyDescent="0.25">
      <c r="A136" s="22">
        <v>127</v>
      </c>
      <c r="B136" s="22" cm="1">
        <f t="array" ref="B136">KCASConv($K$4,A136,2)</f>
        <v>126.76042175292969</v>
      </c>
      <c r="C136" s="33" cm="1">
        <f t="array" ref="C136">KCASConv($K$4,A136,1)</f>
        <v>141.85990905761719</v>
      </c>
      <c r="D136" s="33">
        <f t="shared" si="28"/>
        <v>72.973204247745471</v>
      </c>
      <c r="E136" s="33">
        <f t="shared" si="29"/>
        <v>262.70353529188372</v>
      </c>
      <c r="F136" s="32" cm="1">
        <f t="array" ref="F136">KCASConv($K$4,A136,0)</f>
        <v>0.22260527312755585</v>
      </c>
      <c r="G136" s="32">
        <f t="shared" si="30"/>
        <v>2420.5297762208074</v>
      </c>
      <c r="H136" s="32">
        <f t="shared" si="31"/>
        <v>0.25543851434614684</v>
      </c>
      <c r="I136" s="32">
        <f t="shared" si="41"/>
        <v>0.59645135690785367</v>
      </c>
      <c r="J136" s="38">
        <f t="shared" si="42"/>
        <v>0.03</v>
      </c>
      <c r="K136" s="39">
        <f t="shared" si="43"/>
        <v>1.1525549229001844E-4</v>
      </c>
      <c r="L136" s="31">
        <f t="shared" si="32"/>
        <v>3.0115255492290018E-2</v>
      </c>
      <c r="M136" s="31">
        <f t="shared" si="33"/>
        <v>8.4820304583350836</v>
      </c>
      <c r="N136" s="40">
        <f t="shared" si="34"/>
        <v>4.2868966890150428</v>
      </c>
      <c r="O136" s="40">
        <f t="shared" si="35"/>
        <v>16.782499303162378</v>
      </c>
      <c r="P136" s="42">
        <f t="shared" si="36"/>
        <v>693.2302387834352</v>
      </c>
      <c r="Q136" s="41">
        <f t="shared" si="37"/>
        <v>50.587231805456987</v>
      </c>
      <c r="R136" s="20">
        <f t="shared" si="38"/>
        <v>44.28</v>
      </c>
      <c r="S136" s="20">
        <f t="shared" si="39"/>
        <v>73.611907191979483</v>
      </c>
      <c r="T136" s="20">
        <f t="shared" si="40"/>
        <v>214.12584891198722</v>
      </c>
      <c r="U136" s="41">
        <f t="shared" si="44"/>
        <v>-8.6032707152137728</v>
      </c>
      <c r="V136" s="40">
        <f t="shared" si="45"/>
        <v>-6.7707075254680236</v>
      </c>
    </row>
    <row r="137" spans="1:22" x14ac:dyDescent="0.25">
      <c r="A137" s="22">
        <v>128</v>
      </c>
      <c r="B137" s="22" cm="1">
        <f t="array" ref="B137">KCASConv($K$4,A137,2)</f>
        <v>127.75477600097656</v>
      </c>
      <c r="C137" s="33" cm="1">
        <f t="array" ref="C137">KCASConv($K$4,A137,1)</f>
        <v>142.973388671875</v>
      </c>
      <c r="D137" s="33">
        <f t="shared" si="28"/>
        <v>73.545981827096199</v>
      </c>
      <c r="E137" s="33">
        <f t="shared" si="29"/>
        <v>264.7655345775463</v>
      </c>
      <c r="F137" s="32" cm="1">
        <f t="array" ref="F137">KCASConv($K$4,A137,0)</f>
        <v>0.22435253858566284</v>
      </c>
      <c r="G137" s="32">
        <f t="shared" si="30"/>
        <v>2458.6771024756513</v>
      </c>
      <c r="H137" s="32">
        <f t="shared" si="31"/>
        <v>0.25147528699311072</v>
      </c>
      <c r="I137" s="32">
        <f t="shared" si="41"/>
        <v>0.55381182443962818</v>
      </c>
      <c r="J137" s="38">
        <f t="shared" si="42"/>
        <v>0.03</v>
      </c>
      <c r="K137" s="39">
        <f t="shared" si="43"/>
        <v>9.9365590205029999E-5</v>
      </c>
      <c r="L137" s="31">
        <f t="shared" si="32"/>
        <v>3.009936559020503E-2</v>
      </c>
      <c r="M137" s="31">
        <f t="shared" si="33"/>
        <v>8.3548367901463703</v>
      </c>
      <c r="N137" s="40">
        <f t="shared" si="34"/>
        <v>4.1897260465096799</v>
      </c>
      <c r="O137" s="40">
        <f t="shared" si="35"/>
        <v>16.660587593342559</v>
      </c>
      <c r="P137" s="42">
        <f t="shared" si="36"/>
        <v>703.78394547872279</v>
      </c>
      <c r="Q137" s="41">
        <f t="shared" si="37"/>
        <v>51.760481264380203</v>
      </c>
      <c r="R137" s="20">
        <f t="shared" si="38"/>
        <v>44.28</v>
      </c>
      <c r="S137" s="20">
        <f t="shared" si="39"/>
        <v>72.508047857341722</v>
      </c>
      <c r="T137" s="20">
        <f t="shared" si="40"/>
        <v>219.09198418785269</v>
      </c>
      <c r="U137" s="41">
        <f t="shared" si="44"/>
        <v>-8.8028029361190825</v>
      </c>
      <c r="V137" s="40">
        <f t="shared" si="45"/>
        <v>-6.8742781480059101</v>
      </c>
    </row>
    <row r="138" spans="1:22" x14ac:dyDescent="0.25">
      <c r="A138" s="22">
        <v>129</v>
      </c>
      <c r="B138" s="22" cm="1">
        <f t="array" ref="B138">KCASConv($K$4,A138,2)</f>
        <v>128.74903869628906</v>
      </c>
      <c r="C138" s="33" cm="1">
        <f t="array" ref="C138">KCASConv($K$4,A138,1)</f>
        <v>144.08680725097656</v>
      </c>
      <c r="D138" s="33">
        <f t="shared" si="28"/>
        <v>74.118728009761611</v>
      </c>
      <c r="E138" s="33">
        <f t="shared" si="29"/>
        <v>266.82742083514182</v>
      </c>
      <c r="F138" s="32" cm="1">
        <f t="array" ref="F138">KCASConv($K$4,A138,0)</f>
        <v>0.22609969973564148</v>
      </c>
      <c r="G138" s="32">
        <f t="shared" si="30"/>
        <v>2497.120566713153</v>
      </c>
      <c r="H138" s="32">
        <f t="shared" si="31"/>
        <v>0.24760379543158786</v>
      </c>
      <c r="I138" s="32">
        <f t="shared" si="41"/>
        <v>0.51215925812607743</v>
      </c>
      <c r="J138" s="38">
        <f t="shared" si="42"/>
        <v>0.03</v>
      </c>
      <c r="K138" s="39">
        <f t="shared" si="43"/>
        <v>8.498095819767629E-5</v>
      </c>
      <c r="L138" s="31">
        <f t="shared" si="32"/>
        <v>3.0084980958197675E-2</v>
      </c>
      <c r="M138" s="31">
        <f t="shared" si="33"/>
        <v>8.2301463236964363</v>
      </c>
      <c r="N138" s="40">
        <f t="shared" si="34"/>
        <v>4.095304563969612</v>
      </c>
      <c r="O138" s="40">
        <f t="shared" si="35"/>
        <v>16.53974874186099</v>
      </c>
      <c r="P138" s="42">
        <f t="shared" si="36"/>
        <v>714.44659289594438</v>
      </c>
      <c r="Q138" s="41">
        <f t="shared" si="37"/>
        <v>52.953872696355383</v>
      </c>
      <c r="R138" s="20">
        <f t="shared" si="38"/>
        <v>44.28</v>
      </c>
      <c r="S138" s="20">
        <f t="shared" si="39"/>
        <v>71.425912737794079</v>
      </c>
      <c r="T138" s="20">
        <f t="shared" si="40"/>
        <v>224.14337649250953</v>
      </c>
      <c r="U138" s="41">
        <f t="shared" si="44"/>
        <v>-9.0057606626454731</v>
      </c>
      <c r="V138" s="40">
        <f t="shared" si="45"/>
        <v>-6.9789408068166479</v>
      </c>
    </row>
    <row r="139" spans="1:22" x14ac:dyDescent="0.25">
      <c r="A139" s="22">
        <v>130</v>
      </c>
      <c r="B139" s="22" cm="1">
        <f t="array" ref="B139">KCASConv($K$4,A139,2)</f>
        <v>129.74320983886719</v>
      </c>
      <c r="C139" s="33" cm="1">
        <f t="array" ref="C139">KCASConv($K$4,A139,1)</f>
        <v>145.20013427734375</v>
      </c>
      <c r="D139" s="33">
        <f t="shared" si="28"/>
        <v>74.691427097399057</v>
      </c>
      <c r="E139" s="33">
        <f t="shared" si="29"/>
        <v>268.88913755063663</v>
      </c>
      <c r="F139" s="32" cm="1">
        <f t="array" ref="F139">KCASConv($K$4,A139,0)</f>
        <v>0.22784671187400818</v>
      </c>
      <c r="G139" s="32">
        <f t="shared" si="30"/>
        <v>2535.8590539365296</v>
      </c>
      <c r="H139" s="32">
        <f t="shared" si="31"/>
        <v>0.24382133108251597</v>
      </c>
      <c r="I139" s="32">
        <f t="shared" si="41"/>
        <v>0.471464516932741</v>
      </c>
      <c r="J139" s="38">
        <f t="shared" si="42"/>
        <v>0.03</v>
      </c>
      <c r="K139" s="39">
        <f t="shared" si="43"/>
        <v>7.2012782778774282E-5</v>
      </c>
      <c r="L139" s="31">
        <f t="shared" si="32"/>
        <v>3.0072012782778774E-2</v>
      </c>
      <c r="M139" s="31">
        <f t="shared" si="33"/>
        <v>8.107915251424215</v>
      </c>
      <c r="N139" s="40">
        <f t="shared" si="34"/>
        <v>4.0035480893404278</v>
      </c>
      <c r="O139" s="40">
        <f t="shared" si="35"/>
        <v>16.420007517658558</v>
      </c>
      <c r="P139" s="42">
        <f t="shared" si="36"/>
        <v>725.21724976924679</v>
      </c>
      <c r="Q139" s="41">
        <f t="shared" si="37"/>
        <v>54.167511340915937</v>
      </c>
      <c r="R139" s="20">
        <f t="shared" si="38"/>
        <v>44.28</v>
      </c>
      <c r="S139" s="20">
        <f t="shared" si="39"/>
        <v>70.365121646288728</v>
      </c>
      <c r="T139" s="20">
        <f t="shared" si="40"/>
        <v>229.28047128430026</v>
      </c>
      <c r="U139" s="41">
        <f t="shared" si="44"/>
        <v>-9.212161792672779</v>
      </c>
      <c r="V139" s="40">
        <f t="shared" si="45"/>
        <v>-7.0846874343504105</v>
      </c>
    </row>
    <row r="140" spans="1:22" x14ac:dyDescent="0.25">
      <c r="A140" s="22">
        <v>131</v>
      </c>
      <c r="B140" s="22" cm="1">
        <f t="array" ref="B140">KCASConv($K$4,A140,2)</f>
        <v>130.7373046875</v>
      </c>
      <c r="C140" s="33" cm="1">
        <f t="array" ref="C140">KCASConv($K$4,A140,1)</f>
        <v>146.31336975097656</v>
      </c>
      <c r="D140" s="33">
        <f t="shared" si="28"/>
        <v>75.264079090008522</v>
      </c>
      <c r="E140" s="33">
        <f t="shared" si="29"/>
        <v>270.95068472403068</v>
      </c>
      <c r="F140" s="32" cm="1">
        <f t="array" ref="F140">KCASConv($K$4,A140,0)</f>
        <v>0.22959360480308533</v>
      </c>
      <c r="G140" s="32">
        <f t="shared" si="30"/>
        <v>2574.892490586682</v>
      </c>
      <c r="H140" s="32">
        <f t="shared" si="31"/>
        <v>0.24012518279067147</v>
      </c>
      <c r="I140" s="32">
        <f t="shared" si="41"/>
        <v>0.43169843210877923</v>
      </c>
      <c r="J140" s="38">
        <f t="shared" si="42"/>
        <v>0.03</v>
      </c>
      <c r="K140" s="39">
        <f t="shared" si="43"/>
        <v>6.03771363543834E-5</v>
      </c>
      <c r="L140" s="31">
        <f t="shared" si="32"/>
        <v>3.0060377136354382E-2</v>
      </c>
      <c r="M140" s="31">
        <f t="shared" si="33"/>
        <v>7.9880961473457086</v>
      </c>
      <c r="N140" s="40">
        <f t="shared" si="34"/>
        <v>3.9143723747286892</v>
      </c>
      <c r="O140" s="40">
        <f t="shared" si="35"/>
        <v>16.301382175900446</v>
      </c>
      <c r="P140" s="42">
        <f t="shared" si="36"/>
        <v>736.09529624324955</v>
      </c>
      <c r="Q140" s="41">
        <f t="shared" si="37"/>
        <v>55.401534594235187</v>
      </c>
      <c r="R140" s="20">
        <f t="shared" si="38"/>
        <v>44.28</v>
      </c>
      <c r="S140" s="20">
        <f t="shared" si="39"/>
        <v>69.325262993035977</v>
      </c>
      <c r="T140" s="20">
        <f t="shared" si="40"/>
        <v>234.50385013432881</v>
      </c>
      <c r="U140" s="41">
        <f t="shared" si="44"/>
        <v>-9.4220296928971408</v>
      </c>
      <c r="V140" s="40">
        <f t="shared" si="45"/>
        <v>-7.1915130436922281</v>
      </c>
    </row>
    <row r="141" spans="1:22" x14ac:dyDescent="0.25">
      <c r="A141" s="22">
        <v>132</v>
      </c>
      <c r="B141" s="22" cm="1">
        <f t="array" ref="B141">KCASConv($K$4,A141,2)</f>
        <v>131.73130798339844</v>
      </c>
      <c r="C141" s="33" cm="1">
        <f t="array" ref="C141">KCASConv($K$4,A141,1)</f>
        <v>147.42652893066406</v>
      </c>
      <c r="D141" s="33">
        <f t="shared" si="28"/>
        <v>75.836691836761347</v>
      </c>
      <c r="E141" s="33">
        <f t="shared" si="29"/>
        <v>273.01209061234084</v>
      </c>
      <c r="F141" s="32" cm="1">
        <f t="array" ref="F141">KCASConv($K$4,A141,0)</f>
        <v>0.23134036362171173</v>
      </c>
      <c r="G141" s="32">
        <f t="shared" si="30"/>
        <v>2614.2213442594348</v>
      </c>
      <c r="H141" s="32">
        <f t="shared" si="31"/>
        <v>0.23651269290038152</v>
      </c>
      <c r="I141" s="32">
        <f t="shared" si="41"/>
        <v>0.39283241049380602</v>
      </c>
      <c r="J141" s="38">
        <f t="shared" si="42"/>
        <v>0.03</v>
      </c>
      <c r="K141" s="39">
        <f t="shared" si="43"/>
        <v>4.9994956174133201E-5</v>
      </c>
      <c r="L141" s="31">
        <f t="shared" si="32"/>
        <v>3.0049994956174133E-2</v>
      </c>
      <c r="M141" s="31">
        <f t="shared" si="33"/>
        <v>7.8706400199174453</v>
      </c>
      <c r="N141" s="40">
        <f t="shared" si="34"/>
        <v>3.8276945690837634</v>
      </c>
      <c r="O141" s="40">
        <f t="shared" si="35"/>
        <v>16.183886463531064</v>
      </c>
      <c r="P141" s="42">
        <f t="shared" si="36"/>
        <v>747.08028637062159</v>
      </c>
      <c r="Q141" s="41">
        <f t="shared" si="37"/>
        <v>56.656097454808247</v>
      </c>
      <c r="R141" s="20">
        <f t="shared" si="38"/>
        <v>44.28</v>
      </c>
      <c r="S141" s="20">
        <f t="shared" si="39"/>
        <v>68.305911601426402</v>
      </c>
      <c r="T141" s="20">
        <f t="shared" si="40"/>
        <v>239.81416912088147</v>
      </c>
      <c r="U141" s="41">
        <f t="shared" si="44"/>
        <v>-9.6353907236068448</v>
      </c>
      <c r="V141" s="40">
        <f t="shared" si="45"/>
        <v>-7.2994143815461578</v>
      </c>
    </row>
    <row r="142" spans="1:22" x14ac:dyDescent="0.25">
      <c r="A142" s="22">
        <v>133</v>
      </c>
      <c r="B142" s="22" cm="1">
        <f t="array" ref="B142">KCASConv($K$4,A142,2)</f>
        <v>132.7252197265625</v>
      </c>
      <c r="C142" s="33" cm="1">
        <f t="array" ref="C142">KCASConv($K$4,A142,1)</f>
        <v>148.53961181640625</v>
      </c>
      <c r="D142" s="33">
        <f t="shared" si="28"/>
        <v>76.409265337657544</v>
      </c>
      <c r="E142" s="33">
        <f t="shared" si="29"/>
        <v>275.07335521556718</v>
      </c>
      <c r="F142" s="32" cm="1">
        <f t="array" ref="F142">KCASConv($K$4,A142,0)</f>
        <v>0.23308700323104858</v>
      </c>
      <c r="G142" s="32">
        <f t="shared" si="30"/>
        <v>2653.8455536647812</v>
      </c>
      <c r="H142" s="32">
        <f t="shared" si="31"/>
        <v>0.23298135383750143</v>
      </c>
      <c r="I142" s="32">
        <f t="shared" si="41"/>
        <v>0.35483947362314244</v>
      </c>
      <c r="J142" s="38">
        <f t="shared" si="42"/>
        <v>0.03</v>
      </c>
      <c r="K142" s="39">
        <f t="shared" si="43"/>
        <v>4.0792039629358082E-5</v>
      </c>
      <c r="L142" s="31">
        <f t="shared" si="32"/>
        <v>3.0040792039629356E-2</v>
      </c>
      <c r="M142" s="31">
        <f t="shared" si="33"/>
        <v>7.7554997062046827</v>
      </c>
      <c r="N142" s="40">
        <f t="shared" si="34"/>
        <v>3.7434356160158191</v>
      </c>
      <c r="O142" s="40">
        <f t="shared" si="35"/>
        <v>16.067533106648398</v>
      </c>
      <c r="P142" s="42">
        <f t="shared" si="36"/>
        <v>758.17164886174726</v>
      </c>
      <c r="Q142" s="41">
        <f t="shared" si="37"/>
        <v>57.931338689366576</v>
      </c>
      <c r="R142" s="20">
        <f t="shared" si="38"/>
        <v>44.28</v>
      </c>
      <c r="S142" s="20">
        <f t="shared" si="39"/>
        <v>67.30665816456208</v>
      </c>
      <c r="T142" s="20">
        <f t="shared" si="40"/>
        <v>245.21201561636639</v>
      </c>
      <c r="U142" s="41">
        <f t="shared" si="44"/>
        <v>-9.8522684845861512</v>
      </c>
      <c r="V142" s="40">
        <f t="shared" si="45"/>
        <v>-7.4083869901327111</v>
      </c>
    </row>
    <row r="143" spans="1:22" x14ac:dyDescent="0.25">
      <c r="A143" s="22">
        <v>134</v>
      </c>
      <c r="B143" s="22" cm="1">
        <f t="array" ref="B143">KCASConv($K$4,A143,2)</f>
        <v>133.71903991699219</v>
      </c>
      <c r="C143" s="33" cm="1">
        <f t="array" ref="C143">KCASConv($K$4,A143,1)</f>
        <v>149.65260314941406</v>
      </c>
      <c r="D143" s="33">
        <f t="shared" si="28"/>
        <v>76.981791743525761</v>
      </c>
      <c r="E143" s="33">
        <f t="shared" si="29"/>
        <v>277.13445027669275</v>
      </c>
      <c r="F143" s="32" cm="1">
        <f t="array" ref="F143">KCASConv($K$4,A143,0)</f>
        <v>0.2348334938287735</v>
      </c>
      <c r="G143" s="32">
        <f t="shared" si="30"/>
        <v>2693.7645081968799</v>
      </c>
      <c r="H143" s="32">
        <f t="shared" si="31"/>
        <v>0.22952879811395327</v>
      </c>
      <c r="I143" s="32">
        <f t="shared" si="41"/>
        <v>0.31769415018874186</v>
      </c>
      <c r="J143" s="38">
        <f t="shared" si="42"/>
        <v>0.03</v>
      </c>
      <c r="K143" s="39">
        <f t="shared" si="43"/>
        <v>3.2698663679351687E-5</v>
      </c>
      <c r="L143" s="31">
        <f t="shared" si="32"/>
        <v>3.0032698663679351E-2</v>
      </c>
      <c r="M143" s="31">
        <f t="shared" si="33"/>
        <v>7.6426298110711759</v>
      </c>
      <c r="N143" s="40">
        <f t="shared" si="34"/>
        <v>3.661520038900949</v>
      </c>
      <c r="O143" s="40">
        <f t="shared" si="35"/>
        <v>15.952333951067562</v>
      </c>
      <c r="P143" s="42">
        <f t="shared" si="36"/>
        <v>769.36867876057329</v>
      </c>
      <c r="Q143" s="41">
        <f t="shared" si="37"/>
        <v>59.227379402338023</v>
      </c>
      <c r="R143" s="20">
        <f t="shared" si="38"/>
        <v>44.28</v>
      </c>
      <c r="S143" s="20">
        <f t="shared" si="39"/>
        <v>66.327108717510569</v>
      </c>
      <c r="T143" s="20">
        <f t="shared" si="40"/>
        <v>250.69790223211859</v>
      </c>
      <c r="U143" s="41">
        <f t="shared" si="44"/>
        <v>-10.072683571826195</v>
      </c>
      <c r="V143" s="40">
        <f t="shared" si="45"/>
        <v>-7.5184251242236071</v>
      </c>
    </row>
    <row r="144" spans="1:22" x14ac:dyDescent="0.25">
      <c r="A144" s="22">
        <v>135</v>
      </c>
      <c r="B144" s="22" cm="1">
        <f t="array" ref="B144">KCASConv($K$4,A144,2)</f>
        <v>134.71278381347656</v>
      </c>
      <c r="C144" s="33" cm="1">
        <f t="array" ref="C144">KCASConv($K$4,A144,1)</f>
        <v>150.76551818847656</v>
      </c>
      <c r="D144" s="33">
        <f t="shared" si="28"/>
        <v>77.554278903537323</v>
      </c>
      <c r="E144" s="33">
        <f t="shared" si="29"/>
        <v>279.19540405273438</v>
      </c>
      <c r="F144" s="32" cm="1">
        <f t="array" ref="F144">KCASConv($K$4,A144,0)</f>
        <v>0.23657986521720886</v>
      </c>
      <c r="G144" s="32">
        <f t="shared" si="30"/>
        <v>2733.9786877238939</v>
      </c>
      <c r="H144" s="32">
        <f t="shared" si="31"/>
        <v>0.22615265171770657</v>
      </c>
      <c r="I144" s="32">
        <f t="shared" si="41"/>
        <v>0.28137089869272008</v>
      </c>
      <c r="J144" s="38">
        <f t="shared" si="42"/>
        <v>0.03</v>
      </c>
      <c r="K144" s="39">
        <f t="shared" si="43"/>
        <v>2.5648969647828399E-5</v>
      </c>
      <c r="L144" s="31">
        <f t="shared" si="32"/>
        <v>3.0025648969647826E-2</v>
      </c>
      <c r="M144" s="31">
        <f t="shared" si="33"/>
        <v>7.5319821378821352</v>
      </c>
      <c r="N144" s="40">
        <f t="shared" si="34"/>
        <v>3.5818725075469993</v>
      </c>
      <c r="O144" s="40">
        <f t="shared" si="35"/>
        <v>15.838295418344442</v>
      </c>
      <c r="P144" s="42">
        <f t="shared" si="36"/>
        <v>780.67099634059343</v>
      </c>
      <c r="Q144" s="41">
        <f t="shared" si="37"/>
        <v>60.544376182100748</v>
      </c>
      <c r="R144" s="20">
        <f t="shared" si="38"/>
        <v>44.28</v>
      </c>
      <c r="S144" s="20">
        <f t="shared" si="39"/>
        <v>65.366844982334257</v>
      </c>
      <c r="T144" s="20">
        <f t="shared" si="40"/>
        <v>256.2724917760878</v>
      </c>
      <c r="U144" s="41">
        <f t="shared" si="44"/>
        <v>-10.296662616003529</v>
      </c>
      <c r="V144" s="40">
        <f t="shared" si="45"/>
        <v>-7.6295262612758998</v>
      </c>
    </row>
    <row r="145" spans="1:22" x14ac:dyDescent="0.25">
      <c r="A145" s="22">
        <v>136</v>
      </c>
      <c r="B145" s="22" cm="1">
        <f t="array" ref="B145">KCASConv($K$4,A145,2)</f>
        <v>135.7064208984375</v>
      </c>
      <c r="C145" s="33" cm="1">
        <f t="array" ref="C145">KCASConv($K$4,A145,1)</f>
        <v>151.87834167480469</v>
      </c>
      <c r="D145" s="33">
        <f t="shared" si="28"/>
        <v>78.126718968520933</v>
      </c>
      <c r="E145" s="33">
        <f t="shared" si="29"/>
        <v>281.25618828667535</v>
      </c>
      <c r="F145" s="32" cm="1">
        <f t="array" ref="F145">KCASConv($K$4,A145,0)</f>
        <v>0.23832610249519348</v>
      </c>
      <c r="G145" s="32">
        <f t="shared" si="30"/>
        <v>2774.4874734793543</v>
      </c>
      <c r="H145" s="32">
        <f t="shared" si="31"/>
        <v>0.22285071959365441</v>
      </c>
      <c r="I145" s="32">
        <f t="shared" si="41"/>
        <v>0.24584610299722673</v>
      </c>
      <c r="J145" s="38">
        <f t="shared" si="42"/>
        <v>0.03</v>
      </c>
      <c r="K145" s="39">
        <f t="shared" si="43"/>
        <v>1.958115139406499E-5</v>
      </c>
      <c r="L145" s="31">
        <f t="shared" si="32"/>
        <v>3.0019581151394064E-2</v>
      </c>
      <c r="M145" s="31">
        <f t="shared" si="33"/>
        <v>7.4235119560722307</v>
      </c>
      <c r="N145" s="40">
        <f t="shared" si="34"/>
        <v>3.5044222795203059</v>
      </c>
      <c r="O145" s="40">
        <f t="shared" si="35"/>
        <v>15.725425010564299</v>
      </c>
      <c r="P145" s="42">
        <f t="shared" si="36"/>
        <v>792.07793222321413</v>
      </c>
      <c r="Q145" s="41">
        <f t="shared" si="37"/>
        <v>61.882450011970221</v>
      </c>
      <c r="R145" s="20">
        <f t="shared" si="38"/>
        <v>44.28</v>
      </c>
      <c r="S145" s="20">
        <f t="shared" si="39"/>
        <v>64.425478761626863</v>
      </c>
      <c r="T145" s="20">
        <f t="shared" si="40"/>
        <v>261.93629634696384</v>
      </c>
      <c r="U145" s="41">
        <f t="shared" si="44"/>
        <v>-10.524226192511943</v>
      </c>
      <c r="V145" s="40">
        <f t="shared" si="45"/>
        <v>-7.7416850592644622</v>
      </c>
    </row>
    <row r="146" spans="1:22" x14ac:dyDescent="0.25">
      <c r="A146" s="22">
        <v>137</v>
      </c>
      <c r="B146" s="22" cm="1">
        <f t="array" ref="B146">KCASConv($K$4,A146,2)</f>
        <v>136.69996643066406</v>
      </c>
      <c r="C146" s="33" cm="1">
        <f t="array" ref="C146">KCASConv($K$4,A146,1)</f>
        <v>152.99107360839844</v>
      </c>
      <c r="D146" s="33">
        <f t="shared" si="28"/>
        <v>78.699111938476563</v>
      </c>
      <c r="E146" s="33">
        <f t="shared" si="29"/>
        <v>283.31680297851563</v>
      </c>
      <c r="F146" s="32" cm="1">
        <f t="array" ref="F146">KCASConv($K$4,A146,0)</f>
        <v>0.24007219076156616</v>
      </c>
      <c r="G146" s="32">
        <f t="shared" si="30"/>
        <v>2815.2907919374306</v>
      </c>
      <c r="H146" s="32">
        <f t="shared" si="31"/>
        <v>0.21962084049689026</v>
      </c>
      <c r="I146" s="32">
        <f t="shared" si="41"/>
        <v>0.2110965107212717</v>
      </c>
      <c r="J146" s="38">
        <f t="shared" si="42"/>
        <v>0.03</v>
      </c>
      <c r="K146" s="39">
        <f t="shared" si="43"/>
        <v>1.4436891008448181E-5</v>
      </c>
      <c r="L146" s="31">
        <f t="shared" si="32"/>
        <v>3.0014436891008446E-2</v>
      </c>
      <c r="M146" s="31">
        <f t="shared" si="33"/>
        <v>7.3171734420472507</v>
      </c>
      <c r="N146" s="40">
        <f t="shared" si="34"/>
        <v>3.4290997930300056</v>
      </c>
      <c r="O146" s="40">
        <f t="shared" si="35"/>
        <v>15.61372675412632</v>
      </c>
      <c r="P146" s="42">
        <f t="shared" si="36"/>
        <v>803.58898782025483</v>
      </c>
      <c r="Q146" s="41">
        <f t="shared" si="37"/>
        <v>63.241739704993314</v>
      </c>
      <c r="R146" s="20">
        <f t="shared" si="38"/>
        <v>44.28</v>
      </c>
      <c r="S146" s="20">
        <f t="shared" si="39"/>
        <v>63.50261237205293</v>
      </c>
      <c r="T146" s="20">
        <f t="shared" si="40"/>
        <v>267.68990351319917</v>
      </c>
      <c r="U146" s="41">
        <f t="shared" si="44"/>
        <v>-10.755397909012467</v>
      </c>
      <c r="V146" s="40">
        <f t="shared" si="45"/>
        <v>-7.8548978824000981</v>
      </c>
    </row>
    <row r="147" spans="1:22" x14ac:dyDescent="0.25">
      <c r="A147" s="22">
        <v>138</v>
      </c>
      <c r="B147" s="22" cm="1">
        <f t="array" ref="B147">KCASConv($K$4,A147,2)</f>
        <v>137.69343566894531</v>
      </c>
      <c r="C147" s="33" cm="1">
        <f t="array" ref="C147">KCASConv($K$4,A147,1)</f>
        <v>154.10372924804688</v>
      </c>
      <c r="D147" s="33">
        <f t="shared" si="28"/>
        <v>79.271465662575551</v>
      </c>
      <c r="E147" s="33">
        <f t="shared" si="29"/>
        <v>285.37727638527201</v>
      </c>
      <c r="F147" s="32" cm="1">
        <f t="array" ref="F147">KCASConv($K$4,A147,0)</f>
        <v>0.24181815981864929</v>
      </c>
      <c r="G147" s="32">
        <f t="shared" si="30"/>
        <v>2856.3891352367782</v>
      </c>
      <c r="H147" s="32">
        <f t="shared" si="31"/>
        <v>0.21646088844866057</v>
      </c>
      <c r="I147" s="32">
        <f t="shared" si="41"/>
        <v>0.17709924890501327</v>
      </c>
      <c r="J147" s="38">
        <f t="shared" si="42"/>
        <v>0.03</v>
      </c>
      <c r="K147" s="39">
        <f t="shared" si="43"/>
        <v>1.0161200170498447E-5</v>
      </c>
      <c r="L147" s="31">
        <f t="shared" si="32"/>
        <v>3.0010161200170499E-2</v>
      </c>
      <c r="M147" s="31">
        <f t="shared" si="33"/>
        <v>7.2129198841967828</v>
      </c>
      <c r="N147" s="40">
        <f t="shared" si="34"/>
        <v>3.3558367576476211</v>
      </c>
      <c r="O147" s="40">
        <f t="shared" si="35"/>
        <v>15.503201440677566</v>
      </c>
      <c r="P147" s="42">
        <f t="shared" si="36"/>
        <v>815.20384177326628</v>
      </c>
      <c r="Q147" s="41">
        <f t="shared" si="37"/>
        <v>64.622403351129151</v>
      </c>
      <c r="R147" s="20">
        <f t="shared" si="38"/>
        <v>44.28</v>
      </c>
      <c r="S147" s="20">
        <f t="shared" si="39"/>
        <v>62.597840423564946</v>
      </c>
      <c r="T147" s="20">
        <f t="shared" si="40"/>
        <v>273.53398243864189</v>
      </c>
      <c r="U147" s="41">
        <f t="shared" si="44"/>
        <v>-10.990204651552576</v>
      </c>
      <c r="V147" s="40">
        <f t="shared" si="45"/>
        <v>-7.9691628670727681</v>
      </c>
    </row>
    <row r="148" spans="1:22" x14ac:dyDescent="0.25">
      <c r="A148" s="22">
        <v>139</v>
      </c>
      <c r="B148" s="22" cm="1">
        <f t="array" ref="B148">KCASConv($K$4,A148,2)</f>
        <v>138.68679809570313</v>
      </c>
      <c r="C148" s="33" cm="1">
        <f t="array" ref="C148">KCASConv($K$4,A148,1)</f>
        <v>155.21629333496094</v>
      </c>
      <c r="D148" s="33">
        <f t="shared" si="28"/>
        <v>79.843772291646573</v>
      </c>
      <c r="E148" s="33">
        <f t="shared" si="29"/>
        <v>287.43758024992769</v>
      </c>
      <c r="F148" s="32" cm="1">
        <f t="array" ref="F148">KCASConv($K$4,A148,0)</f>
        <v>0.24356399476528168</v>
      </c>
      <c r="G148" s="32">
        <f t="shared" si="30"/>
        <v>2897.7818723728078</v>
      </c>
      <c r="H148" s="32">
        <f t="shared" si="31"/>
        <v>0.21336889979996004</v>
      </c>
      <c r="I148" s="32">
        <f t="shared" si="41"/>
        <v>0.14383319106035006</v>
      </c>
      <c r="J148" s="38">
        <f t="shared" si="42"/>
        <v>0.03</v>
      </c>
      <c r="K148" s="39">
        <f t="shared" si="43"/>
        <v>6.7023916151987039E-6</v>
      </c>
      <c r="L148" s="31">
        <f t="shared" si="32"/>
        <v>3.0006702391615198E-2</v>
      </c>
      <c r="M148" s="31">
        <f t="shared" si="33"/>
        <v>7.1107080350016041</v>
      </c>
      <c r="N148" s="40">
        <f t="shared" si="34"/>
        <v>3.2845691223683358</v>
      </c>
      <c r="O148" s="40">
        <f t="shared" si="35"/>
        <v>15.393851331884457</v>
      </c>
      <c r="P148" s="42">
        <f t="shared" si="36"/>
        <v>826.92187206342987</v>
      </c>
      <c r="Q148" s="41">
        <f t="shared" si="37"/>
        <v>66.024561656014598</v>
      </c>
      <c r="R148" s="20">
        <f t="shared" si="38"/>
        <v>44.28</v>
      </c>
      <c r="S148" s="20">
        <f t="shared" si="39"/>
        <v>61.710787589478215</v>
      </c>
      <c r="T148" s="20">
        <f t="shared" si="40"/>
        <v>279.46904404662263</v>
      </c>
      <c r="U148" s="41">
        <f t="shared" si="44"/>
        <v>-11.228666948301802</v>
      </c>
      <c r="V148" s="40">
        <f t="shared" si="45"/>
        <v>-8.0844752213029718</v>
      </c>
    </row>
    <row r="149" spans="1:22" x14ac:dyDescent="0.25">
      <c r="A149" s="22">
        <v>140</v>
      </c>
      <c r="B149" s="22" cm="1">
        <f t="array" ref="B149">KCASConv($K$4,A149,2)</f>
        <v>139.68006896972656</v>
      </c>
      <c r="C149" s="33" cm="1">
        <f t="array" ref="C149">KCASConv($K$4,A149,1)</f>
        <v>156.32876586914063</v>
      </c>
      <c r="D149" s="33">
        <f t="shared" si="28"/>
        <v>80.416031825689629</v>
      </c>
      <c r="E149" s="33">
        <f t="shared" si="29"/>
        <v>289.49771457248266</v>
      </c>
      <c r="F149" s="32" cm="1">
        <f t="array" ref="F149">KCASConv($K$4,A149,0)</f>
        <v>0.24530968070030212</v>
      </c>
      <c r="G149" s="32">
        <f t="shared" si="30"/>
        <v>2939.4689298368307</v>
      </c>
      <c r="H149" s="32">
        <f t="shared" si="31"/>
        <v>0.21034293769615581</v>
      </c>
      <c r="I149" s="32">
        <f t="shared" si="41"/>
        <v>0.11127749897421785</v>
      </c>
      <c r="J149" s="38">
        <f t="shared" si="42"/>
        <v>0.03</v>
      </c>
      <c r="K149" s="39">
        <f t="shared" si="43"/>
        <v>4.0116799726133533E-6</v>
      </c>
      <c r="L149" s="31">
        <f t="shared" si="32"/>
        <v>3.0004011679972614E-2</v>
      </c>
      <c r="M149" s="31">
        <f t="shared" si="33"/>
        <v>7.0104937946200598</v>
      </c>
      <c r="N149" s="40">
        <f t="shared" si="34"/>
        <v>3.2152339336741407</v>
      </c>
      <c r="O149" s="40">
        <f t="shared" si="35"/>
        <v>15.285675710770022</v>
      </c>
      <c r="P149" s="42">
        <f t="shared" si="36"/>
        <v>838.74262958657562</v>
      </c>
      <c r="Q149" s="41">
        <f t="shared" si="37"/>
        <v>67.448353994396669</v>
      </c>
      <c r="R149" s="20">
        <f t="shared" si="38"/>
        <v>44.28</v>
      </c>
      <c r="S149" s="20">
        <f t="shared" si="39"/>
        <v>60.841071146166954</v>
      </c>
      <c r="T149" s="20">
        <f t="shared" si="40"/>
        <v>285.49567828316049</v>
      </c>
      <c r="U149" s="41">
        <f t="shared" si="44"/>
        <v>-11.470808502448413</v>
      </c>
      <c r="V149" s="40">
        <f t="shared" si="45"/>
        <v>-8.2008318832048062</v>
      </c>
    </row>
    <row r="150" spans="1:22" x14ac:dyDescent="0.25">
      <c r="A150" s="22">
        <v>141</v>
      </c>
      <c r="B150" s="22" cm="1">
        <f t="array" ref="B150">KCASConv($K$4,A150,2)</f>
        <v>140.67324829101563</v>
      </c>
      <c r="C150" s="33" cm="1">
        <f t="array" ref="C150">KCASConv($K$4,A150,1)</f>
        <v>157.441162109375</v>
      </c>
      <c r="D150" s="33">
        <f t="shared" si="28"/>
        <v>80.98825211387603</v>
      </c>
      <c r="E150" s="33">
        <f t="shared" si="29"/>
        <v>291.5577076099537</v>
      </c>
      <c r="F150" s="32" cm="1">
        <f t="array" ref="F150">KCASConv($K$4,A150,0)</f>
        <v>0.24705523252487183</v>
      </c>
      <c r="G150" s="32">
        <f t="shared" si="30"/>
        <v>2981.4508120351343</v>
      </c>
      <c r="H150" s="32">
        <f t="shared" si="31"/>
        <v>0.20738109361811202</v>
      </c>
      <c r="I150" s="32">
        <f t="shared" si="41"/>
        <v>7.9411639289226274E-2</v>
      </c>
      <c r="J150" s="38">
        <f t="shared" si="42"/>
        <v>0.03</v>
      </c>
      <c r="K150" s="39">
        <f t="shared" si="43"/>
        <v>2.0430542118499353E-6</v>
      </c>
      <c r="L150" s="31">
        <f t="shared" si="32"/>
        <v>3.0002043054211849E-2</v>
      </c>
      <c r="M150" s="31">
        <f t="shared" si="33"/>
        <v>6.9122323850874796</v>
      </c>
      <c r="N150" s="40">
        <f t="shared" si="34"/>
        <v>3.1477694102853406</v>
      </c>
      <c r="O150" s="40">
        <f t="shared" si="35"/>
        <v>15.178671089862666</v>
      </c>
      <c r="P150" s="42">
        <f t="shared" si="36"/>
        <v>850.66584460985018</v>
      </c>
      <c r="Q150" s="41">
        <f t="shared" si="37"/>
        <v>68.893939887925839</v>
      </c>
      <c r="R150" s="20">
        <f t="shared" si="38"/>
        <v>44.28</v>
      </c>
      <c r="S150" s="20">
        <f t="shared" si="39"/>
        <v>59.988302484866345</v>
      </c>
      <c r="T150" s="20">
        <f t="shared" si="40"/>
        <v>291.61456037217283</v>
      </c>
      <c r="U150" s="41">
        <f t="shared" si="44"/>
        <v>-11.716656443524803</v>
      </c>
      <c r="V150" s="40">
        <f t="shared" si="45"/>
        <v>-8.3182315873873875</v>
      </c>
    </row>
    <row r="151" spans="1:22" x14ac:dyDescent="0.25">
      <c r="A151" s="22">
        <v>142</v>
      </c>
      <c r="B151" s="22" cm="1">
        <f t="array" ref="B151">KCASConv($K$4,A151,2)</f>
        <v>141.66633605957031</v>
      </c>
      <c r="C151" s="33" cm="1">
        <f t="array" ref="C151">KCASConv($K$4,A151,1)</f>
        <v>158.553466796875</v>
      </c>
      <c r="D151" s="33">
        <f t="shared" si="28"/>
        <v>81.560425307034464</v>
      </c>
      <c r="E151" s="33">
        <f t="shared" si="29"/>
        <v>293.61753110532408</v>
      </c>
      <c r="F151" s="32" cm="1">
        <f t="array" ref="F151">KCASConv($K$4,A151,0)</f>
        <v>0.24880065023899078</v>
      </c>
      <c r="G151" s="32">
        <f t="shared" si="30"/>
        <v>3023.7268757278694</v>
      </c>
      <c r="H151" s="32">
        <f t="shared" si="31"/>
        <v>0.20448160676536581</v>
      </c>
      <c r="I151" s="32">
        <f t="shared" si="41"/>
        <v>4.8216667922228229E-2</v>
      </c>
      <c r="J151" s="38">
        <f t="shared" si="42"/>
        <v>0.03</v>
      </c>
      <c r="K151" s="39">
        <f t="shared" si="43"/>
        <v>7.5319244888840222E-7</v>
      </c>
      <c r="L151" s="31">
        <f t="shared" si="32"/>
        <v>3.0000753192448888E-2</v>
      </c>
      <c r="M151" s="31">
        <f t="shared" si="33"/>
        <v>6.8158824364727382</v>
      </c>
      <c r="N151" s="40">
        <f t="shared" si="34"/>
        <v>3.0821176708620159</v>
      </c>
      <c r="O151" s="40">
        <f t="shared" si="35"/>
        <v>15.072835741156021</v>
      </c>
      <c r="P151" s="42">
        <f t="shared" si="36"/>
        <v>862.69093617802139</v>
      </c>
      <c r="Q151" s="41">
        <f t="shared" si="37"/>
        <v>70.361439663203143</v>
      </c>
      <c r="R151" s="20">
        <f t="shared" si="38"/>
        <v>44.28</v>
      </c>
      <c r="S151" s="20">
        <f t="shared" si="39"/>
        <v>59.152122573674127</v>
      </c>
      <c r="T151" s="20">
        <f t="shared" si="40"/>
        <v>297.82619963260589</v>
      </c>
      <c r="U151" s="41">
        <f t="shared" si="44"/>
        <v>-11.966231235238629</v>
      </c>
      <c r="V151" s="40">
        <f t="shared" si="45"/>
        <v>-8.4366700353174711</v>
      </c>
    </row>
    <row r="152" spans="1:22" x14ac:dyDescent="0.25">
      <c r="A152" s="22">
        <v>143</v>
      </c>
      <c r="B152" s="22" cm="1">
        <f t="array" ref="B152">KCASConv($K$4,A152,2)</f>
        <v>142.65931701660156</v>
      </c>
      <c r="C152" s="33" cm="1">
        <f t="array" ref="C152">KCASConv($K$4,A152,1)</f>
        <v>159.66567993164063</v>
      </c>
      <c r="D152" s="33">
        <f t="shared" si="28"/>
        <v>82.132551405164932</v>
      </c>
      <c r="E152" s="33">
        <f t="shared" si="29"/>
        <v>295.67718505859375</v>
      </c>
      <c r="F152" s="32" cm="1">
        <f t="array" ref="F152">KCASConv($K$4,A152,0)</f>
        <v>0.2505459189414978</v>
      </c>
      <c r="G152" s="32">
        <f t="shared" si="30"/>
        <v>3066.2970474234858</v>
      </c>
      <c r="H152" s="32">
        <f t="shared" si="31"/>
        <v>0.20164273728404419</v>
      </c>
      <c r="I152" s="32">
        <f t="shared" si="41"/>
        <v>1.767386615004728E-2</v>
      </c>
      <c r="J152" s="38">
        <f t="shared" si="42"/>
        <v>0.03</v>
      </c>
      <c r="K152" s="39">
        <f t="shared" si="43"/>
        <v>1.0119864357632093E-7</v>
      </c>
      <c r="L152" s="31">
        <f t="shared" si="32"/>
        <v>3.0000101198643575E-2</v>
      </c>
      <c r="M152" s="31">
        <f t="shared" si="33"/>
        <v>6.7214019029096228</v>
      </c>
      <c r="N152" s="40">
        <f t="shared" si="34"/>
        <v>3.0182218358566097</v>
      </c>
      <c r="O152" s="40">
        <f t="shared" si="35"/>
        <v>14.968165362707753</v>
      </c>
      <c r="P152" s="42">
        <f t="shared" si="36"/>
        <v>874.81749863144046</v>
      </c>
      <c r="Q152" s="41">
        <f t="shared" si="37"/>
        <v>71.850993176484579</v>
      </c>
      <c r="R152" s="20">
        <f t="shared" si="38"/>
        <v>44.28</v>
      </c>
      <c r="S152" s="20">
        <f t="shared" si="39"/>
        <v>58.332166514537086</v>
      </c>
      <c r="T152" s="20">
        <f t="shared" si="40"/>
        <v>304.13118804861193</v>
      </c>
      <c r="U152" s="41">
        <f t="shared" si="44"/>
        <v>-12.219556662667445</v>
      </c>
      <c r="V152" s="40">
        <f t="shared" si="45"/>
        <v>-8.5561446851501604</v>
      </c>
    </row>
    <row r="153" spans="1:22" x14ac:dyDescent="0.25">
      <c r="A153" s="22">
        <v>144</v>
      </c>
      <c r="B153" s="22" cm="1">
        <f t="array" ref="B153">KCASConv($K$4,A153,2)</f>
        <v>143.65220642089844</v>
      </c>
      <c r="C153" s="33" cm="1">
        <f t="array" ref="C153">KCASConv($K$4,A153,1)</f>
        <v>160.77780151367188</v>
      </c>
      <c r="D153" s="33">
        <f t="shared" si="28"/>
        <v>82.704630408267434</v>
      </c>
      <c r="E153" s="33">
        <f t="shared" si="29"/>
        <v>297.73666946976277</v>
      </c>
      <c r="F153" s="32" cm="1">
        <f t="array" ref="F153">KCASConv($K$4,A153,0)</f>
        <v>0.25229105353355408</v>
      </c>
      <c r="G153" s="32">
        <f t="shared" si="30"/>
        <v>3109.161253636481</v>
      </c>
      <c r="H153" s="32">
        <f t="shared" si="31"/>
        <v>0.19886280560240915</v>
      </c>
      <c r="I153" s="32">
        <f t="shared" si="41"/>
        <v>-1.2234836187637106E-2</v>
      </c>
      <c r="J153" s="38">
        <f t="shared" si="42"/>
        <v>0.03</v>
      </c>
      <c r="K153" s="39">
        <f t="shared" si="43"/>
        <v>4.849621965832026E-8</v>
      </c>
      <c r="L153" s="31">
        <f t="shared" si="32"/>
        <v>3.0000048496219657E-2</v>
      </c>
      <c r="M153" s="31">
        <f t="shared" si="33"/>
        <v>6.6287494711039585</v>
      </c>
      <c r="N153" s="40">
        <f t="shared" si="34"/>
        <v>2.9560269323723758</v>
      </c>
      <c r="O153" s="40">
        <f t="shared" si="35"/>
        <v>14.864654671937126</v>
      </c>
      <c r="P153" s="42">
        <f t="shared" si="36"/>
        <v>887.04513960470115</v>
      </c>
      <c r="Q153" s="41">
        <f t="shared" si="37"/>
        <v>73.36274042645681</v>
      </c>
      <c r="R153" s="20">
        <f t="shared" si="38"/>
        <v>44.28</v>
      </c>
      <c r="S153" s="20">
        <f t="shared" si="39"/>
        <v>57.528075767080786</v>
      </c>
      <c r="T153" s="20">
        <f t="shared" si="40"/>
        <v>310.53011820722458</v>
      </c>
      <c r="U153" s="41">
        <f t="shared" si="44"/>
        <v>-12.476656535111701</v>
      </c>
      <c r="V153" s="40">
        <f t="shared" si="45"/>
        <v>-8.6766531579510104</v>
      </c>
    </row>
    <row r="154" spans="1:22" x14ac:dyDescent="0.25">
      <c r="A154" s="22">
        <v>145</v>
      </c>
      <c r="B154" s="22" cm="1">
        <f t="array" ref="B154">KCASConv($K$4,A154,2)</f>
        <v>144.64500427246094</v>
      </c>
      <c r="C154" s="33" cm="1">
        <f t="array" ref="C154">KCASConv($K$4,A154,1)</f>
        <v>161.88983154296875</v>
      </c>
      <c r="D154" s="33">
        <f t="shared" si="28"/>
        <v>83.276662316341955</v>
      </c>
      <c r="E154" s="33">
        <f t="shared" si="29"/>
        <v>299.79598433883103</v>
      </c>
      <c r="F154" s="32" cm="1">
        <f t="array" ref="F154">KCASConv($K$4,A154,0)</f>
        <v>0.25403603911399841</v>
      </c>
      <c r="G154" s="32">
        <f t="shared" si="30"/>
        <v>3152.3194208874011</v>
      </c>
      <c r="H154" s="32">
        <f t="shared" si="31"/>
        <v>0.19614018994128432</v>
      </c>
      <c r="I154" s="32">
        <f t="shared" si="41"/>
        <v>-4.152688747308695E-2</v>
      </c>
      <c r="J154" s="38">
        <f t="shared" si="42"/>
        <v>0.03</v>
      </c>
      <c r="K154" s="39">
        <f t="shared" si="43"/>
        <v>5.5868926972934701E-7</v>
      </c>
      <c r="L154" s="31">
        <f t="shared" si="32"/>
        <v>3.0000558689269728E-2</v>
      </c>
      <c r="M154" s="31">
        <f t="shared" si="33"/>
        <v>6.5378845765108231</v>
      </c>
      <c r="N154" s="40">
        <f t="shared" si="34"/>
        <v>2.8954798355218045</v>
      </c>
      <c r="O154" s="40">
        <f t="shared" si="35"/>
        <v>14.762297499500654</v>
      </c>
      <c r="P154" s="42">
        <f t="shared" si="36"/>
        <v>899.37347947768035</v>
      </c>
      <c r="Q154" s="41">
        <f t="shared" si="37"/>
        <v>74.896821546736291</v>
      </c>
      <c r="R154" s="20">
        <f t="shared" si="38"/>
        <v>44.28</v>
      </c>
      <c r="S154" s="20">
        <f t="shared" si="39"/>
        <v>56.739498289004644</v>
      </c>
      <c r="T154" s="20">
        <f t="shared" si="40"/>
        <v>317.02358326660863</v>
      </c>
      <c r="U154" s="41">
        <f t="shared" si="44"/>
        <v>-12.737554684819097</v>
      </c>
      <c r="V154" s="40">
        <f t="shared" si="45"/>
        <v>-8.7981932329384094</v>
      </c>
    </row>
    <row r="155" spans="1:22" x14ac:dyDescent="0.25">
      <c r="A155" s="22">
        <v>146</v>
      </c>
      <c r="B155" s="22" cm="1">
        <f t="array" ref="B155">KCASConv($K$4,A155,2)</f>
        <v>145.63771057128906</v>
      </c>
      <c r="C155" s="33" cm="1">
        <f t="array" ref="C155">KCASConv($K$4,A155,1)</f>
        <v>163.00178527832031</v>
      </c>
      <c r="D155" s="33">
        <f t="shared" si="28"/>
        <v>83.848654978559836</v>
      </c>
      <c r="E155" s="33">
        <f t="shared" si="29"/>
        <v>301.85515792281541</v>
      </c>
      <c r="F155" s="32" cm="1">
        <f t="array" ref="F155">KCASConv($K$4,A155,0)</f>
        <v>0.2557809054851532</v>
      </c>
      <c r="G155" s="32">
        <f t="shared" si="30"/>
        <v>3195.7720740227887</v>
      </c>
      <c r="H155" s="32">
        <f t="shared" si="31"/>
        <v>0.19347328772109584</v>
      </c>
      <c r="I155" s="32">
        <f t="shared" si="41"/>
        <v>-7.0219529524064683E-2</v>
      </c>
      <c r="J155" s="38">
        <f t="shared" si="42"/>
        <v>0.03</v>
      </c>
      <c r="K155" s="39">
        <f t="shared" si="43"/>
        <v>1.5974504605354034E-6</v>
      </c>
      <c r="L155" s="31">
        <f t="shared" si="32"/>
        <v>3.0001597450460535E-2</v>
      </c>
      <c r="M155" s="31">
        <f t="shared" si="33"/>
        <v>6.4487662045517498</v>
      </c>
      <c r="N155" s="40">
        <f t="shared" si="34"/>
        <v>2.836528412263005</v>
      </c>
      <c r="O155" s="40">
        <f t="shared" si="35"/>
        <v>14.661085494923942</v>
      </c>
      <c r="P155" s="42">
        <f t="shared" si="36"/>
        <v>911.80232210150575</v>
      </c>
      <c r="Q155" s="41">
        <f t="shared" si="37"/>
        <v>76.453398314538831</v>
      </c>
      <c r="R155" s="20">
        <f t="shared" si="38"/>
        <v>44.28</v>
      </c>
      <c r="S155" s="20">
        <f t="shared" si="39"/>
        <v>55.966078132359833</v>
      </c>
      <c r="T155" s="20">
        <f t="shared" si="40"/>
        <v>323.61226799804803</v>
      </c>
      <c r="U155" s="41">
        <f t="shared" si="44"/>
        <v>-13.002278624921571</v>
      </c>
      <c r="V155" s="40">
        <f t="shared" si="45"/>
        <v>-8.9207645321018045</v>
      </c>
    </row>
    <row r="156" spans="1:22" x14ac:dyDescent="0.25">
      <c r="A156" s="22">
        <v>147</v>
      </c>
      <c r="B156" s="22" cm="1">
        <f t="array" ref="B156">KCASConv($K$4,A156,2)</f>
        <v>146.63031005859375</v>
      </c>
      <c r="C156" s="33" cm="1">
        <f t="array" ref="C156">KCASConv($K$4,A156,1)</f>
        <v>164.1136474609375</v>
      </c>
      <c r="D156" s="33">
        <f t="shared" si="28"/>
        <v>84.42060054574975</v>
      </c>
      <c r="E156" s="33">
        <f t="shared" si="29"/>
        <v>303.91416196469913</v>
      </c>
      <c r="F156" s="32" cm="1">
        <f t="array" ref="F156">KCASConv($K$4,A156,0)</f>
        <v>0.25752562284469604</v>
      </c>
      <c r="G156" s="32">
        <f t="shared" si="30"/>
        <v>3239.5185494177667</v>
      </c>
      <c r="H156" s="32">
        <f t="shared" si="31"/>
        <v>0.19086062343417656</v>
      </c>
      <c r="I156" s="32">
        <f t="shared" si="41"/>
        <v>-9.8328637018320689E-2</v>
      </c>
      <c r="J156" s="38">
        <f t="shared" si="42"/>
        <v>0.03</v>
      </c>
      <c r="K156" s="39">
        <f t="shared" si="43"/>
        <v>3.1323595474609377E-6</v>
      </c>
      <c r="L156" s="31">
        <f t="shared" si="32"/>
        <v>3.000313235954746E-2</v>
      </c>
      <c r="M156" s="31">
        <f t="shared" si="33"/>
        <v>6.361356579272023</v>
      </c>
      <c r="N156" s="40">
        <f t="shared" si="34"/>
        <v>2.7791239008615025</v>
      </c>
      <c r="O156" s="40">
        <f t="shared" si="35"/>
        <v>14.561012380953258</v>
      </c>
      <c r="P156" s="42">
        <f t="shared" si="36"/>
        <v>924.33114332240314</v>
      </c>
      <c r="Q156" s="41">
        <f t="shared" si="37"/>
        <v>78.032590222416758</v>
      </c>
      <c r="R156" s="20">
        <f t="shared" si="38"/>
        <v>44.28</v>
      </c>
      <c r="S156" s="20">
        <f t="shared" si="39"/>
        <v>55.20748745582506</v>
      </c>
      <c r="T156" s="20">
        <f t="shared" si="40"/>
        <v>330.29667819012383</v>
      </c>
      <c r="U156" s="41">
        <f t="shared" si="44"/>
        <v>-13.27084867728176</v>
      </c>
      <c r="V156" s="40">
        <f t="shared" si="45"/>
        <v>-9.0443634770939294</v>
      </c>
    </row>
    <row r="157" spans="1:22" x14ac:dyDescent="0.25">
      <c r="A157" s="22">
        <v>148</v>
      </c>
      <c r="B157" s="22" cm="1">
        <f t="array" ref="B157">KCASConv($K$4,A157,2)</f>
        <v>147.62281799316406</v>
      </c>
      <c r="C157" s="33" cm="1">
        <f t="array" ref="C157">KCASConv($K$4,A157,1)</f>
        <v>165.22540283203125</v>
      </c>
      <c r="D157" s="33">
        <f t="shared" si="28"/>
        <v>84.992491168740358</v>
      </c>
      <c r="E157" s="33">
        <f t="shared" si="29"/>
        <v>305.97296820746527</v>
      </c>
      <c r="F157" s="32" cm="1">
        <f t="array" ref="F157">KCASConv($K$4,A157,0)</f>
        <v>0.25927019119262695</v>
      </c>
      <c r="G157" s="32">
        <f t="shared" si="30"/>
        <v>3283.558167127931</v>
      </c>
      <c r="H157" s="32">
        <f t="shared" si="31"/>
        <v>0.18830076962189679</v>
      </c>
      <c r="I157" s="32">
        <f t="shared" ref="I157:I159" si="46">(H157-$E$9)/$E$10*180/PI()</f>
        <v>-0.12586956768408145</v>
      </c>
      <c r="J157" s="38">
        <f t="shared" si="42"/>
        <v>0.03</v>
      </c>
      <c r="K157" s="39">
        <f t="shared" si="43"/>
        <v>5.1327847191072051E-6</v>
      </c>
      <c r="L157" s="31">
        <f t="shared" si="32"/>
        <v>3.0005132784719106E-2</v>
      </c>
      <c r="M157" s="31">
        <f t="shared" si="33"/>
        <v>6.2756186074201894</v>
      </c>
      <c r="N157" s="40">
        <f t="shared" si="34"/>
        <v>2.7232191320715144</v>
      </c>
      <c r="O157" s="40">
        <f t="shared" si="35"/>
        <v>14.46207117230413</v>
      </c>
      <c r="P157" s="42">
        <f t="shared" si="36"/>
        <v>936.95942469282363</v>
      </c>
      <c r="Q157" s="41">
        <f t="shared" si="37"/>
        <v>79.634515628672858</v>
      </c>
      <c r="R157" s="20">
        <f t="shared" si="38"/>
        <v>44.28</v>
      </c>
      <c r="S157" s="20">
        <f t="shared" si="39"/>
        <v>54.463404342968076</v>
      </c>
      <c r="T157" s="20">
        <f t="shared" si="40"/>
        <v>337.07731483036127</v>
      </c>
      <c r="U157" s="41">
        <f t="shared" si="44"/>
        <v>-13.543284970862731</v>
      </c>
      <c r="V157" s="40">
        <f t="shared" ref="V157:V159" si="47">ASIN(U157/D157)*180/PI()</f>
        <v>-9.1689865780279867</v>
      </c>
    </row>
    <row r="158" spans="1:22" x14ac:dyDescent="0.25">
      <c r="A158" s="22">
        <v>149</v>
      </c>
      <c r="B158" s="22" cm="1">
        <f t="array" ref="B158">KCASConv($K$4,A158,2)</f>
        <v>148.61521911621094</v>
      </c>
      <c r="C158" s="33" cm="1">
        <f t="array" ref="C158">KCASConv($K$4,A158,1)</f>
        <v>166.33706665039063</v>
      </c>
      <c r="D158" s="33">
        <f t="shared" ref="D158:D159" si="48">C158/1.944</f>
        <v>85.564334696703</v>
      </c>
      <c r="E158" s="33">
        <f t="shared" ref="E158:E159" si="49">3.6*D158</f>
        <v>308.03160490813082</v>
      </c>
      <c r="F158" s="32" cm="1">
        <f t="array" ref="F158">KCASConv($K$4,A158,0)</f>
        <v>0.26101461052894592</v>
      </c>
      <c r="G158" s="32">
        <f t="shared" ref="G158:G159" si="50">0.5*$K$6*D158^2</f>
        <v>3327.8914520180274</v>
      </c>
      <c r="H158" s="32">
        <f t="shared" ref="H158:H159" si="51">$E$4/(G158*$E$5)</f>
        <v>0.18579227684650601</v>
      </c>
      <c r="I158" s="32">
        <f t="shared" si="46"/>
        <v>-0.15285791571832796</v>
      </c>
      <c r="J158" s="38">
        <f t="shared" si="42"/>
        <v>0.03</v>
      </c>
      <c r="K158" s="39">
        <f t="shared" si="43"/>
        <v>7.5698528127541453E-6</v>
      </c>
      <c r="L158" s="31">
        <f t="shared" ref="L158:L159" si="52">J158+K158</f>
        <v>3.0007569852812752E-2</v>
      </c>
      <c r="M158" s="31">
        <f t="shared" ref="M158:M159" si="53">H158/L158</f>
        <v>6.1915135999955293</v>
      </c>
      <c r="N158" s="40">
        <f t="shared" ref="N158:N159" si="54">H158^1.5/L158</f>
        <v>2.668767005298617</v>
      </c>
      <c r="O158" s="40">
        <f t="shared" ref="O158:O159" si="55">H158^0.5/L158</f>
        <v>14.364251574910417</v>
      </c>
      <c r="P158" s="42">
        <f t="shared" ref="P158:P159" si="56">G158*$E$5*L158</f>
        <v>949.68700383767953</v>
      </c>
      <c r="Q158" s="41">
        <f t="shared" ref="Q158:Q159" si="57">P158*D158/1000</f>
        <v>81.259336653476282</v>
      </c>
      <c r="R158" s="20">
        <f t="shared" ref="R158:R159" si="58">$S$4*$X$14</f>
        <v>44.28</v>
      </c>
      <c r="S158" s="20">
        <f t="shared" ref="S158:S159" si="59">60^2*1000*$X$15*$W$4/$E$4*M158/1000</f>
        <v>53.733493028532635</v>
      </c>
      <c r="T158" s="20">
        <f t="shared" ref="T158:T159" si="60">E158/S158*60</f>
        <v>343.95486414169852</v>
      </c>
      <c r="U158" s="41">
        <f t="shared" si="44"/>
        <v>-13.819615077121815</v>
      </c>
      <c r="V158" s="40">
        <f t="shared" si="47"/>
        <v>-9.2946338933945452</v>
      </c>
    </row>
    <row r="159" spans="1:22" x14ac:dyDescent="0.25">
      <c r="A159" s="22">
        <v>150</v>
      </c>
      <c r="B159" s="22" cm="1">
        <f t="array" ref="B159">KCASConv($K$4,A159,2)</f>
        <v>149.60752868652344</v>
      </c>
      <c r="C159" s="33" cm="1">
        <f t="array" ref="C159">KCASConv($K$4,A159,1)</f>
        <v>167.44863891601563</v>
      </c>
      <c r="D159" s="33">
        <f t="shared" si="48"/>
        <v>86.136131129637675</v>
      </c>
      <c r="E159" s="33">
        <f t="shared" si="49"/>
        <v>310.09007206669565</v>
      </c>
      <c r="F159" s="32" cm="1">
        <f t="array" ref="F159">KCASConv($K$4,A159,0)</f>
        <v>0.26275888085365295</v>
      </c>
      <c r="G159" s="32">
        <f t="shared" si="50"/>
        <v>3372.5183306388485</v>
      </c>
      <c r="H159" s="32">
        <f t="shared" si="51"/>
        <v>0.18333377890086419</v>
      </c>
      <c r="I159" s="32">
        <f t="shared" si="46"/>
        <v>-0.17930837985734671</v>
      </c>
      <c r="J159" s="38">
        <f t="shared" si="42"/>
        <v>0.03</v>
      </c>
      <c r="K159" s="39">
        <f t="shared" si="43"/>
        <v>1.0416282291931868E-5</v>
      </c>
      <c r="L159" s="31">
        <f t="shared" si="52"/>
        <v>3.0010416282291931E-2</v>
      </c>
      <c r="M159" s="31">
        <f t="shared" si="53"/>
        <v>6.1090048593908666</v>
      </c>
      <c r="N159" s="40">
        <f t="shared" si="54"/>
        <v>2.6157227866815154</v>
      </c>
      <c r="O159" s="40">
        <f t="shared" si="55"/>
        <v>14.267544161056861</v>
      </c>
      <c r="P159" s="42">
        <f t="shared" si="56"/>
        <v>962.51355750047628</v>
      </c>
      <c r="Q159" s="41">
        <f t="shared" si="57"/>
        <v>82.907194002915077</v>
      </c>
      <c r="R159" s="20">
        <f t="shared" si="58"/>
        <v>44.28</v>
      </c>
      <c r="S159" s="20">
        <f t="shared" si="59"/>
        <v>53.017435029713596</v>
      </c>
      <c r="T159" s="20">
        <f t="shared" si="60"/>
        <v>350.92992170546069</v>
      </c>
      <c r="U159" s="41">
        <f t="shared" si="44"/>
        <v>-14.099862925665828</v>
      </c>
      <c r="V159" s="40">
        <f t="shared" si="47"/>
        <v>-9.4213039306705539</v>
      </c>
    </row>
  </sheetData>
  <pageMargins left="0.7" right="0.7" top="0.75" bottom="0.75" header="0.3" footer="0.3"/>
  <pageSetup paperSize="9" orientation="portrait" r:id="rId1"/>
  <ignoredErrors>
    <ignoredError sqref="X14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6880-64CF-4B52-B8A3-6B45C955EA42}">
  <sheetPr codeName="Sheet3"/>
  <dimension ref="A1:AP789"/>
  <sheetViews>
    <sheetView tabSelected="1" topLeftCell="R8" zoomScale="85" zoomScaleNormal="85" workbookViewId="0">
      <selection activeCell="U22" sqref="U22:U789"/>
    </sheetView>
  </sheetViews>
  <sheetFormatPr defaultRowHeight="16.5" x14ac:dyDescent="0.3"/>
  <cols>
    <col min="2" max="3" width="11.875" bestFit="1" customWidth="1"/>
    <col min="4" max="4" width="10" bestFit="1" customWidth="1"/>
    <col min="5" max="5" width="12.125" customWidth="1"/>
    <col min="6" max="6" width="13.125" customWidth="1"/>
    <col min="7" max="7" width="13.5" customWidth="1"/>
    <col min="8" max="8" width="15.75" customWidth="1"/>
    <col min="9" max="9" width="14" customWidth="1"/>
    <col min="10" max="10" width="12.375" customWidth="1"/>
    <col min="11" max="11" width="11.875" customWidth="1"/>
    <col min="12" max="12" width="11.5" customWidth="1"/>
    <col min="13" max="13" width="14.75" customWidth="1"/>
    <col min="14" max="14" width="14.25" customWidth="1"/>
    <col min="16" max="16" width="11.75" customWidth="1"/>
    <col min="17" max="17" width="12.375" customWidth="1"/>
    <col min="18" max="18" width="11.625" customWidth="1"/>
    <col min="19" max="19" width="13.25" customWidth="1"/>
    <col min="20" max="20" width="12.625" customWidth="1"/>
    <col min="21" max="21" width="13" customWidth="1"/>
    <col min="28" max="28" width="9.375" bestFit="1" customWidth="1"/>
    <col min="34" max="34" width="11.375" customWidth="1"/>
  </cols>
  <sheetData>
    <row r="1" spans="1:42" ht="36" x14ac:dyDescent="0.3">
      <c r="A1" s="6" t="s">
        <v>125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</row>
    <row r="2" spans="1:42" ht="18.75" x14ac:dyDescent="0.3">
      <c r="A2" s="46" t="s">
        <v>146</v>
      </c>
      <c r="B2" s="16"/>
      <c r="C2" s="16"/>
      <c r="D2" s="16"/>
      <c r="E2" s="16"/>
      <c r="F2" s="16"/>
      <c r="G2" s="16"/>
      <c r="H2" s="16"/>
      <c r="I2" s="14"/>
      <c r="J2" s="46" t="s">
        <v>147</v>
      </c>
      <c r="K2" s="16"/>
      <c r="L2" s="16"/>
      <c r="M2" s="16"/>
      <c r="N2" s="16"/>
      <c r="O2" s="16"/>
      <c r="P2" s="16"/>
      <c r="Q2" s="16"/>
      <c r="R2" s="46" t="s">
        <v>143</v>
      </c>
      <c r="S2" s="16"/>
      <c r="T2" s="16"/>
      <c r="U2" s="16"/>
      <c r="V2" s="16"/>
      <c r="W2" s="16"/>
      <c r="X2" s="16"/>
      <c r="Y2" s="46" t="s">
        <v>194</v>
      </c>
      <c r="Z2" s="16"/>
      <c r="AA2" s="16"/>
      <c r="AB2" s="16"/>
      <c r="AC2" s="16"/>
      <c r="AD2" s="16"/>
      <c r="AE2" s="16"/>
      <c r="AF2" s="46" t="s">
        <v>240</v>
      </c>
      <c r="AG2" s="16"/>
      <c r="AH2" s="16"/>
      <c r="AI2" s="16"/>
      <c r="AJ2" s="16"/>
      <c r="AK2" s="16"/>
      <c r="AL2" s="16"/>
      <c r="AM2" s="16"/>
      <c r="AN2" s="16"/>
      <c r="AO2" s="16"/>
      <c r="AP2" s="16"/>
    </row>
    <row r="3" spans="1:42" ht="21" x14ac:dyDescent="0.3">
      <c r="A3" s="16" t="s">
        <v>126</v>
      </c>
      <c r="B3" s="16"/>
      <c r="C3" s="16"/>
      <c r="D3" s="2" t="s">
        <v>131</v>
      </c>
      <c r="E3" s="26">
        <v>12000</v>
      </c>
      <c r="F3" s="16" t="s">
        <v>128</v>
      </c>
      <c r="G3" s="16"/>
      <c r="H3" s="16"/>
      <c r="I3" s="14"/>
      <c r="J3" s="16"/>
      <c r="K3" s="16"/>
      <c r="L3" s="16"/>
      <c r="M3" s="16"/>
      <c r="N3" s="16"/>
      <c r="O3" s="16"/>
      <c r="P3" s="16"/>
      <c r="Q3" s="16"/>
      <c r="R3" s="16" t="s">
        <v>148</v>
      </c>
      <c r="S3" s="16"/>
      <c r="T3" s="16"/>
      <c r="U3" s="2" t="s">
        <v>151</v>
      </c>
      <c r="V3" s="16" cm="1">
        <f t="array" ref="V3">atmos(E4,12)</f>
        <v>0.8491167426109314</v>
      </c>
      <c r="W3" s="16" t="s">
        <v>52</v>
      </c>
      <c r="X3" s="16"/>
      <c r="Y3" s="16" t="s">
        <v>195</v>
      </c>
      <c r="Z3" s="16"/>
      <c r="AA3" s="16"/>
      <c r="AB3" s="2" t="s">
        <v>196</v>
      </c>
      <c r="AC3" s="48">
        <v>5.08</v>
      </c>
      <c r="AD3" s="16" t="s">
        <v>49</v>
      </c>
      <c r="AE3" s="16"/>
      <c r="AF3" s="16" t="s">
        <v>241</v>
      </c>
      <c r="AG3" s="16"/>
      <c r="AH3" s="16"/>
      <c r="AI3" s="2" t="s">
        <v>242</v>
      </c>
      <c r="AJ3" s="48">
        <v>8000</v>
      </c>
      <c r="AK3" s="16" t="s">
        <v>2</v>
      </c>
      <c r="AL3" s="16"/>
      <c r="AM3" s="16"/>
      <c r="AN3" s="16"/>
      <c r="AO3" s="16"/>
      <c r="AP3" s="16"/>
    </row>
    <row r="4" spans="1:42" ht="21" x14ac:dyDescent="0.3">
      <c r="A4" s="16" t="s">
        <v>127</v>
      </c>
      <c r="B4" s="16"/>
      <c r="C4" s="16"/>
      <c r="D4" s="2" t="s">
        <v>132</v>
      </c>
      <c r="E4" s="49">
        <f>E3*0.3048</f>
        <v>3657.6000000000004</v>
      </c>
      <c r="F4" s="16" t="s">
        <v>2</v>
      </c>
      <c r="G4" s="16"/>
      <c r="H4" s="16"/>
      <c r="I4" s="14"/>
      <c r="J4" s="16" t="s">
        <v>169</v>
      </c>
      <c r="K4" s="16"/>
      <c r="L4" s="16"/>
      <c r="M4" s="2" t="s">
        <v>170</v>
      </c>
      <c r="N4" s="26">
        <v>800</v>
      </c>
      <c r="O4" s="16" t="s">
        <v>2</v>
      </c>
      <c r="P4" s="16"/>
      <c r="Q4" s="16"/>
      <c r="R4" s="16" t="s">
        <v>149</v>
      </c>
      <c r="S4" s="16"/>
      <c r="T4" s="16"/>
      <c r="U4" s="2" t="s">
        <v>152</v>
      </c>
      <c r="V4" s="16">
        <f>0.5*V3*(E10^2)</f>
        <v>946.65121611613324</v>
      </c>
      <c r="W4" s="16" t="s">
        <v>84</v>
      </c>
      <c r="X4" s="16"/>
      <c r="Y4" s="16" t="s">
        <v>203</v>
      </c>
      <c r="Z4" s="16"/>
      <c r="AA4" s="16"/>
      <c r="AB4" s="2" t="s">
        <v>204</v>
      </c>
      <c r="AC4" s="48">
        <v>3048</v>
      </c>
      <c r="AD4" s="16" t="s">
        <v>2</v>
      </c>
      <c r="AE4" s="16"/>
      <c r="AF4" s="16" t="s">
        <v>243</v>
      </c>
      <c r="AG4" s="16"/>
      <c r="AH4" s="16"/>
      <c r="AI4" s="2" t="s">
        <v>244</v>
      </c>
      <c r="AJ4" s="16" cm="1">
        <f t="array" ref="AJ4" xml:space="preserve"> atmos(AJ3, 12)</f>
        <v>0.52513748407363892</v>
      </c>
      <c r="AK4" s="16" t="s">
        <v>52</v>
      </c>
      <c r="AL4" s="16"/>
      <c r="AM4" s="16"/>
      <c r="AN4" s="16"/>
      <c r="AO4" s="16"/>
      <c r="AP4" s="16"/>
    </row>
    <row r="5" spans="1:42" ht="21" x14ac:dyDescent="0.3">
      <c r="A5" s="16" t="s">
        <v>129</v>
      </c>
      <c r="B5" s="16"/>
      <c r="C5" s="16"/>
      <c r="D5" s="2" t="s">
        <v>134</v>
      </c>
      <c r="E5" s="26">
        <v>80</v>
      </c>
      <c r="F5" s="16" t="s">
        <v>22</v>
      </c>
      <c r="G5" s="16"/>
      <c r="H5" s="16"/>
      <c r="I5" s="18"/>
      <c r="J5" s="16" t="s">
        <v>157</v>
      </c>
      <c r="K5" s="16"/>
      <c r="L5" s="16"/>
      <c r="M5" s="2" t="s">
        <v>171</v>
      </c>
      <c r="N5" s="26">
        <v>100</v>
      </c>
      <c r="O5" s="16" t="s">
        <v>2</v>
      </c>
      <c r="P5" s="16"/>
      <c r="Q5" s="16"/>
      <c r="R5" s="16" t="s">
        <v>153</v>
      </c>
      <c r="S5" s="16"/>
      <c r="T5" s="16"/>
      <c r="U5" s="2" t="s">
        <v>154</v>
      </c>
      <c r="V5" s="16">
        <f>0.5*V3*(E11^2)</f>
        <v>1477.8161020639259</v>
      </c>
      <c r="W5" s="16" t="s">
        <v>84</v>
      </c>
      <c r="X5" s="16"/>
      <c r="Y5" s="16" t="s">
        <v>205</v>
      </c>
      <c r="Z5" s="16"/>
      <c r="AA5" s="16"/>
      <c r="AB5" s="2" t="s">
        <v>206</v>
      </c>
      <c r="AC5" s="16" cm="1">
        <f t="array" ref="AC5">atmos(AC4, 12)</f>
        <v>0.90461885929107666</v>
      </c>
      <c r="AD5" s="16" t="s">
        <v>52</v>
      </c>
      <c r="AE5" s="16"/>
      <c r="AF5" s="16" t="s">
        <v>245</v>
      </c>
      <c r="AG5" s="16"/>
      <c r="AH5" s="16"/>
      <c r="AI5" s="2" t="s">
        <v>246</v>
      </c>
      <c r="AJ5" s="16"/>
      <c r="AK5" s="16" t="s">
        <v>84</v>
      </c>
      <c r="AL5" s="16"/>
      <c r="AM5" s="16"/>
      <c r="AN5" s="16"/>
      <c r="AO5" s="16"/>
      <c r="AP5" s="16"/>
    </row>
    <row r="6" spans="1:42" ht="20.25" x14ac:dyDescent="0.3">
      <c r="A6" s="16" t="s">
        <v>130</v>
      </c>
      <c r="B6" s="16"/>
      <c r="C6" s="16"/>
      <c r="D6" s="2" t="s">
        <v>133</v>
      </c>
      <c r="E6" s="26">
        <v>100</v>
      </c>
      <c r="F6" s="16" t="s">
        <v>22</v>
      </c>
      <c r="G6" s="16"/>
      <c r="H6" s="16"/>
      <c r="I6" s="18"/>
      <c r="J6" s="16"/>
      <c r="K6" s="16"/>
      <c r="L6" s="16"/>
      <c r="M6" s="2" t="s">
        <v>167</v>
      </c>
      <c r="N6" s="26">
        <v>0.3</v>
      </c>
      <c r="O6" s="16" t="s">
        <v>7</v>
      </c>
      <c r="P6" s="16"/>
      <c r="Q6" s="16"/>
      <c r="R6" s="16"/>
      <c r="S6" s="16"/>
      <c r="T6" s="16"/>
      <c r="U6" s="16"/>
      <c r="V6" s="16"/>
      <c r="W6" s="16"/>
      <c r="X6" s="16"/>
      <c r="Y6" s="16" t="s">
        <v>201</v>
      </c>
      <c r="Z6" s="16"/>
      <c r="AA6" s="16"/>
      <c r="AB6" s="2" t="s">
        <v>202</v>
      </c>
      <c r="AC6" s="48">
        <f>0.5 * AC5 * AC3^2</f>
        <v>11.67247806520462</v>
      </c>
      <c r="AD6" s="16" t="s">
        <v>84</v>
      </c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</row>
    <row r="7" spans="1:42" ht="21" x14ac:dyDescent="0.3">
      <c r="A7" s="16" t="s">
        <v>135</v>
      </c>
      <c r="B7" s="16"/>
      <c r="C7" s="16"/>
      <c r="D7" s="2"/>
      <c r="E7" s="26">
        <v>180</v>
      </c>
      <c r="F7" s="16" t="s">
        <v>8</v>
      </c>
      <c r="G7" s="16"/>
      <c r="H7" s="16"/>
      <c r="I7" s="18"/>
      <c r="J7" s="16"/>
      <c r="K7" s="16"/>
      <c r="L7" s="16"/>
      <c r="M7" s="2" t="s">
        <v>53</v>
      </c>
      <c r="N7" s="25" cm="1">
        <f t="array" ref="N7">atmos(N4,12)</f>
        <v>1.1336381435394287</v>
      </c>
      <c r="O7" s="16" t="s">
        <v>52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</row>
    <row r="8" spans="1:42" ht="20.25" x14ac:dyDescent="0.3">
      <c r="A8" s="16" t="s">
        <v>136</v>
      </c>
      <c r="B8" s="16"/>
      <c r="C8" s="16"/>
      <c r="D8" s="2" t="s">
        <v>137</v>
      </c>
      <c r="E8" s="26">
        <v>90</v>
      </c>
      <c r="F8" s="16" t="s">
        <v>19</v>
      </c>
      <c r="G8" s="16"/>
      <c r="H8" s="16"/>
      <c r="I8" s="18"/>
      <c r="J8" s="16"/>
      <c r="K8" s="16"/>
      <c r="L8" s="16"/>
      <c r="M8" s="16" t="s">
        <v>159</v>
      </c>
      <c r="N8" s="25">
        <f>Performance!E15</f>
        <v>2</v>
      </c>
      <c r="O8" s="16" t="s">
        <v>7</v>
      </c>
      <c r="P8" s="16"/>
      <c r="Q8" s="16"/>
      <c r="R8" s="16"/>
      <c r="S8" s="16"/>
      <c r="T8" s="16"/>
      <c r="U8" s="16"/>
      <c r="V8" s="16"/>
      <c r="W8" s="16"/>
      <c r="X8" s="16"/>
      <c r="Y8" s="46" t="s">
        <v>210</v>
      </c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</row>
    <row r="9" spans="1:42" ht="20.25" x14ac:dyDescent="0.3">
      <c r="A9" s="16"/>
      <c r="B9" s="16"/>
      <c r="C9" s="16"/>
      <c r="D9" s="16"/>
      <c r="E9" s="48"/>
      <c r="F9" s="16"/>
      <c r="G9" s="16"/>
      <c r="H9" s="16"/>
      <c r="I9" s="18"/>
      <c r="J9" s="16"/>
      <c r="K9" s="16"/>
      <c r="L9" s="16"/>
      <c r="M9" s="16" t="s">
        <v>164</v>
      </c>
      <c r="N9" s="25">
        <f>Performance!E17</f>
        <v>0.1</v>
      </c>
      <c r="O9" s="16" t="s">
        <v>7</v>
      </c>
      <c r="P9" s="16"/>
      <c r="Q9" s="16"/>
      <c r="R9" s="16" t="s">
        <v>189</v>
      </c>
      <c r="S9" s="16"/>
      <c r="T9" s="16"/>
      <c r="U9" s="2" t="s">
        <v>188</v>
      </c>
      <c r="V9" s="16">
        <f>0.5*V3*(E16^2)</f>
        <v>1068.4601680550145</v>
      </c>
      <c r="W9" s="16" t="s">
        <v>84</v>
      </c>
      <c r="X9" s="16"/>
      <c r="Y9" s="16" t="s">
        <v>211</v>
      </c>
      <c r="Z9" s="16"/>
      <c r="AA9" s="16"/>
      <c r="AB9" s="2" t="s">
        <v>213</v>
      </c>
      <c r="AC9" s="48">
        <v>10</v>
      </c>
      <c r="AD9" s="16" t="s">
        <v>212</v>
      </c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</row>
    <row r="10" spans="1:42" ht="20.25" x14ac:dyDescent="0.3">
      <c r="A10" s="16" t="s">
        <v>138</v>
      </c>
      <c r="B10" s="16"/>
      <c r="C10" s="16"/>
      <c r="D10" s="2" t="s">
        <v>140</v>
      </c>
      <c r="E10" s="27" cm="1">
        <f t="array" ref="E10">KCASConv($E$4,E5,1)/1.944</f>
        <v>47.220033873255851</v>
      </c>
      <c r="F10" s="16" t="s">
        <v>142</v>
      </c>
      <c r="G10" s="16"/>
      <c r="H10" s="16"/>
      <c r="I10" s="18"/>
      <c r="J10" s="16"/>
      <c r="K10" s="16"/>
      <c r="L10" s="16"/>
      <c r="M10" s="2" t="s">
        <v>165</v>
      </c>
      <c r="N10" s="25">
        <f>Performance!E14</f>
        <v>0.7</v>
      </c>
      <c r="O10" s="16" t="s">
        <v>7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spans="1:42" ht="20.25" x14ac:dyDescent="0.3">
      <c r="A11" s="16" t="s">
        <v>139</v>
      </c>
      <c r="B11" s="16"/>
      <c r="C11" s="16"/>
      <c r="D11" s="2" t="s">
        <v>141</v>
      </c>
      <c r="E11" s="27" cm="1">
        <f t="array" ref="E11">KCASConv($E$4,E6,1)/1.944</f>
        <v>58.99857101126463</v>
      </c>
      <c r="F11" s="16" t="s">
        <v>142</v>
      </c>
      <c r="G11" s="16"/>
      <c r="H11" s="16"/>
      <c r="I11" s="18"/>
      <c r="J11" s="16"/>
      <c r="K11" s="16"/>
      <c r="L11" s="16"/>
      <c r="M11" s="2" t="s">
        <v>166</v>
      </c>
      <c r="N11" s="25">
        <f>Performance!E16</f>
        <v>0.04</v>
      </c>
      <c r="O11" s="16" t="s">
        <v>7</v>
      </c>
      <c r="P11" s="16"/>
      <c r="Q11" s="16"/>
      <c r="R11" s="16"/>
      <c r="S11" s="16"/>
      <c r="T11" s="16"/>
      <c r="U11" s="16"/>
      <c r="V11" s="16"/>
      <c r="W11" s="16"/>
      <c r="X11" s="16"/>
      <c r="Y11" s="46" t="s">
        <v>224</v>
      </c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</row>
    <row r="12" spans="1:42" ht="18.75" x14ac:dyDescent="0.3">
      <c r="A12" s="16"/>
      <c r="B12" s="16"/>
      <c r="C12" s="16"/>
      <c r="D12" s="16"/>
      <c r="E12" s="16"/>
      <c r="F12" s="16"/>
      <c r="G12" s="16"/>
      <c r="H12" s="16"/>
      <c r="I12" s="18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 t="s">
        <v>226</v>
      </c>
      <c r="Z12" s="16"/>
      <c r="AA12" s="16"/>
      <c r="AB12" s="2" t="s">
        <v>230</v>
      </c>
      <c r="AC12" s="48">
        <v>45</v>
      </c>
      <c r="AD12" s="16" t="s">
        <v>212</v>
      </c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</row>
    <row r="13" spans="1:42" ht="18.75" x14ac:dyDescent="0.3">
      <c r="A13" s="16"/>
      <c r="B13" s="16"/>
      <c r="C13" s="16"/>
      <c r="D13" s="16"/>
      <c r="E13" s="16"/>
      <c r="F13" s="16"/>
      <c r="G13" s="16"/>
      <c r="H13" s="16"/>
      <c r="I13" s="18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 t="s">
        <v>225</v>
      </c>
      <c r="Z13" s="16"/>
      <c r="AA13" s="16"/>
      <c r="AB13" s="2" t="s">
        <v>231</v>
      </c>
      <c r="AC13" s="48">
        <f xml:space="preserve"> 1/COS(AC12*PI()/180)</f>
        <v>1.4142135623730949</v>
      </c>
      <c r="AD13" s="16" t="s">
        <v>7</v>
      </c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</row>
    <row r="14" spans="1:42" ht="18.75" x14ac:dyDescent="0.3">
      <c r="A14" s="46" t="s">
        <v>190</v>
      </c>
      <c r="B14" s="16"/>
      <c r="C14" s="16"/>
      <c r="D14" s="16"/>
      <c r="E14" s="16"/>
      <c r="F14" s="16"/>
      <c r="G14" s="16"/>
      <c r="H14" s="16"/>
      <c r="I14" s="18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 t="s">
        <v>227</v>
      </c>
      <c r="Z14" s="16"/>
      <c r="AA14" s="16"/>
      <c r="AB14" s="2" t="s">
        <v>232</v>
      </c>
      <c r="AC14" s="48">
        <v>30</v>
      </c>
      <c r="AD14" s="16" t="s">
        <v>49</v>
      </c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</row>
    <row r="15" spans="1:42" ht="20.25" x14ac:dyDescent="0.3">
      <c r="A15" s="16" t="s">
        <v>191</v>
      </c>
      <c r="B15" s="16"/>
      <c r="C15" s="16"/>
      <c r="D15" s="2" t="s">
        <v>133</v>
      </c>
      <c r="E15" s="26">
        <v>85</v>
      </c>
      <c r="F15" s="16" t="s">
        <v>22</v>
      </c>
      <c r="G15" s="16"/>
      <c r="H15" s="16"/>
      <c r="I15" s="18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 t="s">
        <v>228</v>
      </c>
      <c r="Z15" s="16"/>
      <c r="AA15" s="16"/>
      <c r="AB15" s="2" t="s">
        <v>233</v>
      </c>
      <c r="AC15" s="48">
        <v>4000</v>
      </c>
      <c r="AD15" s="16" t="s">
        <v>2</v>
      </c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</row>
    <row r="16" spans="1:42" ht="21" x14ac:dyDescent="0.3">
      <c r="A16" s="16" t="s">
        <v>186</v>
      </c>
      <c r="B16" s="16"/>
      <c r="C16" s="16"/>
      <c r="D16" s="2" t="s">
        <v>187</v>
      </c>
      <c r="E16" s="28" cm="1">
        <f t="array" ref="E16">KCASConv($E$4,E15,1)/1.944</f>
        <v>50.166114367575311</v>
      </c>
      <c r="F16" s="16" t="s">
        <v>142</v>
      </c>
      <c r="G16" s="16"/>
      <c r="H16" s="16"/>
      <c r="I16" s="18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 t="s">
        <v>205</v>
      </c>
      <c r="Z16" s="16"/>
      <c r="AA16" s="16"/>
      <c r="AB16" s="2" t="s">
        <v>235</v>
      </c>
      <c r="AC16" s="48" cm="1">
        <f t="array" ref="AC16" xml:space="preserve"> atmos(AC15, 12)</f>
        <v>0.81910741329193115</v>
      </c>
      <c r="AD16" s="16" t="s">
        <v>52</v>
      </c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</row>
    <row r="17" spans="1:42" ht="18.75" x14ac:dyDescent="0.3">
      <c r="A17" s="16"/>
      <c r="B17" s="16"/>
      <c r="C17" s="16"/>
      <c r="D17" s="16"/>
      <c r="E17" s="16"/>
      <c r="F17" s="16"/>
      <c r="G17" s="16"/>
      <c r="H17" s="16"/>
      <c r="I17" s="18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 t="s">
        <v>229</v>
      </c>
      <c r="Z17" s="16"/>
      <c r="AA17" s="16"/>
      <c r="AB17" s="2" t="s">
        <v>234</v>
      </c>
      <c r="AC17" s="48">
        <f xml:space="preserve"> 0.5 * AC16 * AC14^2</f>
        <v>368.59833598136902</v>
      </c>
      <c r="AD17" s="16" t="s">
        <v>84</v>
      </c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</row>
    <row r="18" spans="1:42" ht="18.75" x14ac:dyDescent="0.3">
      <c r="A18" s="16"/>
      <c r="B18" s="16"/>
      <c r="C18" s="16"/>
      <c r="D18" s="16"/>
      <c r="E18" s="16"/>
      <c r="F18" s="16"/>
      <c r="G18" s="16"/>
      <c r="H18" s="16"/>
      <c r="I18" s="18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</row>
    <row r="20" spans="1:42" ht="20.25" x14ac:dyDescent="0.3">
      <c r="A20" s="35" t="s">
        <v>144</v>
      </c>
      <c r="B20" s="35" t="s">
        <v>155</v>
      </c>
      <c r="C20" s="35" t="s">
        <v>156</v>
      </c>
      <c r="D20" s="35" t="s">
        <v>168</v>
      </c>
      <c r="E20" s="35" t="s">
        <v>192</v>
      </c>
      <c r="F20" s="35" t="s">
        <v>193</v>
      </c>
      <c r="G20" s="53" t="s">
        <v>197</v>
      </c>
      <c r="H20" s="53" t="s">
        <v>199</v>
      </c>
      <c r="I20" s="53" t="s">
        <v>200</v>
      </c>
      <c r="J20" s="35" t="s">
        <v>207</v>
      </c>
      <c r="K20" s="35" t="s">
        <v>208</v>
      </c>
      <c r="L20" s="35" t="s">
        <v>209</v>
      </c>
      <c r="M20" s="35" t="s">
        <v>222</v>
      </c>
      <c r="N20" s="35" t="s">
        <v>223</v>
      </c>
      <c r="O20" s="35" t="s">
        <v>236</v>
      </c>
      <c r="P20" s="53" t="s">
        <v>247</v>
      </c>
      <c r="Q20" s="53" t="s">
        <v>248</v>
      </c>
      <c r="R20" s="53" t="s">
        <v>249</v>
      </c>
      <c r="S20" s="35" t="s">
        <v>237</v>
      </c>
      <c r="T20" s="35" t="s">
        <v>238</v>
      </c>
      <c r="U20" s="35" t="s">
        <v>239</v>
      </c>
    </row>
    <row r="21" spans="1:42" ht="18" x14ac:dyDescent="0.3">
      <c r="A21" s="36" t="s">
        <v>145</v>
      </c>
    </row>
    <row r="22" spans="1:42" x14ac:dyDescent="0.3">
      <c r="A22" s="51">
        <v>10</v>
      </c>
      <c r="B22" s="50">
        <f>$V$4*Performance!$E$12*(1/A22)+Performance!$E$23*(1/Constraints!$V$4)*Constraints!A22</f>
        <v>2.8403497881375093</v>
      </c>
      <c r="C22" s="50">
        <f>$V$5*Performance!$E$12*(1/A22)+Performance!$E$23*(1/Constraints!$V$5)*Constraints!A22</f>
        <v>4.4337020632137696</v>
      </c>
      <c r="D22" s="52">
        <f>1.21/(9.8*$N$7*$N$8*$N$5)*A22+0.605/$N$8*($N$11-$N$6*$N$10)+$N$6</f>
        <v>0.25402071424571193</v>
      </c>
      <c r="E22" s="52">
        <f>$V$4*Performance!$E$12*(1/A22)+Performance!$E$23*(1/Constraints!$V$9)*Constraints!A22</f>
        <v>2.8403046265358181</v>
      </c>
      <c r="F22" s="52">
        <f xml:space="preserve"> 1.21 / (9.81 * Constraints!$N$7 * Performance!$E$15 * Constraints!$N$5 ) * Constraints!A22 + 0.605 /Performance!$E$15 * (Performance!$E$16  - Constraints!$N$6 * Performance!$E$14) + Constraints!$N$6</f>
        <v>0.25401516305891714</v>
      </c>
      <c r="G22">
        <f>69.952 + 1.3402*A22</f>
        <v>83.353999999999999</v>
      </c>
      <c r="H22" s="55">
        <f>SQRT(2/$V$3 * A22 * SQRT(Performance!$E$23 / (3 * Performance!$E$12)))</f>
        <v>3.8992428471500489</v>
      </c>
      <c r="I22" s="55">
        <f>SQRT(2/$V$3 * A22 * (SQRT(Performance!$E$23)/(SQRT(3*Performance!$E$12 + 4* Performance!$E$23 * Performance!$E$11^2) - SQRT(Performance!$E$23)*Performance!$E$11)))</f>
        <v>4.1017501743509799</v>
      </c>
      <c r="J22">
        <f xml:space="preserve"> $AC$3/G22 + $AC$6/A22 * Performance!$E$12 + Performance!$E$23/Constraints!$AC$6 * Constraints!A22</f>
        <v>0.12808970626964514</v>
      </c>
      <c r="K22">
        <f xml:space="preserve"> $AC$3/H22 + $AC$6/A22 * Performance!$E$12 + Performance!$E$23/Constraints!$AC$6 * Constraints!A22</f>
        <v>1.3699618543525907</v>
      </c>
      <c r="L22">
        <f xml:space="preserve"> $AC$3/I22 + $AC$6/A22 * Performance!$E$12 + Performance!$E$23/Constraints!$AC$6 * Constraints!A22</f>
        <v>1.3056405319603592</v>
      </c>
      <c r="M22">
        <f>SIN($AC$9 * PI()/180) + 1/Performance!$AE$5</f>
        <v>0.24073077270730886</v>
      </c>
      <c r="N22">
        <f>SIN($AC$9 * PI()/180) + 1/Performance!$AE$8</f>
        <v>0.22738716112204788</v>
      </c>
      <c r="O22" s="60">
        <f>$AC$16 * (Performance!$E$12/Constraints!A22 + Performance!$E$23 * (Constraints!$AC$13/Constraints!$AC$17)^2 * Constraints!A22)</f>
        <v>2.4618439485158041E-3</v>
      </c>
      <c r="P22">
        <f xml:space="preserve"> 0.5 * $AJ$4 * G22^2</f>
        <v>1824.2985575131779</v>
      </c>
      <c r="Q22">
        <f xml:space="preserve"> 0.5 * $AJ$4 * H22^2</f>
        <v>3.9921200404690858</v>
      </c>
      <c r="R22">
        <f xml:space="preserve"> 0.5 * $AJ$4 * I22^2</f>
        <v>4.4175495947529342</v>
      </c>
      <c r="S22">
        <f xml:space="preserve"> 1.667/G22 + P22/A22 * Performance!$E$12 + Performance!$E$23 / Constraints!P22 * Constraints!A22</f>
        <v>5.4931002746421784</v>
      </c>
      <c r="T22">
        <f xml:space="preserve"> 1.667/H22 + Q22/A22 * Performance!$E$12 + Performance!$E$23 / Constraints!Q22 * Constraints!A22</f>
        <v>0.53343186427124223</v>
      </c>
      <c r="U22">
        <f xml:space="preserve"> 1.667/I22 + R22/A22 * Performance!$E$12 + Performance!$E$23 / Constraints!R22 * Constraints!A22</f>
        <v>0.50455462575947096</v>
      </c>
    </row>
    <row r="23" spans="1:42" x14ac:dyDescent="0.3">
      <c r="A23" s="51">
        <v>10.5</v>
      </c>
      <c r="B23" s="50">
        <f>$V$4*Performance!$E$12*(1/A23)+Performance!$E$23*(1/Constraints!$V$4)*Constraints!A23</f>
        <v>2.7051337071103743</v>
      </c>
      <c r="C23" s="50">
        <f>$V$5*Performance!$E$12*(1/A23)+Performance!$E$23*(1/Constraints!$V$5)*Constraints!A23</f>
        <v>4.2225981650557367</v>
      </c>
      <c r="D23" s="52">
        <f t="shared" ref="D23:D86" si="0">1.21/(9.8*$N$7*$N$8*$N$5)*A23+0.605/$N$8*($N$11-$N$6*$N$10)+$N$6</f>
        <v>0.25429299995799753</v>
      </c>
      <c r="E23" s="52">
        <f>$V$4*Performance!$E$12*(1/A23)+Performance!$E$23*(1/Constraints!$V$9)*Constraints!A23</f>
        <v>2.7050862874285984</v>
      </c>
      <c r="F23" s="52">
        <f xml:space="preserve"> 1.21 / (9.81 * Constraints!$N$7 * Performance!$E$15 * Constraints!$N$5 ) * Constraints!A23 + 0.605 /Performance!$E$15 * (Performance!$E$16  - Constraints!$N$6 * Performance!$E$14) + Constraints!$N$6</f>
        <v>0.25428717121186295</v>
      </c>
      <c r="G23">
        <f t="shared" ref="G23:G86" si="1">69.952 + 1.3402*A23</f>
        <v>84.024100000000004</v>
      </c>
      <c r="H23" s="55">
        <f>SQRT(2/$V$3 * A23 * SQRT(Performance!$E$23 / (3 * Performance!$E$12)))</f>
        <v>3.995534947926668</v>
      </c>
      <c r="I23" s="55">
        <f>SQRT(2/$V$3 * A23 * (SQRT(Performance!$E$23)/(SQRT(3*Performance!$E$12 + 4* Performance!$E$23 * Performance!$E$11^2) - SQRT(Performance!$E$23)*Performance!$E$11)))</f>
        <v>4.2030432090840693</v>
      </c>
      <c r="J23">
        <f xml:space="preserve"> $AC$3/G23 + $AC$6/A23 * Performance!$E$12 + Performance!$E$23/Constraints!$AC$6 * Constraints!A23</f>
        <v>0.12754253760090795</v>
      </c>
      <c r="K23">
        <f xml:space="preserve"> $AC$3/H23 + $AC$6/A23 * Performance!$E$12 + Performance!$E$23/Constraints!$AC$6 * Constraints!A23</f>
        <v>1.3385029313316024</v>
      </c>
      <c r="L23">
        <f xml:space="preserve"> $AC$3/I23 + $AC$6/A23 * Performance!$E$12 + Performance!$E$23/Constraints!$AC$6 * Constraints!A23</f>
        <v>1.2757317481168775</v>
      </c>
      <c r="M23">
        <f>SIN($AC$9 * PI()/180) + 1/Performance!$AE$5</f>
        <v>0.24073077270730886</v>
      </c>
      <c r="N23">
        <f>SIN($AC$9 * PI()/180) + 1/Performance!$AE$8</f>
        <v>0.22738716112204788</v>
      </c>
      <c r="O23" s="60">
        <f>$AC$16 * (Performance!$E$12/Constraints!A23 + Performance!$E$23 * (Constraints!$AC$13/Constraints!$AC$17)^2 * Constraints!A23)</f>
        <v>2.3450546891918144E-3</v>
      </c>
      <c r="P23">
        <f t="shared" ref="P23:P86" si="2" xml:space="preserve"> 0.5 * $AJ$4 * G23^2</f>
        <v>1853.7482846371081</v>
      </c>
      <c r="Q23">
        <f t="shared" ref="Q23:Q86" si="3" xml:space="preserve"> 0.5 * $AJ$4 * H23^2</f>
        <v>4.1917260424925402</v>
      </c>
      <c r="R23">
        <f t="shared" ref="R23:R86" si="4" xml:space="preserve"> 0.5 * $AJ$4 * I23^2</f>
        <v>4.6384270744905818</v>
      </c>
      <c r="S23">
        <f xml:space="preserve"> 1.667/G23 + P23/A23 * Performance!$E$12 + Performance!$E$23 / Constraints!P23 * Constraints!A23</f>
        <v>5.3164756274250609</v>
      </c>
      <c r="T23">
        <f xml:space="preserve"> 1.667/H23 + Q23/A23 * Performance!$E$12 + Performance!$E$23 / Constraints!Q23 * Constraints!A23</f>
        <v>0.5231286900475185</v>
      </c>
      <c r="U23">
        <f xml:space="preserve"> 1.667/I23 + R23/A23 * Performance!$E$12 + Performance!$E$23 / Constraints!R23 * Constraints!A23</f>
        <v>0.49476012909655509</v>
      </c>
    </row>
    <row r="24" spans="1:42" x14ac:dyDescent="0.3">
      <c r="A24" s="51">
        <v>11</v>
      </c>
      <c r="B24" s="50">
        <f>$V$4*Performance!$E$12*(1/A24)+Performance!$E$23*(1/Constraints!$V$4)*Constraints!A24</f>
        <v>2.582211797721111</v>
      </c>
      <c r="C24" s="50">
        <f>$V$5*Performance!$E$12*(1/A24)+Performance!$E$23*(1/Constraints!$V$5)*Constraints!A24</f>
        <v>4.0306866838076258</v>
      </c>
      <c r="D24" s="52">
        <f t="shared" si="0"/>
        <v>0.25456528567028314</v>
      </c>
      <c r="E24" s="52">
        <f>$V$4*Performance!$E$12*(1/A24)+Performance!$E$23*(1/Constraints!$V$9)*Constraints!A24</f>
        <v>2.5821621199592508</v>
      </c>
      <c r="F24" s="52">
        <f xml:space="preserve"> 1.21 / (9.81 * Constraints!$N$7 * Performance!$E$15 * Constraints!$N$5 ) * Constraints!A24 + 0.605 /Performance!$E$15 * (Performance!$E$16  - Constraints!$N$6 * Performance!$E$14) + Constraints!$N$6</f>
        <v>0.25455917936480882</v>
      </c>
      <c r="G24">
        <f t="shared" si="1"/>
        <v>84.694199999999995</v>
      </c>
      <c r="H24" s="55">
        <f>SQRT(2/$V$3 * A24 * SQRT(Performance!$E$23 / (3 * Performance!$E$12)))</f>
        <v>4.089560399255145</v>
      </c>
      <c r="I24" s="55">
        <f>SQRT(2/$V$3 * A24 * (SQRT(Performance!$E$23)/(SQRT(3*Performance!$E$12 + 4* Performance!$E$23 * Performance!$E$11^2) - SQRT(Performance!$E$23)*Performance!$E$11)))</f>
        <v>4.3019518758427697</v>
      </c>
      <c r="J24">
        <f xml:space="preserve"> $AC$3/G24 + $AC$6/A24 * Performance!$E$12 + Performance!$E$23/Constraints!$AC$6 * Constraints!A24</f>
        <v>0.12715465066525952</v>
      </c>
      <c r="K24">
        <f xml:space="preserve"> $AC$3/H24 + $AC$6/A24 * Performance!$E$12 + Performance!$E$23/Constraints!$AC$6 * Constraints!A24</f>
        <v>1.3093614584469431</v>
      </c>
      <c r="L24">
        <f xml:space="preserve"> $AC$3/I24 + $AC$6/A24 * Performance!$E$12 + Performance!$E$23/Constraints!$AC$6 * Constraints!A24</f>
        <v>1.2480334838551457</v>
      </c>
      <c r="M24">
        <f>SIN($AC$9 * PI()/180) + 1/Performance!$AE$5</f>
        <v>0.24073077270730886</v>
      </c>
      <c r="N24">
        <f>SIN($AC$9 * PI()/180) + 1/Performance!$AE$8</f>
        <v>0.22738716112204788</v>
      </c>
      <c r="O24" s="60">
        <f>$AC$16 * (Performance!$E$12/Constraints!A24 + Performance!$E$23 * (Constraints!$AC$13/Constraints!$AC$17)^2 * Constraints!A24)</f>
        <v>2.2389031884820056E-3</v>
      </c>
      <c r="P24">
        <f t="shared" si="2"/>
        <v>1883.4338163513125</v>
      </c>
      <c r="Q24">
        <f t="shared" si="3"/>
        <v>4.3913320445159938</v>
      </c>
      <c r="R24">
        <f t="shared" si="4"/>
        <v>4.8593045542282285</v>
      </c>
      <c r="S24">
        <f xml:space="preserve"> 1.667/G24 + P24/A24 * Performance!$E$12 + Performance!$E$23 / Constraints!P24 * Constraints!A24</f>
        <v>5.1565392751165611</v>
      </c>
      <c r="T24">
        <f xml:space="preserve"> 1.667/H24 + Q24/A24 * Performance!$E$12 + Performance!$E$23 / Constraints!Q24 * Constraints!A24</f>
        <v>0.51353624176999202</v>
      </c>
      <c r="U24">
        <f xml:space="preserve"> 1.667/I24 + R24/A24 * Performance!$E$12 + Performance!$E$23 / Constraints!R24 * Constraints!A24</f>
        <v>0.4856412691604497</v>
      </c>
    </row>
    <row r="25" spans="1:42" x14ac:dyDescent="0.3">
      <c r="A25" s="51">
        <v>11.5</v>
      </c>
      <c r="B25" s="50">
        <f>$V$4*Performance!$E$12*(1/A25)+Performance!$E$23*(1/Constraints!$V$4)*Constraints!A25</f>
        <v>2.4699804723647798</v>
      </c>
      <c r="C25" s="50">
        <f>$V$5*Performance!$E$12*(1/A25)+Performance!$E$23*(1/Constraints!$V$5)*Constraints!A25</f>
        <v>3.8554642607420542</v>
      </c>
      <c r="D25" s="52">
        <f t="shared" si="0"/>
        <v>0.25483757138256874</v>
      </c>
      <c r="E25" s="52">
        <f>$V$4*Performance!$E$12*(1/A25)+Performance!$E$23*(1/Constraints!$V$9)*Constraints!A25</f>
        <v>2.4699285365228349</v>
      </c>
      <c r="F25" s="52">
        <f xml:space="preserve"> 1.21 / (9.81 * Constraints!$N$7 * Performance!$E$15 * Constraints!$N$5 ) * Constraints!A25 + 0.605 /Performance!$E$15 * (Performance!$E$16  - Constraints!$N$6 * Performance!$E$14) + Constraints!$N$6</f>
        <v>0.25483118751775469</v>
      </c>
      <c r="G25">
        <f t="shared" si="1"/>
        <v>85.3643</v>
      </c>
      <c r="H25" s="55">
        <f>SQRT(2/$V$3 * A25 * SQRT(Performance!$E$23 / (3 * Performance!$E$12)))</f>
        <v>4.1814721089836819</v>
      </c>
      <c r="I25" s="55">
        <f>SQRT(2/$V$3 * A25 * (SQRT(Performance!$E$23)/(SQRT(3*Performance!$E$12 + 4* Performance!$E$23 * Performance!$E$11^2) - SQRT(Performance!$E$23)*Performance!$E$11)))</f>
        <v>4.3986370237502594</v>
      </c>
      <c r="J25">
        <f xml:space="preserve"> $AC$3/G25 + $AC$6/A25 * Performance!$E$12 + Performance!$E$23/Constraints!$AC$6 * Constraints!A25</f>
        <v>0.12690609164960664</v>
      </c>
      <c r="K25">
        <f xml:space="preserve"> $AC$3/H25 + $AC$6/A25 * Performance!$E$12 + Performance!$E$23/Constraints!$AC$6 * Constraints!A25</f>
        <v>1.2822795853757936</v>
      </c>
      <c r="L25">
        <f xml:space="preserve"> $AC$3/I25 + $AC$6/A25 * Performance!$E$12 + Performance!$E$23/Constraints!$AC$6 * Constraints!A25</f>
        <v>1.2222996429726625</v>
      </c>
      <c r="M25">
        <f>SIN($AC$9 * PI()/180) + 1/Performance!$AE$5</f>
        <v>0.24073077270730886</v>
      </c>
      <c r="N25">
        <f>SIN($AC$9 * PI()/180) + 1/Performance!$AE$8</f>
        <v>0.22738716112204788</v>
      </c>
      <c r="O25" s="60">
        <f>$AC$16 * (Performance!$E$12/Constraints!A25 + Performance!$E$23 * (Constraints!$AC$13/Constraints!$AC$17)^2 * Constraints!A25)</f>
        <v>2.1420019126540935E-3</v>
      </c>
      <c r="P25">
        <f t="shared" si="2"/>
        <v>1913.3551526557922</v>
      </c>
      <c r="Q25">
        <f t="shared" si="3"/>
        <v>4.5909380465394474</v>
      </c>
      <c r="R25">
        <f t="shared" si="4"/>
        <v>5.0801820339658743</v>
      </c>
      <c r="S25">
        <f xml:space="preserve"> 1.667/G25 + P25/A25 * Performance!$E$12 + Performance!$E$23 / Constraints!P25 * Constraints!A25</f>
        <v>5.0111147306443815</v>
      </c>
      <c r="T25">
        <f xml:space="preserve"> 1.667/H25 + Q25/A25 * Performance!$E$12 + Performance!$E$23 / Constraints!Q25 * Constraints!A25</f>
        <v>0.50457639435722201</v>
      </c>
      <c r="U25">
        <f xml:space="preserve"> 1.667/I25 + R25/A25 * Performance!$E$12 + Performance!$E$23 / Constraints!R25 * Constraints!A25</f>
        <v>0.47712377797966921</v>
      </c>
    </row>
    <row r="26" spans="1:42" x14ac:dyDescent="0.3">
      <c r="A26" s="51">
        <v>12</v>
      </c>
      <c r="B26" s="50">
        <f>$V$4*Performance!$E$12*(1/A26)+Performance!$E$23*(1/Constraints!$V$4)*Constraints!A26</f>
        <v>2.3671034080372642</v>
      </c>
      <c r="C26" s="50">
        <f>$V$5*Performance!$E$12*(1/A26)+Performance!$E$23*(1/Constraints!$V$5)*Constraints!A26</f>
        <v>3.6948447635862052</v>
      </c>
      <c r="D26" s="52">
        <f t="shared" si="0"/>
        <v>0.25510985709485434</v>
      </c>
      <c r="E26" s="52">
        <f>$V$4*Performance!$E$12*(1/A26)+Performance!$E$23*(1/Constraints!$V$9)*Constraints!A26</f>
        <v>2.3670492141152346</v>
      </c>
      <c r="F26" s="52">
        <f xml:space="preserve"> 1.21 / (9.81 * Constraints!$N$7 * Performance!$E$15 * Constraints!$N$5 ) * Constraints!A26 + 0.605 /Performance!$E$15 * (Performance!$E$16  - Constraints!$N$6 * Performance!$E$14) + Constraints!$N$6</f>
        <v>0.25510319567070056</v>
      </c>
      <c r="G26">
        <f t="shared" si="1"/>
        <v>86.034400000000005</v>
      </c>
      <c r="H26" s="55">
        <f>SQRT(2/$V$3 * A26 * SQRT(Performance!$E$23 / (3 * Performance!$E$12)))</f>
        <v>4.2714065291495009</v>
      </c>
      <c r="I26" s="55">
        <f>SQRT(2/$V$3 * A26 * (SQRT(Performance!$E$23)/(SQRT(3*Performance!$E$12 + 4* Performance!$E$23 * Performance!$E$11^2) - SQRT(Performance!$E$23)*Performance!$E$11)))</f>
        <v>4.4932421914855594</v>
      </c>
      <c r="J26">
        <f xml:space="preserve"> $AC$3/G26 + $AC$6/A26 * Performance!$E$12 + Performance!$E$23/Constraints!$AC$6 * Constraints!A26</f>
        <v>0.12678020783209154</v>
      </c>
      <c r="K26">
        <f xml:space="preserve"> $AC$3/H26 + $AC$6/A26 * Performance!$E$12 + Performance!$E$23/Constraints!$AC$6 * Constraints!A26</f>
        <v>1.2570378549957513</v>
      </c>
      <c r="L26">
        <f xml:space="preserve"> $AC$3/I26 + $AC$6/A26 * Performance!$E$12 + Performance!$E$23/Constraints!$AC$6 * Constraints!A26</f>
        <v>1.1983207896577726</v>
      </c>
      <c r="M26">
        <f>SIN($AC$9 * PI()/180) + 1/Performance!$AE$5</f>
        <v>0.24073077270730886</v>
      </c>
      <c r="N26">
        <f>SIN($AC$9 * PI()/180) + 1/Performance!$AE$8</f>
        <v>0.22738716112204788</v>
      </c>
      <c r="O26" s="60">
        <f>$AC$16 * (Performance!$E$12/Constraints!A26 + Performance!$E$23 * (Constraints!$AC$13/Constraints!$AC$17)^2 * Constraints!A26)</f>
        <v>2.0531945835978406E-3</v>
      </c>
      <c r="P26">
        <f t="shared" si="2"/>
        <v>1943.5122935505469</v>
      </c>
      <c r="Q26">
        <f t="shared" si="3"/>
        <v>4.7905440485629036</v>
      </c>
      <c r="R26">
        <f t="shared" si="4"/>
        <v>5.301059513703521</v>
      </c>
      <c r="S26">
        <f xml:space="preserve"> 1.667/G26 + P26/A26 * Performance!$E$12 + Performance!$E$23 / Constraints!P26 * Constraints!A26</f>
        <v>4.87838824782422</v>
      </c>
      <c r="T26">
        <f xml:space="preserve"> 1.667/H26 + Q26/A26 * Performance!$E$12 + Performance!$E$23 / Constraints!Q26 * Constraints!A26</f>
        <v>0.49618254004129014</v>
      </c>
      <c r="U26">
        <f xml:space="preserve"> 1.667/I26 + R26/A26 * Performance!$E$12 + Performance!$E$23 / Constraints!R26 * Constraints!A26</f>
        <v>0.46914433627547147</v>
      </c>
    </row>
    <row r="27" spans="1:42" x14ac:dyDescent="0.3">
      <c r="A27" s="51">
        <v>12.5</v>
      </c>
      <c r="B27" s="50">
        <f>$V$4*Performance!$E$12*(1/A27)+Performance!$E$23*(1/Constraints!$V$4)*Constraints!A27</f>
        <v>2.2724580934151066</v>
      </c>
      <c r="C27" s="50">
        <f>$V$5*Performance!$E$12*(1/A27)+Performance!$E$23*(1/Constraints!$V$5)*Constraints!A27</f>
        <v>3.5470758412309129</v>
      </c>
      <c r="D27" s="52">
        <f t="shared" si="0"/>
        <v>0.25538214280713989</v>
      </c>
      <c r="E27" s="52">
        <f>$V$4*Performance!$E$12*(1/A27)+Performance!$E$23*(1/Constraints!$V$9)*Constraints!A27</f>
        <v>2.2724016414129924</v>
      </c>
      <c r="F27" s="52">
        <f xml:space="preserve"> 1.21 / (9.81 * Constraints!$N$7 * Performance!$E$15 * Constraints!$N$5 ) * Constraints!A27 + 0.605 /Performance!$E$15 * (Performance!$E$16  - Constraints!$N$6 * Performance!$E$14) + Constraints!$N$6</f>
        <v>0.25537520382364642</v>
      </c>
      <c r="G27">
        <f t="shared" si="1"/>
        <v>86.704499999999996</v>
      </c>
      <c r="H27" s="55">
        <f>SQRT(2/$V$3 * A27 * SQRT(Performance!$E$23 / (3 * Performance!$E$12)))</f>
        <v>4.3594860335036651</v>
      </c>
      <c r="I27" s="55">
        <f>SQRT(2/$V$3 * A27 * (SQRT(Performance!$E$23)/(SQRT(3*Performance!$E$12 + 4* Performance!$E$23 * Performance!$E$11^2) - SQRT(Performance!$E$23)*Performance!$E$11)))</f>
        <v>4.585896108285203</v>
      </c>
      <c r="J27">
        <f xml:space="preserve"> $AC$3/G27 + $AC$6/A27 * Performance!$E$12 + Performance!$E$23/Constraints!$AC$6 * Constraints!A27</f>
        <v>0.12676298827436477</v>
      </c>
      <c r="K27">
        <f xml:space="preserve"> $AC$3/H27 + $AC$6/A27 * Performance!$E$12 + Performance!$E$23/Constraints!$AC$6 * Constraints!A27</f>
        <v>1.2334481602486054</v>
      </c>
      <c r="L27">
        <f xml:space="preserve"> $AC$3/I27 + $AC$6/A27 * Performance!$E$12 + Performance!$E$23/Constraints!$AC$6 * Constraints!A27</f>
        <v>1.1759174205399217</v>
      </c>
      <c r="M27">
        <f>SIN($AC$9 * PI()/180) + 1/Performance!$AE$5</f>
        <v>0.24073077270730886</v>
      </c>
      <c r="N27">
        <f>SIN($AC$9 * PI()/180) + 1/Performance!$AE$8</f>
        <v>0.22738716112204788</v>
      </c>
      <c r="O27" s="60">
        <f>$AC$16 * (Performance!$E$12/Constraints!A27 + Performance!$E$23 * (Constraints!$AC$13/Constraints!$AC$17)^2 * Constraints!A27)</f>
        <v>1.9715099277006478E-3</v>
      </c>
      <c r="P27">
        <f t="shared" si="2"/>
        <v>1973.905239035576</v>
      </c>
      <c r="Q27">
        <f t="shared" si="3"/>
        <v>4.9901500505863554</v>
      </c>
      <c r="R27">
        <f t="shared" si="4"/>
        <v>5.5219369934411686</v>
      </c>
      <c r="S27">
        <f xml:space="preserve"> 1.667/G27 + P27/A27 * Performance!$E$12 + Performance!$E$23 / Constraints!P27 * Constraints!A27</f>
        <v>4.7568362734248621</v>
      </c>
      <c r="T27">
        <f xml:space="preserve"> 1.667/H27 + Q27/A27 * Performance!$E$12 + Performance!$E$23 / Constraints!Q27 * Constraints!A27</f>
        <v>0.48829749344543671</v>
      </c>
      <c r="U27">
        <f xml:space="preserve"> 1.667/I27 + R27/A27 * Performance!$E$12 + Performance!$E$23 / Constraints!R27 * Constraints!A27</f>
        <v>0.46164858196781383</v>
      </c>
    </row>
    <row r="28" spans="1:42" x14ac:dyDescent="0.3">
      <c r="A28" s="51">
        <v>13</v>
      </c>
      <c r="B28" s="50">
        <f>$V$4*Performance!$E$12*(1/A28)+Performance!$E$23*(1/Constraints!$V$4)*Constraints!A28</f>
        <v>2.1850947112246115</v>
      </c>
      <c r="C28" s="50">
        <f>$V$5*Performance!$E$12*(1/A28)+Performance!$E$23*(1/Constraints!$V$5)*Constraints!A28</f>
        <v>3.4106747350453426</v>
      </c>
      <c r="D28" s="52">
        <f t="shared" si="0"/>
        <v>0.25565442851942555</v>
      </c>
      <c r="E28" s="52">
        <f>$V$4*Performance!$E$12*(1/A28)+Performance!$E$23*(1/Constraints!$V$9)*Constraints!A28</f>
        <v>2.185036001142413</v>
      </c>
      <c r="F28" s="52">
        <f xml:space="preserve"> 1.21 / (9.81 * Constraints!$N$7 * Performance!$E$15 * Constraints!$N$5 ) * Constraints!A28 + 0.605 /Performance!$E$15 * (Performance!$E$16  - Constraints!$N$6 * Performance!$E$14) + Constraints!$N$6</f>
        <v>0.25564721197659224</v>
      </c>
      <c r="G28">
        <f t="shared" si="1"/>
        <v>87.374600000000001</v>
      </c>
      <c r="H28" s="55">
        <f>SQRT(2/$V$3 * A28 * SQRT(Performance!$E$23 / (3 * Performance!$E$12)))</f>
        <v>4.4458208708140798</v>
      </c>
      <c r="I28" s="55">
        <f>SQRT(2/$V$3 * A28 * (SQRT(Performance!$E$23)/(SQRT(3*Performance!$E$12 + 4* Performance!$E$23 * Performance!$E$11^2) - SQRT(Performance!$E$23)*Performance!$E$11)))</f>
        <v>4.6767147486910918</v>
      </c>
      <c r="J28">
        <f xml:space="preserve"> $AC$3/G28 + $AC$6/A28 * Performance!$E$12 + Performance!$E$23/Constraints!$AC$6 * Constraints!A28</f>
        <v>0.12684255662150859</v>
      </c>
      <c r="K28">
        <f xml:space="preserve"> $AC$3/H28 + $AC$6/A28 * Performance!$E$12 + Performance!$E$23/Constraints!$AC$6 * Constraints!A28</f>
        <v>1.2113482173115342</v>
      </c>
      <c r="L28">
        <f xml:space="preserve"> $AC$3/I28 + $AC$6/A28 * Performance!$E$12 + Performance!$E$23/Constraints!$AC$6 * Constraints!A28</f>
        <v>1.1549346856949949</v>
      </c>
      <c r="M28">
        <f>SIN($AC$9 * PI()/180) + 1/Performance!$AE$5</f>
        <v>0.24073077270730886</v>
      </c>
      <c r="N28">
        <f>SIN($AC$9 * PI()/180) + 1/Performance!$AE$8</f>
        <v>0.22738716112204788</v>
      </c>
      <c r="O28" s="60">
        <f>$AC$16 * (Performance!$E$12/Constraints!A28 + Performance!$E$23 * (Constraints!$AC$13/Constraints!$AC$17)^2 * Constraints!A28)</f>
        <v>1.896126098059547E-3</v>
      </c>
      <c r="P28">
        <f t="shared" si="2"/>
        <v>2004.5339891108804</v>
      </c>
      <c r="Q28">
        <f t="shared" si="3"/>
        <v>5.1897560526098108</v>
      </c>
      <c r="R28">
        <f t="shared" si="4"/>
        <v>5.7428144731788136</v>
      </c>
      <c r="S28">
        <f xml:space="preserve"> 1.667/G28 + P28/A28 * Performance!$E$12 + Performance!$E$23 / Constraints!P28 * Constraints!A28</f>
        <v>4.6451696410543448</v>
      </c>
      <c r="T28">
        <f xml:space="preserve"> 1.667/H28 + Q28/A28 * Performance!$E$12 + Performance!$E$23 / Constraints!Q28 * Constraints!A28</f>
        <v>0.48087184432660712</v>
      </c>
      <c r="U28">
        <f xml:space="preserve"> 1.667/I28 + R28/A28 * Performance!$E$12 + Performance!$E$23 / Constraints!R28 * Constraints!A28</f>
        <v>0.45458954424457582</v>
      </c>
    </row>
    <row r="29" spans="1:42" x14ac:dyDescent="0.3">
      <c r="A29" s="51">
        <v>13.5</v>
      </c>
      <c r="B29" s="50">
        <f>$V$4*Performance!$E$12*(1/A29)+Performance!$E$23*(1/Constraints!$V$4)*Constraints!A29</f>
        <v>2.1042041578622603</v>
      </c>
      <c r="C29" s="50">
        <f>$V$5*Performance!$E$12*(1/A29)+Performance!$E$23*(1/Constraints!$V$5)*Constraints!A29</f>
        <v>3.2843783543439695</v>
      </c>
      <c r="D29" s="52">
        <f t="shared" si="0"/>
        <v>0.25592671423171109</v>
      </c>
      <c r="E29" s="52">
        <f>$V$4*Performance!$E$12*(1/A29)+Performance!$E$23*(1/Constraints!$V$9)*Constraints!A29</f>
        <v>2.1041431896999772</v>
      </c>
      <c r="F29" s="52">
        <f xml:space="preserve"> 1.21 / (9.81 * Constraints!$N$7 * Performance!$E$15 * Constraints!$N$5 ) * Constraints!A29 + 0.605 /Performance!$E$15 * (Performance!$E$16  - Constraints!$N$6 * Performance!$E$14) + Constraints!$N$6</f>
        <v>0.25591922012953811</v>
      </c>
      <c r="G29">
        <f t="shared" si="1"/>
        <v>88.044700000000006</v>
      </c>
      <c r="H29" s="55">
        <f>SQRT(2/$V$3 * A29 * SQRT(Performance!$E$23 / (3 * Performance!$E$12)))</f>
        <v>4.5305107829491593</v>
      </c>
      <c r="I29" s="55">
        <f>SQRT(2/$V$3 * A29 * (SQRT(Performance!$E$23)/(SQRT(3*Performance!$E$12 + 4* Performance!$E$23 * Performance!$E$11^2) - SQRT(Performance!$E$23)*Performance!$E$11)))</f>
        <v>4.765803034669414</v>
      </c>
      <c r="J29">
        <f xml:space="preserve"> $AC$3/G29 + $AC$6/A29 * Performance!$E$12 + Performance!$E$23/Constraints!$AC$6 * Constraints!A29</f>
        <v>0.12700877657636045</v>
      </c>
      <c r="K29">
        <f xml:space="preserve"> $AC$3/H29 + $AC$6/A29 * Performance!$E$12 + Performance!$E$23/Constraints!$AC$6 * Constraints!A29</f>
        <v>1.1905971839868146</v>
      </c>
      <c r="L29">
        <f xml:space="preserve"> $AC$3/I29 + $AC$6/A29 * Performance!$E$12 + Performance!$E$23/Constraints!$AC$6 * Constraints!A29</f>
        <v>1.1352382038910032</v>
      </c>
      <c r="M29">
        <f>SIN($AC$9 * PI()/180) + 1/Performance!$AE$5</f>
        <v>0.24073077270730886</v>
      </c>
      <c r="N29">
        <f>SIN($AC$9 * PI()/180) + 1/Performance!$AE$8</f>
        <v>0.22738716112204788</v>
      </c>
      <c r="O29" s="60">
        <f>$AC$16 * (Performance!$E$12/Constraints!A29 + Performance!$E$23 * (Constraints!$AC$13/Constraints!$AC$17)^2 * Constraints!A29)</f>
        <v>1.8263430028683057E-3</v>
      </c>
      <c r="P29">
        <f t="shared" si="2"/>
        <v>2035.39854377646</v>
      </c>
      <c r="Q29">
        <f t="shared" si="3"/>
        <v>5.3893620546332643</v>
      </c>
      <c r="R29">
        <f t="shared" si="4"/>
        <v>5.9636919529164603</v>
      </c>
      <c r="S29">
        <f xml:space="preserve"> 1.667/G29 + P29/A29 * Performance!$E$12 + Performance!$E$23 / Constraints!P29 * Constraints!A29</f>
        <v>4.5422901663955368</v>
      </c>
      <c r="T29">
        <f xml:space="preserve"> 1.667/H29 + Q29/A29 * Performance!$E$12 + Performance!$E$23 / Constraints!Q29 * Constraints!A29</f>
        <v>0.4738626491500611</v>
      </c>
      <c r="U29">
        <f xml:space="preserve"> 1.667/I29 + R29/A29 * Performance!$E$12 + Performance!$E$23 / Constraints!R29 * Constraints!A29</f>
        <v>0.44792639973437898</v>
      </c>
    </row>
    <row r="30" spans="1:42" x14ac:dyDescent="0.3">
      <c r="A30" s="51">
        <v>14</v>
      </c>
      <c r="B30" s="50">
        <f>$V$4*Performance!$E$12*(1/A30)+Performance!$E$23*(1/Constraints!$V$4)*Constraints!A30</f>
        <v>2.0290929159536102</v>
      </c>
      <c r="C30" s="50">
        <f>$V$5*Performance!$E$12*(1/A30)+Performance!$E$23*(1/Constraints!$V$5)*Constraints!A30</f>
        <v>3.1671040499677732</v>
      </c>
      <c r="D30" s="52">
        <f t="shared" si="0"/>
        <v>0.2561989999439967</v>
      </c>
      <c r="E30" s="52">
        <f>$V$4*Performance!$E$12*(1/A30)+Performance!$E$23*(1/Constraints!$V$9)*Constraints!A30</f>
        <v>2.0290296897112423</v>
      </c>
      <c r="F30" s="52">
        <f xml:space="preserve"> 1.21 / (9.81 * Constraints!$N$7 * Performance!$E$15 * Constraints!$N$5 ) * Constraints!A30 + 0.605 /Performance!$E$15 * (Performance!$E$16  - Constraints!$N$6 * Performance!$E$14) + Constraints!$N$6</f>
        <v>0.25619122828248397</v>
      </c>
      <c r="G30">
        <f t="shared" si="1"/>
        <v>88.714799999999997</v>
      </c>
      <c r="H30" s="55">
        <f>SQRT(2/$V$3 * A30 * SQRT(Performance!$E$23 / (3 * Performance!$E$12)))</f>
        <v>4.6136463554840379</v>
      </c>
      <c r="I30" s="55">
        <f>SQRT(2/$V$3 * A30 * (SQRT(Performance!$E$23)/(SQRT(3*Performance!$E$12 + 4* Performance!$E$23 * Performance!$E$11^2) - SQRT(Performance!$E$23)*Performance!$E$11)))</f>
        <v>4.8532562563606314</v>
      </c>
      <c r="J30">
        <f xml:space="preserve"> $AC$3/G30 + $AC$6/A30 * Performance!$E$12 + Performance!$E$23/Constraints!$AC$6 * Constraints!A30</f>
        <v>0.12725294188150973</v>
      </c>
      <c r="K30">
        <f xml:space="preserve"> $AC$3/H30 + $AC$6/A30 * Performance!$E$12 + Performance!$E$23/Constraints!$AC$6 * Constraints!A30</f>
        <v>1.1710721531725115</v>
      </c>
      <c r="L30">
        <f xml:space="preserve"> $AC$3/I30 + $AC$6/A30 * Performance!$E$12 + Performance!$E$23/Constraints!$AC$6 * Constraints!A30</f>
        <v>1.1167107138829524</v>
      </c>
      <c r="M30">
        <f>SIN($AC$9 * PI()/180) + 1/Performance!$AE$5</f>
        <v>0.24073077270730886</v>
      </c>
      <c r="N30">
        <f>SIN($AC$9 * PI()/180) + 1/Performance!$AE$8</f>
        <v>0.22738716112204788</v>
      </c>
      <c r="O30" s="60">
        <f>$AC$16 * (Performance!$E$12/Constraints!A30 + Performance!$E$23 * (Constraints!$AC$13/Constraints!$AC$17)^2 * Constraints!A30)</f>
        <v>1.7615605634358677E-3</v>
      </c>
      <c r="P30">
        <f t="shared" si="2"/>
        <v>2066.4989030323136</v>
      </c>
      <c r="Q30">
        <f t="shared" si="3"/>
        <v>5.5889680566567197</v>
      </c>
      <c r="R30">
        <f t="shared" si="4"/>
        <v>6.1845694326541079</v>
      </c>
      <c r="S30">
        <f xml:space="preserve"> 1.667/G30 + P30/A30 * Performance!$E$12 + Performance!$E$23 / Constraints!P30 * Constraints!A30</f>
        <v>4.4472565434542268</v>
      </c>
      <c r="T30">
        <f xml:space="preserve"> 1.667/H30 + Q30/A30 * Performance!$E$12 + Performance!$E$23 / Constraints!Q30 * Constraints!A30</f>
        <v>0.46723238209325268</v>
      </c>
      <c r="U30">
        <f xml:space="preserve"> 1.667/I30 + R30/A30 * Performance!$E$12 + Performance!$E$23 / Constraints!R30 * Constraints!A30</f>
        <v>0.44162347530040957</v>
      </c>
    </row>
    <row r="31" spans="1:42" x14ac:dyDescent="0.3">
      <c r="A31" s="51">
        <v>14.5</v>
      </c>
      <c r="B31" s="50">
        <f>$V$4*Performance!$E$12*(1/A31)+Performance!$E$23*(1/Constraints!$V$4)*Constraints!A31</f>
        <v>1.9591631256931052</v>
      </c>
      <c r="C31" s="50">
        <f>$V$5*Performance!$E$12*(1/A31)+Performance!$E$23*(1/Constraints!$V$5)*Constraints!A31</f>
        <v>3.0579185036762189</v>
      </c>
      <c r="D31" s="52">
        <f t="shared" si="0"/>
        <v>0.2564712856562823</v>
      </c>
      <c r="E31" s="52">
        <f>$V$4*Performance!$E$12*(1/A31)+Performance!$E$23*(1/Constraints!$V$9)*Constraints!A31</f>
        <v>1.9590976413706529</v>
      </c>
      <c r="F31" s="52">
        <f xml:space="preserve"> 1.21 / (9.81 * Constraints!$N$7 * Performance!$E$15 * Constraints!$N$5 ) * Constraints!A31 + 0.605 /Performance!$E$15 * (Performance!$E$16  - Constraints!$N$6 * Performance!$E$14) + Constraints!$N$6</f>
        <v>0.25646323643542984</v>
      </c>
      <c r="G31">
        <f t="shared" si="1"/>
        <v>89.384900000000002</v>
      </c>
      <c r="H31" s="55">
        <f>SQRT(2/$V$3 * A31 * SQRT(Performance!$E$23 / (3 * Performance!$E$12)))</f>
        <v>4.6953101529636667</v>
      </c>
      <c r="I31" s="55">
        <f>SQRT(2/$V$3 * A31 * (SQRT(Performance!$E$23)/(SQRT(3*Performance!$E$12 + 4* Performance!$E$23 * Performance!$E$11^2) - SQRT(Performance!$E$23)*Performance!$E$11)))</f>
        <v>4.9391612663025111</v>
      </c>
      <c r="J31">
        <f xml:space="preserve"> $AC$3/G31 + $AC$6/A31 * Performance!$E$12 + Performance!$E$23/Constraints!$AC$6 * Constraints!A31</f>
        <v>0.12756753041226271</v>
      </c>
      <c r="K31">
        <f xml:space="preserve"> $AC$3/H31 + $AC$6/A31 * Performance!$E$12 + Performance!$E$23/Constraints!$AC$6 * Constraints!A31</f>
        <v>1.1526653222009249</v>
      </c>
      <c r="L31">
        <f xml:space="preserve"> $AC$3/I31 + $AC$6/A31 * Performance!$E$12 + Performance!$E$23/Constraints!$AC$6 * Constraints!A31</f>
        <v>1.0992493713720253</v>
      </c>
      <c r="M31">
        <f>SIN($AC$9 * PI()/180) + 1/Performance!$AE$5</f>
        <v>0.24073077270730886</v>
      </c>
      <c r="N31">
        <f>SIN($AC$9 * PI()/180) + 1/Performance!$AE$8</f>
        <v>0.22738716112204788</v>
      </c>
      <c r="O31" s="60">
        <f>$AC$16 * (Performance!$E$12/Constraints!A31 + Performance!$E$23 * (Constraints!$AC$13/Constraints!$AC$17)^2 * Constraints!A31)</f>
        <v>1.7012614705458043E-3</v>
      </c>
      <c r="P31">
        <f t="shared" si="2"/>
        <v>2097.8350668784428</v>
      </c>
      <c r="Q31">
        <f t="shared" si="3"/>
        <v>5.788574058680175</v>
      </c>
      <c r="R31">
        <f t="shared" si="4"/>
        <v>6.4054469123917546</v>
      </c>
      <c r="S31">
        <f xml:space="preserve"> 1.667/G31 + P31/A31 * Performance!$E$12 + Performance!$E$23 / Constraints!P31 * Constraints!A31</f>
        <v>4.3592572967481464</v>
      </c>
      <c r="T31">
        <f xml:space="preserve"> 1.667/H31 + Q31/A31 * Performance!$E$12 + Performance!$E$23 / Constraints!Q31 * Constraints!A31</f>
        <v>0.46094808680025706</v>
      </c>
      <c r="U31">
        <f xml:space="preserve"> 1.667/I31 + R31/A31 * Performance!$E$12 + Performance!$E$23 / Constraints!R31 * Constraints!A31</f>
        <v>0.43564944167353981</v>
      </c>
    </row>
    <row r="32" spans="1:42" x14ac:dyDescent="0.3">
      <c r="A32" s="51">
        <v>15</v>
      </c>
      <c r="B32" s="50">
        <f>$V$4*Performance!$E$12*(1/A32)+Performance!$E$23*(1/Constraints!$V$4)*Constraints!A32</f>
        <v>1.8938966419159307</v>
      </c>
      <c r="C32" s="50">
        <f>$V$5*Performance!$E$12*(1/A32)+Performance!$E$23*(1/Constraints!$V$5)*Constraints!A32</f>
        <v>2.9560128396608407</v>
      </c>
      <c r="D32" s="52">
        <f t="shared" si="0"/>
        <v>0.2567435713685679</v>
      </c>
      <c r="E32" s="52">
        <f>$V$4*Performance!$E$12*(1/A32)+Performance!$E$23*(1/Constraints!$V$9)*Constraints!A32</f>
        <v>1.8938288995133936</v>
      </c>
      <c r="F32" s="52">
        <f xml:space="preserve"> 1.21 / (9.81 * Constraints!$N$7 * Performance!$E$15 * Constraints!$N$5 ) * Constraints!A32 + 0.605 /Performance!$E$15 * (Performance!$E$16  - Constraints!$N$6 * Performance!$E$14) + Constraints!$N$6</f>
        <v>0.25673524458837571</v>
      </c>
      <c r="G32">
        <f t="shared" si="1"/>
        <v>90.055000000000007</v>
      </c>
      <c r="H32" s="55">
        <f>SQRT(2/$V$3 * A32 * SQRT(Performance!$E$23 / (3 * Performance!$E$12)))</f>
        <v>4.7755776793573599</v>
      </c>
      <c r="I32" s="55">
        <f>SQRT(2/$V$3 * A32 * (SQRT(Performance!$E$23)/(SQRT(3*Performance!$E$12 + 4* Performance!$E$23 * Performance!$E$11^2) - SQRT(Performance!$E$23)*Performance!$E$11)))</f>
        <v>5.023597489765919</v>
      </c>
      <c r="J32">
        <f xml:space="preserve"> $AC$3/G32 + $AC$6/A32 * Performance!$E$12 + Performance!$E$23/Constraints!$AC$6 * Constraints!A32</f>
        <v>0.12794600742289569</v>
      </c>
      <c r="K32">
        <f xml:space="preserve"> $AC$3/H32 + $AC$6/A32 * Performance!$E$12 + Performance!$E$23/Constraints!$AC$6 * Constraints!A32</f>
        <v>1.1352816893712632</v>
      </c>
      <c r="L32">
        <f xml:space="preserve"> $AC$3/I32 + $AC$6/A32 * Performance!$E$12 + Performance!$E$23/Constraints!$AC$6 * Constraints!A32</f>
        <v>1.0827635495572561</v>
      </c>
      <c r="M32">
        <f>SIN($AC$9 * PI()/180) + 1/Performance!$AE$5</f>
        <v>0.24073077270730886</v>
      </c>
      <c r="N32">
        <f>SIN($AC$9 * PI()/180) + 1/Performance!$AE$8</f>
        <v>0.22738716112204788</v>
      </c>
      <c r="O32" s="60">
        <f>$AC$16 * (Performance!$E$12/Constraints!A32 + Performance!$E$23 * (Constraints!$AC$13/Constraints!$AC$17)^2 * Constraints!A32)</f>
        <v>1.6449973895438785E-3</v>
      </c>
      <c r="P32">
        <f t="shared" si="2"/>
        <v>2129.4070353148472</v>
      </c>
      <c r="Q32">
        <f t="shared" si="3"/>
        <v>5.9881800607036277</v>
      </c>
      <c r="R32">
        <f t="shared" si="4"/>
        <v>6.6263243921294013</v>
      </c>
      <c r="S32">
        <f xml:space="preserve"> 1.667/G32 + P32/A32 * Performance!$E$12 + Performance!$E$23 / Constraints!P32 * Constraints!A32</f>
        <v>4.2775891430510429</v>
      </c>
      <c r="T32">
        <f xml:space="preserve"> 1.667/H32 + Q32/A32 * Performance!$E$12 + Performance!$E$23 / Constraints!Q32 * Constraints!A32</f>
        <v>0.45498068500779554</v>
      </c>
      <c r="U32">
        <f xml:space="preserve"> 1.667/I32 + R32/A32 * Performance!$E$12 + Performance!$E$23 / Constraints!R32 * Constraints!A32</f>
        <v>0.42997665621214642</v>
      </c>
    </row>
    <row r="33" spans="1:21" x14ac:dyDescent="0.3">
      <c r="A33" s="51">
        <v>15.5</v>
      </c>
      <c r="B33" s="50">
        <f>$V$4*Performance!$E$12*(1/A33)+Performance!$E$23*(1/Constraints!$V$4)*Constraints!A33</f>
        <v>1.8328421768978937</v>
      </c>
      <c r="C33" s="50">
        <f>$V$5*Performance!$E$12*(1/A33)+Performance!$E$23*(1/Constraints!$V$5)*Constraints!A33</f>
        <v>2.8606825531852351</v>
      </c>
      <c r="D33" s="52">
        <f t="shared" si="0"/>
        <v>0.2570158570808535</v>
      </c>
      <c r="E33" s="52">
        <f>$V$4*Performance!$E$12*(1/A33)+Performance!$E$23*(1/Constraints!$V$9)*Constraints!A33</f>
        <v>1.8327721764152722</v>
      </c>
      <c r="F33" s="52">
        <f xml:space="preserve"> 1.21 / (9.81 * Constraints!$N$7 * Performance!$E$15 * Constraints!$N$5 ) * Constraints!A33 + 0.605 /Performance!$E$15 * (Performance!$E$16  - Constraints!$N$6 * Performance!$E$14) + Constraints!$N$6</f>
        <v>0.25700725274132152</v>
      </c>
      <c r="G33">
        <f t="shared" si="1"/>
        <v>90.725099999999998</v>
      </c>
      <c r="H33" s="55">
        <f>SQRT(2/$V$3 * A33 * SQRT(Performance!$E$23 / (3 * Performance!$E$12)))</f>
        <v>4.8545181955193826</v>
      </c>
      <c r="I33" s="55">
        <f>SQRT(2/$V$3 * A33 * (SQRT(Performance!$E$23)/(SQRT(3*Performance!$E$12 + 4* Performance!$E$23 * Performance!$E$11^2) - SQRT(Performance!$E$23)*Performance!$E$11)))</f>
        <v>5.106637784670248</v>
      </c>
      <c r="J33">
        <f xml:space="preserve"> $AC$3/G33 + $AC$6/A33 * Performance!$E$12 + Performance!$E$23/Constraints!$AC$6 * Constraints!A33</f>
        <v>0.12838266684847305</v>
      </c>
      <c r="K33">
        <f xml:space="preserve"> $AC$3/H33 + $AC$6/A33 * Performance!$E$12 + Performance!$E$23/Constraints!$AC$6 * Constraints!A33</f>
        <v>1.118837165490691</v>
      </c>
      <c r="L33">
        <f xml:space="preserve"> $AC$3/I33 + $AC$6/A33 * Performance!$E$12 + Performance!$E$23/Constraints!$AC$6 * Constraints!A33</f>
        <v>1.0671730360846814</v>
      </c>
      <c r="M33">
        <f>SIN($AC$9 * PI()/180) + 1/Performance!$AE$5</f>
        <v>0.24073077270730886</v>
      </c>
      <c r="N33">
        <f>SIN($AC$9 * PI()/180) + 1/Performance!$AE$8</f>
        <v>0.22738716112204788</v>
      </c>
      <c r="O33" s="60">
        <f>$AC$16 * (Performance!$E$12/Constraints!A33 + Performance!$E$23 * (Constraints!$AC$13/Constraints!$AC$17)^2 * Constraints!A33)</f>
        <v>1.5923778354086575E-3</v>
      </c>
      <c r="P33">
        <f t="shared" si="2"/>
        <v>2161.2148083415254</v>
      </c>
      <c r="Q33">
        <f t="shared" si="3"/>
        <v>6.1877860627270804</v>
      </c>
      <c r="R33">
        <f t="shared" si="4"/>
        <v>6.847201871867048</v>
      </c>
      <c r="S33">
        <f xml:space="preserve"> 1.667/G33 + P33/A33 * Performance!$E$12 + Performance!$E$23 / Constraints!P33 * Constraints!A33</f>
        <v>4.2016395411797394</v>
      </c>
      <c r="T33">
        <f xml:space="preserve"> 1.667/H33 + Q33/A33 * Performance!$E$12 + Performance!$E$23 / Constraints!Q33 * Constraints!A33</f>
        <v>0.44930440887069101</v>
      </c>
      <c r="U33">
        <f xml:space="preserve"> 1.667/I33 + R33/A33 * Performance!$E$12 + Performance!$E$23 / Constraints!R33 * Constraints!A33</f>
        <v>0.42458062325420154</v>
      </c>
    </row>
    <row r="34" spans="1:21" x14ac:dyDescent="0.3">
      <c r="A34" s="51">
        <v>16</v>
      </c>
      <c r="B34" s="50">
        <f>$V$4*Performance!$E$12*(1/A34)+Performance!$E$23*(1/Constraints!$V$4)*Constraints!A34</f>
        <v>1.7756048538803251</v>
      </c>
      <c r="C34" s="50">
        <f>$V$5*Performance!$E$12*(1/A34)+Performance!$E$23*(1/Constraints!$V$5)*Constraints!A34</f>
        <v>2.771311202605049</v>
      </c>
      <c r="D34" s="52">
        <f t="shared" si="0"/>
        <v>0.25728814279313911</v>
      </c>
      <c r="E34" s="52">
        <f>$V$4*Performance!$E$12*(1/A34)+Performance!$E$23*(1/Constraints!$V$9)*Constraints!A34</f>
        <v>1.7755325953176191</v>
      </c>
      <c r="F34" s="52">
        <f xml:space="preserve"> 1.21 / (9.81 * Constraints!$N$7 * Performance!$E$15 * Constraints!$N$5 ) * Constraints!A34 + 0.605 /Performance!$E$15 * (Performance!$E$16  - Constraints!$N$6 * Performance!$E$14) + Constraints!$N$6</f>
        <v>0.25727926089426739</v>
      </c>
      <c r="G34">
        <f t="shared" si="1"/>
        <v>91.395200000000003</v>
      </c>
      <c r="H34" s="55">
        <f>SQRT(2/$V$3 * A34 * SQRT(Performance!$E$23 / (3 * Performance!$E$12)))</f>
        <v>4.9321954188455788</v>
      </c>
      <c r="I34" s="55">
        <f>SQRT(2/$V$3 * A34 * (SQRT(Performance!$E$23)/(SQRT(3*Performance!$E$12 + 4* Performance!$E$23 * Performance!$E$11^2) - SQRT(Performance!$E$23)*Performance!$E$11)))</f>
        <v>5.1883491775767441</v>
      </c>
      <c r="J34">
        <f xml:space="preserve"> $AC$3/G34 + $AC$6/A34 * Performance!$E$12 + Performance!$E$23/Constraints!$AC$6 * Constraints!A34</f>
        <v>0.1288725023388588</v>
      </c>
      <c r="K34">
        <f xml:space="preserve"> $AC$3/H34 + $AC$6/A34 * Performance!$E$12 + Performance!$E$23/Constraints!$AC$6 * Constraints!A34</f>
        <v>1.1032570149009842</v>
      </c>
      <c r="L34">
        <f xml:space="preserve"> $AC$3/I34 + $AC$6/A34 * Performance!$E$12 + Performance!$E$23/Constraints!$AC$6 * Constraints!A34</f>
        <v>1.0524065446826236</v>
      </c>
      <c r="M34">
        <f>SIN($AC$9 * PI()/180) + 1/Performance!$AE$5</f>
        <v>0.24073077270730886</v>
      </c>
      <c r="N34">
        <f>SIN($AC$9 * PI()/180) + 1/Performance!$AE$8</f>
        <v>0.22738716112204788</v>
      </c>
      <c r="O34" s="60">
        <f>$AC$16 * (Performance!$E$12/Constraints!A34 + Performance!$E$23 * (Constraints!$AC$13/Constraints!$AC$17)^2 * Constraints!A34)</f>
        <v>1.543061133746388E-3</v>
      </c>
      <c r="P34">
        <f t="shared" si="2"/>
        <v>2193.2583859584797</v>
      </c>
      <c r="Q34">
        <f t="shared" si="3"/>
        <v>6.3873920647505376</v>
      </c>
      <c r="R34">
        <f t="shared" si="4"/>
        <v>7.0680793516046965</v>
      </c>
      <c r="S34">
        <f xml:space="preserve"> 1.667/G34 + P34/A34 * Performance!$E$12 + Performance!$E$23 / Constraints!P34 * Constraints!A34</f>
        <v>4.1308725136900675</v>
      </c>
      <c r="T34">
        <f xml:space="preserve"> 1.667/H34 + Q34/A34 * Performance!$E$12 + Performance!$E$23 / Constraints!Q34 * Constraints!A34</f>
        <v>0.44389633165367265</v>
      </c>
      <c r="U34">
        <f xml:space="preserve"> 1.667/I34 + R34/A34 * Performance!$E$12 + Performance!$E$23 / Constraints!R34 * Constraints!A34</f>
        <v>0.41943954797927208</v>
      </c>
    </row>
    <row r="35" spans="1:21" x14ac:dyDescent="0.3">
      <c r="A35" s="51">
        <v>16.5</v>
      </c>
      <c r="B35" s="50">
        <f>$V$4*Performance!$E$12*(1/A35)+Performance!$E$23*(1/Constraints!$V$4)*Constraints!A35</f>
        <v>1.7218376599540912</v>
      </c>
      <c r="C35" s="50">
        <f>$V$5*Performance!$E$12*(1/A35)+Performance!$E$23*(1/Constraints!$V$5)*Constraints!A35</f>
        <v>2.687357066475244</v>
      </c>
      <c r="D35" s="52">
        <f t="shared" si="0"/>
        <v>0.25756042850542471</v>
      </c>
      <c r="E35" s="52">
        <f>$V$4*Performance!$E$12*(1/A35)+Performance!$E$23*(1/Constraints!$V$9)*Constraints!A35</f>
        <v>1.7217631433113005</v>
      </c>
      <c r="F35" s="52">
        <f xml:space="preserve"> 1.21 / (9.81 * Constraints!$N$7 * Performance!$E$15 * Constraints!$N$5 ) * Constraints!A35 + 0.605 /Performance!$E$15 * (Performance!$E$16  - Constraints!$N$6 * Performance!$E$14) + Constraints!$N$6</f>
        <v>0.25755126904721326</v>
      </c>
      <c r="G35">
        <f t="shared" si="1"/>
        <v>92.065300000000008</v>
      </c>
      <c r="H35" s="55">
        <f>SQRT(2/$V$3 * A35 * SQRT(Performance!$E$23 / (3 * Performance!$E$12)))</f>
        <v>5.0086681252338785</v>
      </c>
      <c r="I35" s="55">
        <f>SQRT(2/$V$3 * A35 * (SQRT(Performance!$E$23)/(SQRT(3*Performance!$E$12 + 4* Performance!$E$23 * Performance!$E$11^2) - SQRT(Performance!$E$23)*Performance!$E$11)))</f>
        <v>5.2687934969118588</v>
      </c>
      <c r="J35">
        <f xml:space="preserve"> $AC$3/G35 + $AC$6/A35 * Performance!$E$12 + Performance!$E$23/Constraints!$AC$6 * Constraints!A35</f>
        <v>0.12941110171926412</v>
      </c>
      <c r="K35">
        <f xml:space="preserve"> $AC$3/H35 + $AC$6/A35 * Performance!$E$12 + Performance!$E$23/Constraints!$AC$6 * Constraints!A35</f>
        <v>1.0884745601716823</v>
      </c>
      <c r="L35">
        <f xml:space="preserve"> $AC$3/I35 + $AC$6/A35 * Performance!$E$12 + Performance!$E$23/Constraints!$AC$6 * Constraints!A35</f>
        <v>1.0384004786022571</v>
      </c>
      <c r="M35">
        <f>SIN($AC$9 * PI()/180) + 1/Performance!$AE$5</f>
        <v>0.24073077270730886</v>
      </c>
      <c r="N35">
        <f>SIN($AC$9 * PI()/180) + 1/Performance!$AE$8</f>
        <v>0.22738716112204788</v>
      </c>
      <c r="O35" s="60">
        <f>$AC$16 * (Performance!$E$12/Constraints!A35 + Performance!$E$23 * (Constraints!$AC$13/Constraints!$AC$17)^2 * Constraints!A35)</f>
        <v>1.4967470252413471E-3</v>
      </c>
      <c r="P35">
        <f t="shared" si="2"/>
        <v>2225.5377681657083</v>
      </c>
      <c r="Q35">
        <f t="shared" si="3"/>
        <v>6.5869980667739929</v>
      </c>
      <c r="R35">
        <f t="shared" si="4"/>
        <v>7.2889568313423432</v>
      </c>
      <c r="S35">
        <f xml:space="preserve"> 1.667/G35 + P35/A35 * Performance!$E$12 + Performance!$E$23 / Constraints!P35 * Constraints!A35</f>
        <v>4.0648170464406714</v>
      </c>
      <c r="T35">
        <f xml:space="preserve"> 1.667/H35 + Q35/A35 * Performance!$E$12 + Performance!$E$23 / Constraints!Q35 * Constraints!A35</f>
        <v>0.43873597726009594</v>
      </c>
      <c r="U35">
        <f xml:space="preserve"> 1.667/I35 + R35/A35 * Performance!$E$12 + Performance!$E$23 / Constraints!R35 * Constraints!A35</f>
        <v>0.41453396521517866</v>
      </c>
    </row>
    <row r="36" spans="1:21" x14ac:dyDescent="0.3">
      <c r="A36" s="51">
        <v>17</v>
      </c>
      <c r="B36" s="50">
        <f>$V$4*Performance!$E$12*(1/A36)+Performance!$E$23*(1/Constraints!$V$4)*Constraints!A36</f>
        <v>1.6712344072581919</v>
      </c>
      <c r="C36" s="50">
        <f>$V$5*Performance!$E$12*(1/A36)+Performance!$E$23*(1/Constraints!$V$5)*Constraints!A36</f>
        <v>2.608342155285492</v>
      </c>
      <c r="D36" s="52">
        <f t="shared" si="0"/>
        <v>0.25783271421771031</v>
      </c>
      <c r="E36" s="52">
        <f>$V$4*Performance!$E$12*(1/A36)+Performance!$E$23*(1/Constraints!$V$9)*Constraints!A36</f>
        <v>1.6711576325353168</v>
      </c>
      <c r="F36" s="52">
        <f xml:space="preserve"> 1.21 / (9.81 * Constraints!$N$7 * Performance!$E$15 * Constraints!$N$5 ) * Constraints!A36 + 0.605 /Performance!$E$15 * (Performance!$E$16  - Constraints!$N$6 * Performance!$E$14) + Constraints!$N$6</f>
        <v>0.25782327720015913</v>
      </c>
      <c r="G36">
        <f t="shared" si="1"/>
        <v>92.735399999999998</v>
      </c>
      <c r="H36" s="55">
        <f>SQRT(2/$V$3 * A36 * SQRT(Performance!$E$23 / (3 * Performance!$E$12)))</f>
        <v>5.083990669521965</v>
      </c>
      <c r="I36" s="55">
        <f>SQRT(2/$V$3 * A36 * (SQRT(Performance!$E$23)/(SQRT(3*Performance!$E$12 + 4* Performance!$E$23 * Performance!$E$11^2) - SQRT(Performance!$E$23)*Performance!$E$11)))</f>
        <v>5.3480279204338581</v>
      </c>
      <c r="J36">
        <f xml:space="preserve"> $AC$3/G36 + $AC$6/A36 * Performance!$E$12 + Performance!$E$23/Constraints!$AC$6 * Constraints!A36</f>
        <v>0.12999456005529231</v>
      </c>
      <c r="K36">
        <f xml:space="preserve"> $AC$3/H36 + $AC$6/A36 * Performance!$E$12 + Performance!$E$23/Constraints!$AC$6 * Constraints!A36</f>
        <v>1.0744300993541831</v>
      </c>
      <c r="L36">
        <f xml:space="preserve"> $AC$3/I36 + $AC$6/A36 * Performance!$E$12 + Performance!$E$23/Constraints!$AC$6 * Constraints!A36</f>
        <v>1.0250978970429774</v>
      </c>
      <c r="M36">
        <f>SIN($AC$9 * PI()/180) + 1/Performance!$AE$5</f>
        <v>0.24073077270730886</v>
      </c>
      <c r="N36">
        <f>SIN($AC$9 * PI()/180) + 1/Performance!$AE$8</f>
        <v>0.22738716112204788</v>
      </c>
      <c r="O36" s="60">
        <f>$AC$16 * (Performance!$E$12/Constraints!A36 + Performance!$E$23 * (Constraints!$AC$13/Constraints!$AC$17)^2 * Constraints!A36)</f>
        <v>1.4531705752031908E-3</v>
      </c>
      <c r="P36">
        <f t="shared" si="2"/>
        <v>2258.0529549632111</v>
      </c>
      <c r="Q36">
        <f t="shared" si="3"/>
        <v>6.7866040687974465</v>
      </c>
      <c r="R36">
        <f t="shared" si="4"/>
        <v>7.5098343110799872</v>
      </c>
      <c r="S36">
        <f xml:space="preserve"> 1.667/G36 + P36/A36 * Performance!$E$12 + Performance!$E$23 / Constraints!P36 * Constraints!A36</f>
        <v>4.0030575352874571</v>
      </c>
      <c r="T36">
        <f xml:space="preserve"> 1.667/H36 + Q36/A36 * Performance!$E$12 + Performance!$E$23 / Constraints!Q36 * Constraints!A36</f>
        <v>0.4338049934095401</v>
      </c>
      <c r="U36">
        <f xml:space="preserve"> 1.667/I36 + R36/A36 * Performance!$E$12 + Performance!$E$23 / Constraints!R36 * Constraints!A36</f>
        <v>0.40984642875112909</v>
      </c>
    </row>
    <row r="37" spans="1:21" x14ac:dyDescent="0.3">
      <c r="A37" s="51">
        <v>17.5</v>
      </c>
      <c r="B37" s="50">
        <f>$V$4*Performance!$E$12*(1/A37)+Performance!$E$23*(1/Constraints!$V$4)*Constraints!A37</f>
        <v>1.6235239008300273</v>
      </c>
      <c r="C37" s="50">
        <f>$V$5*Performance!$E$12*(1/A37)+Performance!$E$23*(1/Constraints!$V$5)*Constraints!A37</f>
        <v>2.533843106898074</v>
      </c>
      <c r="D37" s="52">
        <f t="shared" si="0"/>
        <v>0.25810499992999592</v>
      </c>
      <c r="E37" s="52">
        <f>$V$4*Performance!$E$12*(1/A37)+Performance!$E$23*(1/Constraints!$V$9)*Constraints!A37</f>
        <v>1.6234448680270677</v>
      </c>
      <c r="F37" s="52">
        <f xml:space="preserve"> 1.21 / (9.81 * Constraints!$N$7 * Performance!$E$15 * Constraints!$N$5 ) * Constraints!A37 + 0.605 /Performance!$E$15 * (Performance!$E$16  - Constraints!$N$6 * Performance!$E$14) + Constraints!$N$6</f>
        <v>0.258095285353105</v>
      </c>
      <c r="G37">
        <f t="shared" si="1"/>
        <v>93.405500000000004</v>
      </c>
      <c r="H37" s="55">
        <f>SQRT(2/$V$3 * A37 * SQRT(Performance!$E$23 / (3 * Performance!$E$12)))</f>
        <v>5.1582134375032345</v>
      </c>
      <c r="I37" s="55">
        <f>SQRT(2/$V$3 * A37 * (SQRT(Performance!$E$23)/(SQRT(3*Performance!$E$12 + 4* Performance!$E$23 * Performance!$E$11^2) - SQRT(Performance!$E$23)*Performance!$E$11)))</f>
        <v>5.4261054507242594</v>
      </c>
      <c r="J37">
        <f xml:space="preserve"> $AC$3/G37 + $AC$6/A37 * Performance!$E$12 + Performance!$E$23/Constraints!$AC$6 * Constraints!A37</f>
        <v>0.13061940760256255</v>
      </c>
      <c r="K37">
        <f xml:space="preserve"> $AC$3/H37 + $AC$6/A37 * Performance!$E$12 + Performance!$E$23/Constraints!$AC$6 * Constraints!A37</f>
        <v>1.0610699957859377</v>
      </c>
      <c r="L37">
        <f xml:space="preserve"> $AC$3/I37 + $AC$6/A37 * Performance!$E$12 + Performance!$E$23/Constraints!$AC$6 * Constraints!A37</f>
        <v>1.0124476463434651</v>
      </c>
      <c r="M37">
        <f>SIN($AC$9 * PI()/180) + 1/Performance!$AE$5</f>
        <v>0.24073077270730886</v>
      </c>
      <c r="N37">
        <f>SIN($AC$9 * PI()/180) + 1/Performance!$AE$8</f>
        <v>0.22738716112204788</v>
      </c>
      <c r="O37" s="60">
        <f>$AC$16 * (Performance!$E$12/Constraints!A37 + Performance!$E$23 * (Constraints!$AC$13/Constraints!$AC$17)^2 * Constraints!A37)</f>
        <v>1.4120971271919006E-3</v>
      </c>
      <c r="P37">
        <f t="shared" si="2"/>
        <v>2290.8039463509904</v>
      </c>
      <c r="Q37">
        <f t="shared" si="3"/>
        <v>6.9862100708209001</v>
      </c>
      <c r="R37">
        <f t="shared" si="4"/>
        <v>7.7307117908176357</v>
      </c>
      <c r="S37">
        <f xml:space="preserve"> 1.667/G37 + P37/A37 * Performance!$E$12 + Performance!$E$23 / Constraints!P37 * Constraints!A37</f>
        <v>3.9452258704827763</v>
      </c>
      <c r="T37">
        <f xml:space="preserve"> 1.667/H37 + Q37/A37 * Performance!$E$12 + Performance!$E$23 / Constraints!Q37 * Constraints!A37</f>
        <v>0.42908687655532846</v>
      </c>
      <c r="U37">
        <f xml:space="preserve"> 1.667/I37 + R37/A37 * Performance!$E$12 + Performance!$E$23 / Constraints!R37 * Constraints!A37</f>
        <v>0.40536124983632249</v>
      </c>
    </row>
    <row r="38" spans="1:21" x14ac:dyDescent="0.3">
      <c r="A38" s="51">
        <v>18</v>
      </c>
      <c r="B38" s="50">
        <f>$V$4*Performance!$E$12*(1/A38)+Performance!$E$23*(1/Constraints!$V$4)*Constraints!A38</f>
        <v>1.5784650784806191</v>
      </c>
      <c r="C38" s="50">
        <f>$V$5*Performance!$E$12*(1/A38)+Performance!$E$23*(1/Constraints!$V$5)*Constraints!A38</f>
        <v>2.4634835994127964</v>
      </c>
      <c r="D38" s="52">
        <f t="shared" si="0"/>
        <v>0.25837728564228146</v>
      </c>
      <c r="E38" s="52">
        <f>$V$4*Performance!$E$12*(1/A38)+Performance!$E$23*(1/Constraints!$V$9)*Constraints!A38</f>
        <v>1.5783837875975748</v>
      </c>
      <c r="F38" s="52">
        <f xml:space="preserve"> 1.21 / (9.81 * Constraints!$N$7 * Performance!$E$15 * Constraints!$N$5 ) * Constraints!A38 + 0.605 /Performance!$E$15 * (Performance!$E$16  - Constraints!$N$6 * Performance!$E$14) + Constraints!$N$6</f>
        <v>0.25836729350605081</v>
      </c>
      <c r="G38">
        <f t="shared" si="1"/>
        <v>94.075599999999994</v>
      </c>
      <c r="H38" s="55">
        <f>SQRT(2/$V$3 * A38 * SQRT(Performance!$E$23 / (3 * Performance!$E$12)))</f>
        <v>5.2313832402043987</v>
      </c>
      <c r="I38" s="55">
        <f>SQRT(2/$V$3 * A38 * (SQRT(Performance!$E$23)/(SQRT(3*Performance!$E$12 + 4* Performance!$E$23 * Performance!$E$11^2) - SQRT(Performance!$E$23)*Performance!$E$11)))</f>
        <v>5.5030753299422432</v>
      </c>
      <c r="J38">
        <f xml:space="preserve"> $AC$3/G38 + $AC$6/A38 * Performance!$E$12 + Performance!$E$23/Constraints!$AC$6 * Constraints!A38</f>
        <v>0.13128254974758857</v>
      </c>
      <c r="K38">
        <f xml:space="preserve"> $AC$3/H38 + $AC$6/A38 * Performance!$E$12 + Performance!$E$23/Constraints!$AC$6 * Constraints!A38</f>
        <v>1.0483459088764078</v>
      </c>
      <c r="L38">
        <f xml:space="preserve"> $AC$3/I38 + $AC$6/A38 * Performance!$E$12 + Performance!$E$23/Constraints!$AC$6 * Constraints!A38</f>
        <v>1.0004036257858382</v>
      </c>
      <c r="M38">
        <f>SIN($AC$9 * PI()/180) + 1/Performance!$AE$5</f>
        <v>0.24073077270730886</v>
      </c>
      <c r="N38">
        <f>SIN($AC$9 * PI()/180) + 1/Performance!$AE$8</f>
        <v>0.22738716112204788</v>
      </c>
      <c r="O38" s="60">
        <f>$AC$16 * (Performance!$E$12/Constraints!A38 + Performance!$E$23 * (Constraints!$AC$13/Constraints!$AC$17)^2 * Constraints!A38)</f>
        <v>1.3733180977052377E-3</v>
      </c>
      <c r="P38">
        <f t="shared" si="2"/>
        <v>2323.7907423290426</v>
      </c>
      <c r="Q38">
        <f t="shared" si="3"/>
        <v>7.1858160728443536</v>
      </c>
      <c r="R38">
        <f t="shared" si="4"/>
        <v>7.9515892705552806</v>
      </c>
      <c r="S38">
        <f xml:space="preserve"> 1.667/G38 + P38/A38 * Performance!$E$12 + Performance!$E$23 / Constraints!P38 * Constraints!A38</f>
        <v>3.8909948403369699</v>
      </c>
      <c r="T38">
        <f xml:space="preserve"> 1.667/H38 + Q38/A38 * Performance!$E$12 + Performance!$E$23 / Constraints!Q38 * Constraints!A38</f>
        <v>0.42456673913217141</v>
      </c>
      <c r="U38">
        <f xml:space="preserve"> 1.667/I38 + R38/A38 * Performance!$E$12 + Performance!$E$23 / Constraints!R38 * Constraints!A38</f>
        <v>0.40106427591879984</v>
      </c>
    </row>
    <row r="39" spans="1:21" x14ac:dyDescent="0.3">
      <c r="A39" s="51">
        <v>18.5</v>
      </c>
      <c r="B39" s="50">
        <f>$V$4*Performance!$E$12*(1/A39)+Performance!$E$23*(1/Constraints!$V$4)*Constraints!A39</f>
        <v>1.5358429387981769</v>
      </c>
      <c r="C39" s="50">
        <f>$V$5*Performance!$E$12*(1/A39)+Performance!$E$23*(1/Constraints!$V$5)*Constraints!A39</f>
        <v>2.3969279943781339</v>
      </c>
      <c r="D39" s="52">
        <f t="shared" si="0"/>
        <v>0.25864957135456706</v>
      </c>
      <c r="E39" s="52">
        <f>$V$4*Performance!$E$12*(1/A39)+Performance!$E$23*(1/Constraints!$V$9)*Constraints!A39</f>
        <v>1.5357593898350481</v>
      </c>
      <c r="F39" s="52">
        <f xml:space="preserve"> 1.21 / (9.81 * Constraints!$N$7 * Performance!$E$15 * Constraints!$N$5 ) * Constraints!A39 + 0.605 /Performance!$E$15 * (Performance!$E$16  - Constraints!$N$6 * Performance!$E$14) + Constraints!$N$6</f>
        <v>0.25863930165899668</v>
      </c>
      <c r="G39">
        <f t="shared" si="1"/>
        <v>94.745699999999999</v>
      </c>
      <c r="H39" s="55">
        <f>SQRT(2/$V$3 * A39 * SQRT(Performance!$E$23 / (3 * Performance!$E$12)))</f>
        <v>5.3035436591909022</v>
      </c>
      <c r="I39" s="55">
        <f>SQRT(2/$V$3 * A39 * (SQRT(Performance!$E$23)/(SQRT(3*Performance!$E$12 + 4* Performance!$E$23 * Performance!$E$11^2) - SQRT(Performance!$E$23)*Performance!$E$11)))</f>
        <v>5.5789834030635319</v>
      </c>
      <c r="J39">
        <f xml:space="preserve"> $AC$3/G39 + $AC$6/A39 * Performance!$E$12 + Performance!$E$23/Constraints!$AC$6 * Constraints!A39</f>
        <v>0.13198121667212193</v>
      </c>
      <c r="K39">
        <f xml:space="preserve"> $AC$3/H39 + $AC$6/A39 * Performance!$E$12 + Performance!$E$23/Constraints!$AC$6 * Constraints!A39</f>
        <v>1.0362141407857799</v>
      </c>
      <c r="L39">
        <f xml:space="preserve"> $AC$3/I39 + $AC$6/A39 * Performance!$E$12 + Performance!$E$23/Constraints!$AC$6 * Constraints!A39</f>
        <v>0.98892416405060146</v>
      </c>
      <c r="M39">
        <f>SIN($AC$9 * PI()/180) + 1/Performance!$AE$5</f>
        <v>0.24073077270730886</v>
      </c>
      <c r="N39">
        <f>SIN($AC$9 * PI()/180) + 1/Performance!$AE$8</f>
        <v>0.22738716112204788</v>
      </c>
      <c r="O39" s="60">
        <f>$AC$16 * (Performance!$E$12/Constraints!A39 + Performance!$E$23 * (Constraints!$AC$13/Constraints!$AC$17)^2 * Constraints!A39)</f>
        <v>1.336647452808773E-3</v>
      </c>
      <c r="P39">
        <f t="shared" si="2"/>
        <v>2357.0133428973713</v>
      </c>
      <c r="Q39">
        <f t="shared" si="3"/>
        <v>7.3854220748678108</v>
      </c>
      <c r="R39">
        <f t="shared" si="4"/>
        <v>8.17246675029293</v>
      </c>
      <c r="S39">
        <f xml:space="preserve"> 1.667/G39 + P39/A39 * Performance!$E$12 + Performance!$E$23 / Constraints!P39 * Constraints!A39</f>
        <v>3.8400726045523399</v>
      </c>
      <c r="T39">
        <f xml:space="preserve"> 1.667/H39 + Q39/A39 * Performance!$E$12 + Performance!$E$23 / Constraints!Q39 * Constraints!A39</f>
        <v>0.42023111164506521</v>
      </c>
      <c r="U39">
        <f xml:space="preserve"> 1.667/I39 + R39/A39 * Performance!$E$12 + Performance!$E$23 / Constraints!R39 * Constraints!A39</f>
        <v>0.39694270250540176</v>
      </c>
    </row>
    <row r="40" spans="1:21" x14ac:dyDescent="0.3">
      <c r="A40" s="51">
        <v>19</v>
      </c>
      <c r="B40" s="50">
        <f>$V$4*Performance!$E$12*(1/A40)+Performance!$E$23*(1/Constraints!$V$4)*Constraints!A40</f>
        <v>1.4954651120984657</v>
      </c>
      <c r="C40" s="50">
        <f>$V$5*Performance!$E$12*(1/A40)+Performance!$E$23*(1/Constraints!$V$5)*Constraints!A40</f>
        <v>2.3338759837058793</v>
      </c>
      <c r="D40" s="52">
        <f t="shared" si="0"/>
        <v>0.25892185706685267</v>
      </c>
      <c r="E40" s="52">
        <f>$V$4*Performance!$E$12*(1/A40)+Performance!$E$23*(1/Constraints!$V$9)*Constraints!A40</f>
        <v>1.4953793050552522</v>
      </c>
      <c r="F40" s="52">
        <f xml:space="preserve"> 1.21 / (9.81 * Constraints!$N$7 * Performance!$E$15 * Constraints!$N$5 ) * Constraints!A40 + 0.605 /Performance!$E$15 * (Performance!$E$16  - Constraints!$N$6 * Performance!$E$14) + Constraints!$N$6</f>
        <v>0.25891130981194255</v>
      </c>
      <c r="G40">
        <f t="shared" si="1"/>
        <v>95.415800000000004</v>
      </c>
      <c r="H40" s="55">
        <f>SQRT(2/$V$3 * A40 * SQRT(Performance!$E$23 / (3 * Performance!$E$12)))</f>
        <v>5.3747353501355351</v>
      </c>
      <c r="I40" s="55">
        <f>SQRT(2/$V$3 * A40 * (SQRT(Performance!$E$23)/(SQRT(3*Performance!$E$12 + 4* Performance!$E$23 * Performance!$E$11^2) - SQRT(Performance!$E$23)*Performance!$E$11)))</f>
        <v>5.6538724372148472</v>
      </c>
      <c r="J40">
        <f xml:space="preserve"> $AC$3/G40 + $AC$6/A40 * Performance!$E$12 + Performance!$E$23/Constraints!$AC$6 * Constraints!A40</f>
        <v>0.13271292095055423</v>
      </c>
      <c r="K40">
        <f xml:space="preserve"> $AC$3/H40 + $AC$6/A40 * Performance!$E$12 + Performance!$E$23/Constraints!$AC$6 * Constraints!A40</f>
        <v>1.0246350789201353</v>
      </c>
      <c r="L40">
        <f xml:space="preserve"> $AC$3/I40 + $AC$6/A40 * Performance!$E$12 + Performance!$E$23/Constraints!$AC$6 * Constraints!A40</f>
        <v>0.97797148714890214</v>
      </c>
      <c r="M40">
        <f>SIN($AC$9 * PI()/180) + 1/Performance!$AE$5</f>
        <v>0.24073077270730886</v>
      </c>
      <c r="N40">
        <f>SIN($AC$9 * PI()/180) + 1/Performance!$AE$8</f>
        <v>0.22738716112204788</v>
      </c>
      <c r="O40" s="60">
        <f>$AC$16 * (Performance!$E$12/Constraints!A40 + Performance!$E$23 * (Constraints!$AC$13/Constraints!$AC$17)^2 * Constraints!A40)</f>
        <v>1.3019187410874904E-3</v>
      </c>
      <c r="P40">
        <f t="shared" si="2"/>
        <v>2390.4717480559743</v>
      </c>
      <c r="Q40">
        <f t="shared" si="3"/>
        <v>7.5850280768912617</v>
      </c>
      <c r="R40">
        <f t="shared" si="4"/>
        <v>8.3933442300305732</v>
      </c>
      <c r="S40">
        <f xml:space="preserve"> 1.667/G40 + P40/A40 * Performance!$E$12 + Performance!$E$23 / Constraints!P40 * Constraints!A40</f>
        <v>3.7921980401847435</v>
      </c>
      <c r="T40">
        <f xml:space="preserve"> 1.667/H40 + Q40/A40 * Performance!$E$12 + Performance!$E$23 / Constraints!Q40 * Constraints!A40</f>
        <v>0.41606777359884606</v>
      </c>
      <c r="U40">
        <f xml:space="preserve"> 1.667/I40 + R40/A40 * Performance!$E$12 + Performance!$E$23 / Constraints!R40 * Constraints!A40</f>
        <v>0.39298491243849298</v>
      </c>
    </row>
    <row r="41" spans="1:21" x14ac:dyDescent="0.3">
      <c r="A41" s="51">
        <v>19.5</v>
      </c>
      <c r="B41" s="50">
        <f>$V$4*Performance!$E$12*(1/A41)+Performance!$E$23*(1/Constraints!$V$4)*Constraints!A41</f>
        <v>1.4571589589212761</v>
      </c>
      <c r="C41" s="50">
        <f>$V$5*Performance!$E$12*(1/A41)+Performance!$E$23*(1/Constraints!$V$5)*Constraints!A41</f>
        <v>2.2740580601373868</v>
      </c>
      <c r="D41" s="52">
        <f t="shared" si="0"/>
        <v>0.25919414277913827</v>
      </c>
      <c r="E41" s="52">
        <f>$V$4*Performance!$E$12*(1/A41)+Performance!$E$23*(1/Constraints!$V$9)*Constraints!A41</f>
        <v>1.4570708937979782</v>
      </c>
      <c r="F41" s="52">
        <f xml:space="preserve"> 1.21 / (9.81 * Constraints!$N$7 * Performance!$E$15 * Constraints!$N$5 ) * Constraints!A41 + 0.605 /Performance!$E$15 * (Performance!$E$16  - Constraints!$N$6 * Performance!$E$14) + Constraints!$N$6</f>
        <v>0.25918331796488836</v>
      </c>
      <c r="G41">
        <f t="shared" si="1"/>
        <v>96.085899999999995</v>
      </c>
      <c r="H41" s="55">
        <f>SQRT(2/$V$3 * A41 * SQRT(Performance!$E$23 / (3 * Performance!$E$12)))</f>
        <v>5.4449963106552328</v>
      </c>
      <c r="I41" s="55">
        <f>SQRT(2/$V$3 * A41 * (SQRT(Performance!$E$23)/(SQRT(3*Performance!$E$12 + 4* Performance!$E$23 * Performance!$E$11^2) - SQRT(Performance!$E$23)*Performance!$E$11)))</f>
        <v>5.7277824034208189</v>
      </c>
      <c r="J41">
        <f xml:space="preserve"> $AC$3/G41 + $AC$6/A41 * Performance!$E$12 + Performance!$E$23/Constraints!$AC$6 * Constraints!A41</f>
        <v>0.13347542165719423</v>
      </c>
      <c r="K41">
        <f xml:space="preserve"> $AC$3/H41 + $AC$6/A41 * Performance!$E$12 + Performance!$E$23/Constraints!$AC$6 * Constraints!A41</f>
        <v>1.0135727180741632</v>
      </c>
      <c r="L41">
        <f xml:space="preserve"> $AC$3/I41 + $AC$6/A41 * Performance!$E$12 + Performance!$E$23/Constraints!$AC$6 * Constraints!A41</f>
        <v>0.96751126239120055</v>
      </c>
      <c r="M41">
        <f>SIN($AC$9 * PI()/180) + 1/Performance!$AE$5</f>
        <v>0.24073077270730886</v>
      </c>
      <c r="N41">
        <f>SIN($AC$9 * PI()/180) + 1/Performance!$AE$8</f>
        <v>0.22738716112204788</v>
      </c>
      <c r="O41" s="60">
        <f>$AC$16 * (Performance!$E$12/Constraints!A41 + Performance!$E$23 * (Constraints!$AC$13/Constraints!$AC$17)^2 * Constraints!A41)</f>
        <v>1.2689825830663765E-3</v>
      </c>
      <c r="P41">
        <f t="shared" si="2"/>
        <v>2424.1659578048525</v>
      </c>
      <c r="Q41">
        <f t="shared" si="3"/>
        <v>7.784634078914717</v>
      </c>
      <c r="R41">
        <f t="shared" si="4"/>
        <v>8.6142217097682199</v>
      </c>
      <c r="S41">
        <f xml:space="preserve"> 1.667/G41 + P41/A41 * Performance!$E$12 + Performance!$E$23 / Constraints!P41 * Constraints!A41</f>
        <v>3.7471368036075758</v>
      </c>
      <c r="T41">
        <f xml:space="preserve"> 1.667/H41 + Q41/A41 * Performance!$E$12 + Performance!$E$23 / Constraints!Q41 * Constraints!A41</f>
        <v>0.4120656084295079</v>
      </c>
      <c r="U41">
        <f xml:space="preserve"> 1.667/I41 + R41/A41 * Performance!$E$12 + Performance!$E$23 / Constraints!R41 * Constraints!A41</f>
        <v>0.38918033798945939</v>
      </c>
    </row>
    <row r="42" spans="1:21" x14ac:dyDescent="0.3">
      <c r="A42" s="51">
        <v>20</v>
      </c>
      <c r="B42" s="50">
        <f>$V$4*Performance!$E$12*(1/A42)+Performance!$E$23*(1/Constraints!$V$4)*Constraints!A42</f>
        <v>1.420769103752419</v>
      </c>
      <c r="C42" s="50">
        <f>$V$5*Performance!$E$12*(1/A42)+Performance!$E$23*(1/Constraints!$V$5)*Constraints!A42</f>
        <v>2.217231667139874</v>
      </c>
      <c r="D42" s="52">
        <f t="shared" si="0"/>
        <v>0.25946642849142387</v>
      </c>
      <c r="E42" s="52">
        <f>$V$4*Performance!$E$12*(1/A42)+Performance!$E$23*(1/Constraints!$V$9)*Constraints!A42</f>
        <v>1.4206787805490366</v>
      </c>
      <c r="F42" s="52">
        <f xml:space="preserve"> 1.21 / (9.81 * Constraints!$N$7 * Performance!$E$15 * Constraints!$N$5 ) * Constraints!A42 + 0.605 /Performance!$E$15 * (Performance!$E$16  - Constraints!$N$6 * Performance!$E$14) + Constraints!$N$6</f>
        <v>0.25945532611783423</v>
      </c>
      <c r="G42">
        <f t="shared" si="1"/>
        <v>96.756</v>
      </c>
      <c r="H42" s="55">
        <f>SQRT(2/$V$3 * A42 * SQRT(Performance!$E$23 / (3 * Performance!$E$12)))</f>
        <v>5.5143621174258808</v>
      </c>
      <c r="I42" s="55">
        <f>SQRT(2/$V$3 * A42 * (SQRT(Performance!$E$23)/(SQRT(3*Performance!$E$12 + 4* Performance!$E$23 * Performance!$E$11^2) - SQRT(Performance!$E$23)*Performance!$E$11)))</f>
        <v>5.8007507260333631</v>
      </c>
      <c r="J42">
        <f xml:space="preserve"> $AC$3/G42 + $AC$6/A42 * Performance!$E$12 + Performance!$E$23/Constraints!$AC$6 * Constraints!A42</f>
        <v>0.13426669384483422</v>
      </c>
      <c r="K42">
        <f xml:space="preserve"> $AC$3/H42 + $AC$6/A42 * Performance!$E$12 + Performance!$E$23/Constraints!$AC$6 * Constraints!A42</f>
        <v>1.0029942491200483</v>
      </c>
      <c r="L42">
        <f xml:space="preserve"> $AC$3/I42 + $AC$6/A42 * Performance!$E$12 + Performance!$E$23/Constraints!$AC$6 * Constraints!A42</f>
        <v>0.95751220588161534</v>
      </c>
      <c r="M42">
        <f>SIN($AC$9 * PI()/180) + 1/Performance!$AE$5</f>
        <v>0.24073077270730886</v>
      </c>
      <c r="N42">
        <f>SIN($AC$9 * PI()/180) + 1/Performance!$AE$8</f>
        <v>0.22738716112204788</v>
      </c>
      <c r="O42" s="60">
        <f>$AC$16 * (Performance!$E$12/Constraints!A42 + Performance!$E$23 * (Constraints!$AC$13/Constraints!$AC$17)^2 * Constraints!A42)</f>
        <v>1.237704537217918E-3</v>
      </c>
      <c r="P42">
        <f t="shared" si="2"/>
        <v>2458.0959721440054</v>
      </c>
      <c r="Q42">
        <f t="shared" si="3"/>
        <v>7.9842400809381724</v>
      </c>
      <c r="R42">
        <f t="shared" si="4"/>
        <v>8.8350991895058684</v>
      </c>
      <c r="S42">
        <f xml:space="preserve"> 1.667/G42 + P42/A42 * Performance!$E$12 + Performance!$E$23 / Constraints!P42 * Constraints!A42</f>
        <v>3.7046779831778394</v>
      </c>
      <c r="T42">
        <f xml:space="preserve"> 1.667/H42 + Q42/A42 * Performance!$E$12 + Performance!$E$23 / Constraints!Q42 * Constraints!A42</f>
        <v>0.40821447851162257</v>
      </c>
      <c r="U42">
        <f xml:space="preserve"> 1.667/I42 + R42/A42 * Performance!$E$12 + Performance!$E$23 / Constraints!R42 * Constraints!A42</f>
        <v>0.38551934203713123</v>
      </c>
    </row>
    <row r="43" spans="1:21" x14ac:dyDescent="0.3">
      <c r="A43" s="51">
        <v>20.5</v>
      </c>
      <c r="B43" s="50">
        <f>$V$4*Performance!$E$12*(1/A43)+Performance!$E$23*(1/Constraints!$V$4)*Constraints!A43</f>
        <v>1.3861553296644551</v>
      </c>
      <c r="C43" s="50">
        <f>$V$5*Performance!$E$12*(1/A43)+Performance!$E$23*(1/Constraints!$V$5)*Constraints!A43</f>
        <v>2.1631779122325372</v>
      </c>
      <c r="D43" s="52">
        <f t="shared" si="0"/>
        <v>0.25973871420370948</v>
      </c>
      <c r="E43" s="52">
        <f>$V$4*Performance!$E$12*(1/A43)+Performance!$E$23*(1/Constraints!$V$9)*Constraints!A43</f>
        <v>1.3860627483809878</v>
      </c>
      <c r="F43" s="52">
        <f xml:space="preserve"> 1.21 / (9.81 * Constraints!$N$7 * Performance!$E$15 * Constraints!$N$5 ) * Constraints!A43 + 0.605 /Performance!$E$15 * (Performance!$E$16  - Constraints!$N$6 * Performance!$E$14) + Constraints!$N$6</f>
        <v>0.2597273342707801</v>
      </c>
      <c r="G43">
        <f t="shared" si="1"/>
        <v>97.426099999999991</v>
      </c>
      <c r="H43" s="55">
        <f>SQRT(2/$V$3 * A43 * SQRT(Performance!$E$23 / (3 * Performance!$E$12)))</f>
        <v>5.5828661367754631</v>
      </c>
      <c r="I43" s="55">
        <f>SQRT(2/$V$3 * A43 * (SQRT(Performance!$E$23)/(SQRT(3*Performance!$E$12 + 4* Performance!$E$23 * Performance!$E$11^2) - SQRT(Performance!$E$23)*Performance!$E$11)))</f>
        <v>5.8728125042619919</v>
      </c>
      <c r="J43">
        <f xml:space="preserve"> $AC$3/G43 + $AC$6/A43 * Performance!$E$12 + Performance!$E$23/Constraints!$AC$6 * Constraints!A43</f>
        <v>0.13508490247814942</v>
      </c>
      <c r="K43">
        <f xml:space="preserve"> $AC$3/H43 + $AC$6/A43 * Performance!$E$12 + Performance!$E$23/Constraints!$AC$6 * Constraints!A43</f>
        <v>0.99286970356557536</v>
      </c>
      <c r="L43">
        <f xml:space="preserve"> $AC$3/I43 + $AC$6/A43 * Performance!$E$12 + Performance!$E$23/Constraints!$AC$6 * Constraints!A43</f>
        <v>0.94794574334287884</v>
      </c>
      <c r="M43">
        <f>SIN($AC$9 * PI()/180) + 1/Performance!$AE$5</f>
        <v>0.24073077270730886</v>
      </c>
      <c r="N43">
        <f>SIN($AC$9 * PI()/180) + 1/Performance!$AE$8</f>
        <v>0.22738716112204788</v>
      </c>
      <c r="O43" s="60">
        <f>$AC$16 * (Performance!$E$12/Constraints!A43 + Performance!$E$23 * (Constraints!$AC$13/Constraints!$AC$17)^2 * Constraints!A43)</f>
        <v>1.2079632782611893E-3</v>
      </c>
      <c r="P43">
        <f t="shared" si="2"/>
        <v>2492.2617910734325</v>
      </c>
      <c r="Q43">
        <f t="shared" si="3"/>
        <v>8.183846082961626</v>
      </c>
      <c r="R43">
        <f t="shared" si="4"/>
        <v>9.0559766692435169</v>
      </c>
      <c r="S43">
        <f xml:space="preserve"> 1.667/G43 + P43/A43 * Performance!$E$12 + Performance!$E$23 / Constraints!P43 * Constraints!A43</f>
        <v>3.6646312417528861</v>
      </c>
      <c r="T43">
        <f xml:space="preserve"> 1.667/H43 + Q43/A43 * Performance!$E$12 + Performance!$E$23 / Constraints!Q43 * Constraints!A43</f>
        <v>0.40450511703887937</v>
      </c>
      <c r="U43">
        <f xml:space="preserve"> 1.667/I43 + R43/A43 * Performance!$E$12 + Performance!$E$23 / Constraints!R43 * Constraints!A43</f>
        <v>0.38199311528628421</v>
      </c>
    </row>
    <row r="44" spans="1:21" x14ac:dyDescent="0.3">
      <c r="A44" s="51">
        <v>21</v>
      </c>
      <c r="B44" s="50">
        <f>$V$4*Performance!$E$12*(1/A44)+Performance!$E$23*(1/Constraints!$V$4)*Constraints!A44</f>
        <v>1.3531907737230349</v>
      </c>
      <c r="C44" s="50">
        <f>$V$5*Performance!$E$12*(1/A44)+Performance!$E$23*(1/Constraints!$V$5)*Constraints!A44</f>
        <v>2.1116987498375068</v>
      </c>
      <c r="D44" s="52">
        <f t="shared" si="0"/>
        <v>0.26001099991599508</v>
      </c>
      <c r="E44" s="52">
        <f>$V$4*Performance!$E$12*(1/A44)+Performance!$E$23*(1/Constraints!$V$9)*Constraints!A44</f>
        <v>1.3530959343594831</v>
      </c>
      <c r="F44" s="52">
        <f xml:space="preserve"> 1.21 / (9.81 * Constraints!$N$7 * Performance!$E$15 * Constraints!$N$5 ) * Constraints!A44 + 0.605 /Performance!$E$15 * (Performance!$E$16  - Constraints!$N$6 * Performance!$E$14) + Constraints!$N$6</f>
        <v>0.25999934242372597</v>
      </c>
      <c r="G44">
        <f t="shared" si="1"/>
        <v>98.096199999999996</v>
      </c>
      <c r="H44" s="55">
        <f>SQRT(2/$V$3 * A44 * SQRT(Performance!$E$23 / (3 * Performance!$E$12)))</f>
        <v>5.6505397122935719</v>
      </c>
      <c r="I44" s="55">
        <f>SQRT(2/$V$3 * A44 * (SQRT(Performance!$E$23)/(SQRT(3*Performance!$E$12 + 4* Performance!$E$23 * Performance!$E$11^2) - SQRT(Performance!$E$23)*Performance!$E$11)))</f>
        <v>5.9440007095268266</v>
      </c>
      <c r="J44">
        <f xml:space="preserve"> $AC$3/G44 + $AC$6/A44 * Performance!$E$12 + Performance!$E$23/Constraints!$AC$6 * Constraints!A44</f>
        <v>0.13592838008000502</v>
      </c>
      <c r="K44">
        <f xml:space="preserve"> $AC$3/H44 + $AC$6/A44 * Performance!$E$12 + Performance!$E$23/Constraints!$AC$6 * Constraints!A44</f>
        <v>0.9831716452328374</v>
      </c>
      <c r="L44">
        <f xml:space="preserve"> $AC$3/I44 + $AC$6/A44 * Performance!$E$12 + Performance!$E$23/Constraints!$AC$6 * Constraints!A44</f>
        <v>0.93878571591860227</v>
      </c>
      <c r="M44">
        <f>SIN($AC$9 * PI()/180) + 1/Performance!$AE$5</f>
        <v>0.24073077270730886</v>
      </c>
      <c r="N44">
        <f>SIN($AC$9 * PI()/180) + 1/Performance!$AE$8</f>
        <v>0.22738716112204788</v>
      </c>
      <c r="O44" s="60">
        <f>$AC$16 * (Performance!$E$12/Constraints!A44 + Performance!$E$23 * (Constraints!$AC$13/Constraints!$AC$17)^2 * Constraints!A44)</f>
        <v>1.1796490357039243E-3</v>
      </c>
      <c r="P44">
        <f t="shared" si="2"/>
        <v>2526.6634145931357</v>
      </c>
      <c r="Q44">
        <f t="shared" si="3"/>
        <v>8.3834520849850804</v>
      </c>
      <c r="R44">
        <f t="shared" si="4"/>
        <v>9.2768541489811618</v>
      </c>
      <c r="S44">
        <f xml:space="preserve"> 1.667/G44 + P44/A44 * Performance!$E$12 + Performance!$E$23 / Constraints!P44 * Constraints!A44</f>
        <v>3.6268243674161931</v>
      </c>
      <c r="T44">
        <f xml:space="preserve"> 1.667/H44 + Q44/A44 * Performance!$E$12 + Performance!$E$23 / Constraints!Q44 * Constraints!A44</f>
        <v>0.40092903415028114</v>
      </c>
      <c r="U44">
        <f xml:space="preserve"> 1.667/I44 + R44/A44 * Performance!$E$12 + Performance!$E$23 / Constraints!R44 * Constraints!A44</f>
        <v>0.37859358702847451</v>
      </c>
    </row>
    <row r="45" spans="1:21" x14ac:dyDescent="0.3">
      <c r="A45" s="51">
        <v>21.5</v>
      </c>
      <c r="B45" s="50">
        <f>$V$4*Performance!$E$12*(1/A45)+Performance!$E$23*(1/Constraints!$V$4)*Constraints!A45</f>
        <v>1.3217603741970041</v>
      </c>
      <c r="C45" s="50">
        <f>$V$5*Performance!$E$12*(1/A45)+Performance!$E$23*(1/Constraints!$V$5)*Constraints!A45</f>
        <v>2.0626145572213668</v>
      </c>
      <c r="D45" s="52">
        <f t="shared" si="0"/>
        <v>0.26028328562828068</v>
      </c>
      <c r="E45" s="52">
        <f>$V$4*Performance!$E$12*(1/A45)+Performance!$E$23*(1/Constraints!$V$9)*Constraints!A45</f>
        <v>1.3216632767533676</v>
      </c>
      <c r="F45" s="52">
        <f xml:space="preserve"> 1.21 / (9.81 * Constraints!$N$7 * Performance!$E$15 * Constraints!$N$5 ) * Constraints!A45 + 0.605 /Performance!$E$15 * (Performance!$E$16  - Constraints!$N$6 * Performance!$E$14) + Constraints!$N$6</f>
        <v>0.26027135057667183</v>
      </c>
      <c r="G45">
        <f t="shared" si="1"/>
        <v>98.766300000000001</v>
      </c>
      <c r="H45" s="55">
        <f>SQRT(2/$V$3 * A45 * SQRT(Performance!$E$23 / (3 * Performance!$E$12)))</f>
        <v>5.7174123324506914</v>
      </c>
      <c r="I45" s="55">
        <f>SQRT(2/$V$3 * A45 * (SQRT(Performance!$E$23)/(SQRT(3*Performance!$E$12 + 4* Performance!$E$23 * Performance!$E$11^2) - SQRT(Performance!$E$23)*Performance!$E$11)))</f>
        <v>6.0143463617832014</v>
      </c>
      <c r="J45">
        <f xml:space="preserve"> $AC$3/G45 + $AC$6/A45 * Performance!$E$12 + Performance!$E$23/Constraints!$AC$6 * Constraints!A45</f>
        <v>0.13679560748674924</v>
      </c>
      <c r="K45">
        <f xml:space="preserve"> $AC$3/H45 + $AC$6/A45 * Performance!$E$12 + Performance!$E$23/Constraints!$AC$6 * Constraints!A45</f>
        <v>0.97387490185193948</v>
      </c>
      <c r="L45">
        <f xml:space="preserve"> $AC$3/I45 + $AC$6/A45 * Performance!$E$12 + Performance!$E$23/Constraints!$AC$6 * Constraints!A45</f>
        <v>0.93000812407318212</v>
      </c>
      <c r="M45">
        <f>SIN($AC$9 * PI()/180) + 1/Performance!$AE$5</f>
        <v>0.24073077270730886</v>
      </c>
      <c r="N45">
        <f>SIN($AC$9 * PI()/180) + 1/Performance!$AE$8</f>
        <v>0.22738716112204788</v>
      </c>
      <c r="O45" s="60">
        <f>$AC$16 * (Performance!$E$12/Constraints!A45 + Performance!$E$23 * (Constraints!$AC$13/Constraints!$AC$17)^2 * Constraints!A45)</f>
        <v>1.1526622502624386E-3</v>
      </c>
      <c r="P45">
        <f t="shared" si="2"/>
        <v>2561.3008427031132</v>
      </c>
      <c r="Q45">
        <f t="shared" si="3"/>
        <v>8.5830580870085313</v>
      </c>
      <c r="R45">
        <f t="shared" si="4"/>
        <v>9.4977316287188085</v>
      </c>
      <c r="S45">
        <f xml:space="preserve"> 1.667/G45 + P45/A45 * Performance!$E$12 + Performance!$E$23 / Constraints!P45 * Constraints!A45</f>
        <v>3.5911011659596452</v>
      </c>
      <c r="T45">
        <f xml:space="preserve"> 1.667/H45 + Q45/A45 * Performance!$E$12 + Performance!$E$23 / Constraints!Q45 * Constraints!A45</f>
        <v>0.39747843513558812</v>
      </c>
      <c r="U45">
        <f xml:space="preserve"> 1.667/I45 + R45/A45 * Performance!$E$12 + Performance!$E$23 / Constraints!R45 * Constraints!A45</f>
        <v>0.37531334738575806</v>
      </c>
    </row>
    <row r="46" spans="1:21" x14ac:dyDescent="0.3">
      <c r="A46" s="51">
        <v>22</v>
      </c>
      <c r="B46" s="50">
        <f>$V$4*Performance!$E$12*(1/A46)+Performance!$E$23*(1/Constraints!$V$4)*Constraints!A46</f>
        <v>1.2917595295125865</v>
      </c>
      <c r="C46" s="50">
        <f>$V$5*Performance!$E$12*(1/A46)+Performance!$E$23*(1/Constraints!$V$5)*Constraints!A46</f>
        <v>2.0157620409901011</v>
      </c>
      <c r="D46" s="52">
        <f t="shared" si="0"/>
        <v>0.26055557134056628</v>
      </c>
      <c r="E46" s="52">
        <f>$V$4*Performance!$E$12*(1/A46)+Performance!$E$23*(1/Constraints!$V$9)*Constraints!A46</f>
        <v>1.2916601739888656</v>
      </c>
      <c r="F46" s="52">
        <f xml:space="preserve"> 1.21 / (9.81 * Constraints!$N$7 * Performance!$E$15 * Constraints!$N$5 ) * Constraints!A46 + 0.605 /Performance!$E$15 * (Performance!$E$16  - Constraints!$N$6 * Performance!$E$14) + Constraints!$N$6</f>
        <v>0.26054335872961765</v>
      </c>
      <c r="G46">
        <f t="shared" si="1"/>
        <v>99.436399999999992</v>
      </c>
      <c r="H46" s="55">
        <f>SQRT(2/$V$3 * A46 * SQRT(Performance!$E$23 / (3 * Performance!$E$12)))</f>
        <v>5.7835117807705556</v>
      </c>
      <c r="I46" s="55">
        <f>SQRT(2/$V$3 * A46 * (SQRT(Performance!$E$23)/(SQRT(3*Performance!$E$12 + 4* Performance!$E$23 * Performance!$E$11^2) - SQRT(Performance!$E$23)*Performance!$E$11)))</f>
        <v>6.0838786874932218</v>
      </c>
      <c r="J46">
        <f xml:space="preserve"> $AC$3/G46 + $AC$6/A46 * Performance!$E$12 + Performance!$E$23/Constraints!$AC$6 * Constraints!A46</f>
        <v>0.13768519721834871</v>
      </c>
      <c r="K46">
        <f xml:space="preserve"> $AC$3/H46 + $AC$6/A46 * Performance!$E$12 + Performance!$E$23/Constraints!$AC$6 * Constraints!A46</f>
        <v>0.96495633060584574</v>
      </c>
      <c r="L46">
        <f xml:space="preserve"> $AC$3/I46 + $AC$6/A46 * Performance!$E$12 + Performance!$E$23/Constraints!$AC$6 * Constraints!A46</f>
        <v>0.92159090389554943</v>
      </c>
      <c r="M46">
        <f>SIN($AC$9 * PI()/180) + 1/Performance!$AE$5</f>
        <v>0.24073077270730886</v>
      </c>
      <c r="N46">
        <f>SIN($AC$9 * PI()/180) + 1/Performance!$AE$8</f>
        <v>0.22738716112204788</v>
      </c>
      <c r="O46" s="60">
        <f>$AC$16 * (Performance!$E$12/Constraints!A46 + Performance!$E$23 * (Constraints!$AC$13/Constraints!$AC$17)^2 * Constraints!A46)</f>
        <v>1.1269124134970206E-3</v>
      </c>
      <c r="P46">
        <f t="shared" si="2"/>
        <v>2596.1740754033654</v>
      </c>
      <c r="Q46">
        <f t="shared" si="3"/>
        <v>8.7826640890319876</v>
      </c>
      <c r="R46">
        <f t="shared" si="4"/>
        <v>9.7186091084564552</v>
      </c>
      <c r="S46">
        <f xml:space="preserve"> 1.667/G46 + P46/A46 * Performance!$E$12 + Performance!$E$23 / Constraints!P46 * Constraints!A46</f>
        <v>3.5573196407521159</v>
      </c>
      <c r="T46">
        <f xml:space="preserve"> 1.667/H46 + Q46/A46 * Performance!$E$12 + Performance!$E$23 / Constraints!Q46 * Constraints!A46</f>
        <v>0.39414614892506084</v>
      </c>
      <c r="U46">
        <f xml:space="preserve"> 1.667/I46 + R46/A46 * Performance!$E$12 + Performance!$E$23 / Constraints!R46 * Constraints!A46</f>
        <v>0.37214557933096404</v>
      </c>
    </row>
    <row r="47" spans="1:21" x14ac:dyDescent="0.3">
      <c r="A47" s="51">
        <v>22.5</v>
      </c>
      <c r="B47" s="50">
        <f>$V$4*Performance!$E$12*(1/A47)+Performance!$E$23*(1/Constraints!$V$4)*Constraints!A47</f>
        <v>1.2630929360136744</v>
      </c>
      <c r="C47" s="50">
        <f>$V$5*Performance!$E$12*(1/A47)+Performance!$E$23*(1/Constraints!$V$5)*Constraints!A47</f>
        <v>1.9709924227180513</v>
      </c>
      <c r="D47" s="52">
        <f t="shared" si="0"/>
        <v>0.26082785705285183</v>
      </c>
      <c r="E47" s="52">
        <f>$V$4*Performance!$E$12*(1/A47)+Performance!$E$23*(1/Constraints!$V$9)*Constraints!A47</f>
        <v>1.262991322409869</v>
      </c>
      <c r="F47" s="52">
        <f xml:space="preserve"> 1.21 / (9.81 * Constraints!$N$7 * Performance!$E$15 * Constraints!$N$5 ) * Constraints!A47 + 0.605 /Performance!$E$15 * (Performance!$E$16  - Constraints!$N$6 * Performance!$E$14) + Constraints!$N$6</f>
        <v>0.26081536688256352</v>
      </c>
      <c r="G47">
        <f t="shared" si="1"/>
        <v>100.1065</v>
      </c>
      <c r="H47" s="55">
        <f>SQRT(2/$V$3 * A47 * SQRT(Performance!$E$23 / (3 * Performance!$E$12)))</f>
        <v>5.8488642707250733</v>
      </c>
      <c r="I47" s="55">
        <f>SQRT(2/$V$3 * A47 * (SQRT(Performance!$E$23)/(SQRT(3*Performance!$E$12 + 4* Performance!$E$23 * Performance!$E$11^2) - SQRT(Performance!$E$23)*Performance!$E$11)))</f>
        <v>6.1526252615264703</v>
      </c>
      <c r="J47">
        <f xml:space="preserve"> $AC$3/G47 + $AC$6/A47 * Performance!$E$12 + Performance!$E$23/Constraints!$AC$6 * Constraints!A47</f>
        <v>0.13859587905704424</v>
      </c>
      <c r="K47">
        <f xml:space="preserve"> $AC$3/H47 + $AC$6/A47 * Performance!$E$12 + Performance!$E$23/Constraints!$AC$6 * Constraints!A47</f>
        <v>0.95639461266724601</v>
      </c>
      <c r="L47">
        <f xml:space="preserve"> $AC$3/I47 + $AC$6/A47 * Performance!$E$12 + Performance!$E$23/Constraints!$AC$6 * Constraints!A47</f>
        <v>0.91351373107242506</v>
      </c>
      <c r="M47">
        <f>SIN($AC$9 * PI()/180) + 1/Performance!$AE$5</f>
        <v>0.24073077270730886</v>
      </c>
      <c r="N47">
        <f>SIN($AC$9 * PI()/180) + 1/Performance!$AE$8</f>
        <v>0.22738716112204788</v>
      </c>
      <c r="O47" s="60">
        <f>$AC$16 * (Performance!$E$12/Constraints!A47 + Performance!$E$23 * (Constraints!$AC$13/Constraints!$AC$17)^2 * Constraints!A47)</f>
        <v>1.1023170621625989E-3</v>
      </c>
      <c r="P47">
        <f t="shared" si="2"/>
        <v>2631.2831126938931</v>
      </c>
      <c r="Q47">
        <f t="shared" si="3"/>
        <v>8.9822700910554438</v>
      </c>
      <c r="R47">
        <f t="shared" si="4"/>
        <v>9.9394865881941019</v>
      </c>
      <c r="S47">
        <f xml:space="preserve"> 1.667/G47 + P47/A47 * Performance!$E$12 + Performance!$E$23 / Constraints!P47 * Constraints!A47</f>
        <v>3.5253504152898909</v>
      </c>
      <c r="T47">
        <f xml:space="preserve"> 1.667/H47 + Q47/A47 * Performance!$E$12 + Performance!$E$23 / Constraints!Q47 * Constraints!A47</f>
        <v>0.39092556536944323</v>
      </c>
      <c r="U47">
        <f xml:space="preserve"> 1.667/I47 + R47/A47 * Performance!$E$12 + Performance!$E$23 / Constraints!R47 * Constraints!A47</f>
        <v>0.36908399906422373</v>
      </c>
    </row>
    <row r="48" spans="1:21" x14ac:dyDescent="0.3">
      <c r="A48" s="51">
        <v>23</v>
      </c>
      <c r="B48" s="50">
        <f>$V$4*Performance!$E$12*(1/A48)+Performance!$E$23*(1/Constraints!$V$4)*Constraints!A48</f>
        <v>1.2356735773186041</v>
      </c>
      <c r="C48" s="50">
        <f>$V$5*Performance!$E$12*(1/A48)+Performance!$E$23*(1/Constraints!$V$5)*Constraints!A48</f>
        <v>1.9281698612339646</v>
      </c>
      <c r="D48" s="52">
        <f t="shared" si="0"/>
        <v>0.26110014276513743</v>
      </c>
      <c r="E48" s="52">
        <f>$V$4*Performance!$E$12*(1/A48)+Performance!$E$23*(1/Constraints!$V$9)*Constraints!A48</f>
        <v>1.2355697056347139</v>
      </c>
      <c r="F48" s="52">
        <f xml:space="preserve"> 1.21 / (9.81 * Constraints!$N$7 * Performance!$E$15 * Constraints!$N$5 ) * Constraints!A48 + 0.605 /Performance!$E$15 * (Performance!$E$16  - Constraints!$N$6 * Performance!$E$14) + Constraints!$N$6</f>
        <v>0.26108737503550938</v>
      </c>
      <c r="G48">
        <f t="shared" si="1"/>
        <v>100.7766</v>
      </c>
      <c r="H48" s="55">
        <f>SQRT(2/$V$3 * A48 * SQRT(Performance!$E$23 / (3 * Performance!$E$12)))</f>
        <v>5.9134945672095522</v>
      </c>
      <c r="I48" s="55">
        <f>SQRT(2/$V$3 * A48 * (SQRT(Performance!$E$23)/(SQRT(3*Performance!$E$12 + 4* Performance!$E$23 * Performance!$E$11^2) - SQRT(Performance!$E$23)*Performance!$E$11)))</f>
        <v>6.2206121349440426</v>
      </c>
      <c r="J48">
        <f xml:space="preserve"> $AC$3/G48 + $AC$6/A48 * Performance!$E$12 + Performance!$E$23/Constraints!$AC$6 * Constraints!A48</f>
        <v>0.13952648749884941</v>
      </c>
      <c r="K48">
        <f xml:space="preserve"> $AC$3/H48 + $AC$6/A48 * Performance!$E$12 + Performance!$E$23/Constraints!$AC$6 * Constraints!A48</f>
        <v>0.94817007258548169</v>
      </c>
      <c r="L48">
        <f xml:space="preserve"> $AC$3/I48 + $AC$6/A48 * Performance!$E$12 + Performance!$E$23/Constraints!$AC$6 * Constraints!A48</f>
        <v>0.90575784857704911</v>
      </c>
      <c r="M48">
        <f>SIN($AC$9 * PI()/180) + 1/Performance!$AE$5</f>
        <v>0.24073077270730886</v>
      </c>
      <c r="N48">
        <f>SIN($AC$9 * PI()/180) + 1/Performance!$AE$8</f>
        <v>0.22738716112204788</v>
      </c>
      <c r="O48" s="60">
        <f>$AC$16 * (Performance!$E$12/Constraints!A48 + Performance!$E$23 * (Constraints!$AC$13/Constraints!$AC$17)^2 * Constraints!A48)</f>
        <v>1.0788009037310652E-3</v>
      </c>
      <c r="P48">
        <f t="shared" si="2"/>
        <v>2666.6279545746957</v>
      </c>
      <c r="Q48">
        <f t="shared" si="3"/>
        <v>9.1818760930788983</v>
      </c>
      <c r="R48">
        <f t="shared" si="4"/>
        <v>10.160364067931749</v>
      </c>
      <c r="S48">
        <f xml:space="preserve"> 1.667/G48 + P48/A48 * Performance!$E$12 + Performance!$E$23 / Constraints!P48 * Constraints!A48</f>
        <v>3.4950753614992078</v>
      </c>
      <c r="T48">
        <f xml:space="preserve"> 1.667/H48 + Q48/A48 * Performance!$E$12 + Performance!$E$23 / Constraints!Q48 * Constraints!A48</f>
        <v>0.38781058006109442</v>
      </c>
      <c r="U48">
        <f xml:space="preserve"> 1.667/I48 + R48/A48 * Performance!$E$12 + Performance!$E$23 / Constraints!R48 * Constraints!A48</f>
        <v>0.36612280355833748</v>
      </c>
    </row>
    <row r="49" spans="1:21" x14ac:dyDescent="0.3">
      <c r="A49" s="51">
        <v>23.5</v>
      </c>
      <c r="B49" s="50">
        <f>$V$4*Performance!$E$12*(1/A49)+Performance!$E$23*(1/Constraints!$V$4)*Constraints!A49</f>
        <v>1.2094218426952159</v>
      </c>
      <c r="C49" s="50">
        <f>$V$5*Performance!$E$12*(1/A49)+Performance!$E$23*(1/Constraints!$V$5)*Constraints!A49</f>
        <v>1.8871700763173327</v>
      </c>
      <c r="D49" s="52">
        <f t="shared" si="0"/>
        <v>0.26137242847742304</v>
      </c>
      <c r="E49" s="52">
        <f>$V$4*Performance!$E$12*(1/A49)+Performance!$E$23*(1/Constraints!$V$9)*Constraints!A49</f>
        <v>1.2093157129312413</v>
      </c>
      <c r="F49" s="52">
        <f xml:space="preserve"> 1.21 / (9.81 * Constraints!$N$7 * Performance!$E$15 * Constraints!$N$5 ) * Constraints!A49 + 0.605 /Performance!$E$15 * (Performance!$E$16  - Constraints!$N$6 * Performance!$E$14) + Constraints!$N$6</f>
        <v>0.26135938318845525</v>
      </c>
      <c r="G49">
        <f t="shared" si="1"/>
        <v>101.44669999999999</v>
      </c>
      <c r="H49" s="55">
        <f>SQRT(2/$V$3 * A49 * SQRT(Performance!$E$23 / (3 * Performance!$E$12)))</f>
        <v>5.9774260961947014</v>
      </c>
      <c r="I49" s="55">
        <f>SQRT(2/$V$3 * A49 * (SQRT(Performance!$E$23)/(SQRT(3*Performance!$E$12 + 4* Performance!$E$23 * Performance!$E$11^2) - SQRT(Performance!$E$23)*Performance!$E$11)))</f>
        <v>6.2878639503453391</v>
      </c>
      <c r="J49">
        <f xml:space="preserve"> $AC$3/G49 + $AC$6/A49 * Performance!$E$12 + Performance!$E$23/Constraints!$AC$6 * Constraints!A49</f>
        <v>0.14047595079932815</v>
      </c>
      <c r="K49">
        <f xml:space="preserve"> $AC$3/H49 + $AC$6/A49 * Performance!$E$12 + Performance!$E$23/Constraints!$AC$6 * Constraints!A49</f>
        <v>0.94026451904944852</v>
      </c>
      <c r="L49">
        <f xml:space="preserve"> $AC$3/I49 + $AC$6/A49 * Performance!$E$12 + Performance!$E$23/Constraints!$AC$6 * Constraints!A49</f>
        <v>0.89830591475707511</v>
      </c>
      <c r="M49">
        <f>SIN($AC$9 * PI()/180) + 1/Performance!$AE$5</f>
        <v>0.24073077270730886</v>
      </c>
      <c r="N49">
        <f>SIN($AC$9 * PI()/180) + 1/Performance!$AE$8</f>
        <v>0.22738716112204788</v>
      </c>
      <c r="O49" s="60">
        <f>$AC$16 * (Performance!$E$12/Constraints!A49 + Performance!$E$23 * (Constraints!$AC$13/Constraints!$AC$17)^2 * Constraints!A49)</f>
        <v>1.0562950535490435E-3</v>
      </c>
      <c r="P49">
        <f t="shared" si="2"/>
        <v>2702.2086010457724</v>
      </c>
      <c r="Q49">
        <f t="shared" si="3"/>
        <v>9.381482095102351</v>
      </c>
      <c r="R49">
        <f t="shared" si="4"/>
        <v>10.381241547669395</v>
      </c>
      <c r="S49">
        <f xml:space="preserve"> 1.667/G49 + P49/A49 * Performance!$E$12 + Performance!$E$23 / Constraints!P49 * Constraints!A49</f>
        <v>3.4663864031470624</v>
      </c>
      <c r="T49">
        <f xml:space="preserve"> 1.667/H49 + Q49/A49 * Performance!$E$12 + Performance!$E$23 / Constraints!Q49 * Constraints!A49</f>
        <v>0.38479554564761043</v>
      </c>
      <c r="U49">
        <f xml:space="preserve"> 1.667/I49 + R49/A49 * Performance!$E$12 + Performance!$E$23 / Constraints!R49 * Constraints!A49</f>
        <v>0.36325662427608785</v>
      </c>
    </row>
    <row r="50" spans="1:21" x14ac:dyDescent="0.3">
      <c r="A50" s="51">
        <v>24</v>
      </c>
      <c r="B50" s="50">
        <f>$V$4*Performance!$E$12*(1/A50)+Performance!$E$23*(1/Constraints!$V$4)*Constraints!A50</f>
        <v>1.1842647556390296</v>
      </c>
      <c r="C50" s="50">
        <f>$V$5*Performance!$E$12*(1/A50)+Performance!$E$23*(1/Constraints!$V$5)*Constraints!A50</f>
        <v>1.8478791444326896</v>
      </c>
      <c r="D50" s="52">
        <f t="shared" si="0"/>
        <v>0.26164471418970864</v>
      </c>
      <c r="E50" s="52">
        <f>$V$4*Performance!$E$12*(1/A50)+Performance!$E$23*(1/Constraints!$V$9)*Constraints!A50</f>
        <v>1.1841563677949705</v>
      </c>
      <c r="F50" s="52">
        <f xml:space="preserve"> 1.21 / (9.81 * Constraints!$N$7 * Performance!$E$15 * Constraints!$N$5 ) * Constraints!A50 + 0.605 /Performance!$E$15 * (Performance!$E$16  - Constraints!$N$6 * Performance!$E$14) + Constraints!$N$6</f>
        <v>0.26163139134140112</v>
      </c>
      <c r="G50">
        <f t="shared" si="1"/>
        <v>102.1168</v>
      </c>
      <c r="H50" s="55">
        <f>SQRT(2/$V$3 * A50 * SQRT(Performance!$E$23 / (3 * Performance!$E$12)))</f>
        <v>6.0406810439322127</v>
      </c>
      <c r="I50" s="55">
        <f>SQRT(2/$V$3 * A50 * (SQRT(Performance!$E$23)/(SQRT(3*Performance!$E$12 + 4* Performance!$E$23 * Performance!$E$11^2) - SQRT(Performance!$E$23)*Performance!$E$11)))</f>
        <v>6.3544040462258859</v>
      </c>
      <c r="J50">
        <f xml:space="preserve"> $AC$3/G50 + $AC$6/A50 * Performance!$E$12 + Performance!$E$23/Constraints!$AC$6 * Constraints!A50</f>
        <v>0.14144328138149731</v>
      </c>
      <c r="K50">
        <f xml:space="preserve"> $AC$3/H50 + $AC$6/A50 * Performance!$E$12 + Performance!$E$23/Constraints!$AC$6 * Constraints!A50</f>
        <v>0.93266110410081915</v>
      </c>
      <c r="L50">
        <f xml:space="preserve"> $AC$3/I50 + $AC$6/A50 * Performance!$E$12 + Performance!$E$23/Constraints!$AC$6 * Constraints!A50</f>
        <v>0.89114186902896064</v>
      </c>
      <c r="M50">
        <f>SIN($AC$9 * PI()/180) + 1/Performance!$AE$5</f>
        <v>0.24073077270730886</v>
      </c>
      <c r="N50">
        <f>SIN($AC$9 * PI()/180) + 1/Performance!$AE$8</f>
        <v>0.22738716112204788</v>
      </c>
      <c r="O50" s="60">
        <f>$AC$16 * (Performance!$E$12/Constraints!A50 + Performance!$E$23 * (Constraints!$AC$13/Constraints!$AC$17)^2 * Constraints!A50)</f>
        <v>1.0347363673509397E-3</v>
      </c>
      <c r="P50">
        <f t="shared" si="2"/>
        <v>2738.0250521071243</v>
      </c>
      <c r="Q50">
        <f t="shared" si="3"/>
        <v>9.5810880971258054</v>
      </c>
      <c r="R50">
        <f t="shared" si="4"/>
        <v>10.602119027407044</v>
      </c>
      <c r="S50">
        <f xml:space="preserve"> 1.667/G50 + P50/A50 * Performance!$E$12 + Performance!$E$23 / Constraints!P50 * Constraints!A50</f>
        <v>3.4391844688237625</v>
      </c>
      <c r="T50">
        <f xml:space="preserve"> 1.667/H50 + Q50/A50 * Performance!$E$12 + Performance!$E$23 / Constraints!Q50 * Constraints!A50</f>
        <v>0.38187522875400709</v>
      </c>
      <c r="U50">
        <f xml:space="preserve"> 1.667/I50 + R50/A50 * Performance!$E$12 + Performance!$E$23 / Constraints!R50 * Constraints!A50</f>
        <v>0.36048048621921652</v>
      </c>
    </row>
    <row r="51" spans="1:21" x14ac:dyDescent="0.3">
      <c r="A51" s="51">
        <v>24.5</v>
      </c>
      <c r="B51" s="50">
        <f>$V$4*Performance!$E$12*(1/A51)+Performance!$E$23*(1/Constraints!$V$4)*Constraints!A51</f>
        <v>1.1601352969112366</v>
      </c>
      <c r="C51" s="50">
        <f>$V$5*Performance!$E$12*(1/A51)+Performance!$E$23*(1/Constraints!$V$5)*Constraints!A51</f>
        <v>1.8101924419250155</v>
      </c>
      <c r="D51" s="52">
        <f t="shared" si="0"/>
        <v>0.26191699990199424</v>
      </c>
      <c r="E51" s="52">
        <f>$V$4*Performance!$E$12*(1/A51)+Performance!$E$23*(1/Constraints!$V$9)*Constraints!A51</f>
        <v>1.1600246509870928</v>
      </c>
      <c r="F51" s="52">
        <f xml:space="preserve"> 1.21 / (9.81 * Constraints!$N$7 * Performance!$E$15 * Constraints!$N$5 ) * Constraints!A51 + 0.605 /Performance!$E$15 * (Performance!$E$16  - Constraints!$N$6 * Performance!$E$14) + Constraints!$N$6</f>
        <v>0.26190339949434693</v>
      </c>
      <c r="G51">
        <f t="shared" si="1"/>
        <v>102.7869</v>
      </c>
      <c r="H51" s="55">
        <f>SQRT(2/$V$3 * A51 * SQRT(Performance!$E$23 / (3 * Performance!$E$12)))</f>
        <v>6.1032804469051323</v>
      </c>
      <c r="I51" s="55">
        <f>SQRT(2/$V$3 * A51 * (SQRT(Performance!$E$23)/(SQRT(3*Performance!$E$12 + 4* Performance!$E$23 * Performance!$E$11^2) - SQRT(Performance!$E$23)*Performance!$E$11)))</f>
        <v>6.4202545515992844</v>
      </c>
      <c r="J51">
        <f xml:space="preserve"> $AC$3/G51 + $AC$6/A51 * Performance!$E$12 + Performance!$E$23/Constraints!$AC$6 * Constraints!A51</f>
        <v>0.14242756741158452</v>
      </c>
      <c r="K51">
        <f xml:space="preserve"> $AC$3/H51 + $AC$6/A51 * Performance!$E$12 + Performance!$E$23/Constraints!$AC$6 * Constraints!A51</f>
        <v>0.92534419832427406</v>
      </c>
      <c r="L51">
        <f xml:space="preserve"> $AC$3/I51 + $AC$6/A51 * Performance!$E$12 + Performance!$E$23/Constraints!$AC$6 * Constraints!A51</f>
        <v>0.8842508128180715</v>
      </c>
      <c r="M51">
        <f>SIN($AC$9 * PI()/180) + 1/Performance!$AE$5</f>
        <v>0.24073077270730886</v>
      </c>
      <c r="N51">
        <f>SIN($AC$9 * PI()/180) + 1/Performance!$AE$8</f>
        <v>0.22738716112204788</v>
      </c>
      <c r="O51" s="60">
        <f>$AC$16 * (Performance!$E$12/Constraints!A51 + Performance!$E$23 * (Constraints!$AC$13/Constraints!$AC$17)^2 * Constraints!A51)</f>
        <v>1.0140668555050846E-3</v>
      </c>
      <c r="P51">
        <f t="shared" si="2"/>
        <v>2774.0773077587519</v>
      </c>
      <c r="Q51">
        <f t="shared" si="3"/>
        <v>9.7806940991492617</v>
      </c>
      <c r="R51">
        <f t="shared" si="4"/>
        <v>10.822996507144691</v>
      </c>
      <c r="S51">
        <f xml:space="preserve"> 1.667/G51 + P51/A51 * Performance!$E$12 + Performance!$E$23 / Constraints!P51 * Constraints!A51</f>
        <v>3.4133785731298882</v>
      </c>
      <c r="T51">
        <f xml:space="preserve"> 1.667/H51 + Q51/A51 * Performance!$E$12 + Performance!$E$23 / Constraints!Q51 * Constraints!A51</f>
        <v>0.37904477176555335</v>
      </c>
      <c r="U51">
        <f xml:space="preserve"> 1.667/I51 + R51/A51 * Performance!$E$12 + Performance!$E$23 / Constraints!R51 * Constraints!A51</f>
        <v>0.3577897715980754</v>
      </c>
    </row>
    <row r="52" spans="1:21" x14ac:dyDescent="0.3">
      <c r="A52" s="51">
        <v>25</v>
      </c>
      <c r="B52" s="50">
        <f>$V$4*Performance!$E$12*(1/A52)+Performance!$E$23*(1/Constraints!$V$4)*Constraints!A52</f>
        <v>1.1369718088121339</v>
      </c>
      <c r="C52" s="50">
        <f>$V$5*Performance!$E$12*(1/A52)+Performance!$E$23*(1/Constraints!$V$5)*Constraints!A52</f>
        <v>1.7740137150316928</v>
      </c>
      <c r="D52" s="52">
        <f t="shared" si="0"/>
        <v>0.26218928561427984</v>
      </c>
      <c r="E52" s="52">
        <f>$V$4*Performance!$E$12*(1/A52)+Performance!$E$23*(1/Constraints!$V$9)*Constraints!A52</f>
        <v>1.1368589048079056</v>
      </c>
      <c r="F52" s="52">
        <f xml:space="preserve"> 1.21 / (9.81 * Constraints!$N$7 * Performance!$E$15 * Constraints!$N$5 ) * Constraints!A52 + 0.605 /Performance!$E$15 * (Performance!$E$16  - Constraints!$N$6 * Performance!$E$14) + Constraints!$N$6</f>
        <v>0.2621754076472928</v>
      </c>
      <c r="G52">
        <f t="shared" si="1"/>
        <v>103.45699999999999</v>
      </c>
      <c r="H52" s="55">
        <f>SQRT(2/$V$3 * A52 * SQRT(Performance!$E$23 / (3 * Performance!$E$12)))</f>
        <v>6.165244273556973</v>
      </c>
      <c r="I52" s="55">
        <f>SQRT(2/$V$3 * A52 * (SQRT(Performance!$E$23)/(SQRT(3*Performance!$E$12 + 4* Performance!$E$23 * Performance!$E$11^2) - SQRT(Performance!$E$23)*Performance!$E$11)))</f>
        <v>6.485436471970929</v>
      </c>
      <c r="J52">
        <f xml:space="preserve"> $AC$3/G52 + $AC$6/A52 * Performance!$E$12 + Performance!$E$23/Constraints!$AC$6 * Constraints!A52</f>
        <v>0.14342796537943853</v>
      </c>
      <c r="K52">
        <f xml:space="preserve"> $AC$3/H52 + $AC$6/A52 * Performance!$E$12 + Performance!$E$23/Constraints!$AC$6 * Constraints!A52</f>
        <v>0.91829927991615201</v>
      </c>
      <c r="L52">
        <f xml:space="preserve"> $AC$3/I52 + $AC$6/A52 * Performance!$E$12 + Performance!$E$23/Constraints!$AC$6 * Constraints!A52</f>
        <v>0.87761890374146367</v>
      </c>
      <c r="M52">
        <f>SIN($AC$9 * PI()/180) + 1/Performance!$AE$5</f>
        <v>0.24073077270730886</v>
      </c>
      <c r="N52">
        <f>SIN($AC$9 * PI()/180) + 1/Performance!$AE$8</f>
        <v>0.22738716112204788</v>
      </c>
      <c r="O52" s="60">
        <f>$AC$16 * (Performance!$E$12/Constraints!A52 + Performance!$E$23 * (Constraints!$AC$13/Constraints!$AC$17)^2 * Constraints!A52)</f>
        <v>9.9423316755034401E-4</v>
      </c>
      <c r="P52">
        <f t="shared" si="2"/>
        <v>2810.3653680006532</v>
      </c>
      <c r="Q52">
        <f t="shared" si="3"/>
        <v>9.9803001011727144</v>
      </c>
      <c r="R52">
        <f t="shared" si="4"/>
        <v>11.043873986882334</v>
      </c>
      <c r="S52">
        <f xml:space="preserve"> 1.667/G52 + P52/A52 * Performance!$E$12 + Performance!$E$23 / Constraints!P52 * Constraints!A52</f>
        <v>3.3888850081191495</v>
      </c>
      <c r="T52">
        <f xml:space="preserve"> 1.667/H52 + Q52/A52 * Performance!$E$12 + Performance!$E$23 / Constraints!Q52 * Constraints!A52</f>
        <v>0.37629965883610716</v>
      </c>
      <c r="U52">
        <f xml:space="preserve"> 1.667/I52 + R52/A52 * Performance!$E$12 + Performance!$E$23 / Constraints!R52 * Constraints!A52</f>
        <v>0.3551801875181636</v>
      </c>
    </row>
    <row r="53" spans="1:21" x14ac:dyDescent="0.3">
      <c r="A53" s="51">
        <v>25.5</v>
      </c>
      <c r="B53" s="50">
        <f>$V$4*Performance!$E$12*(1/A53)+Performance!$E$23*(1/Constraints!$V$4)*Constraints!A53</f>
        <v>1.1147174695400333</v>
      </c>
      <c r="C53" s="50">
        <f>$V$5*Performance!$E$12*(1/A53)+Performance!$E$23*(1/Constraints!$V$5)*Constraints!A53</f>
        <v>1.7392542593048175</v>
      </c>
      <c r="D53" s="52">
        <f t="shared" si="0"/>
        <v>0.26246157132656545</v>
      </c>
      <c r="E53" s="52">
        <f>$V$4*Performance!$E$12*(1/A53)+Performance!$E$23*(1/Constraints!$V$9)*Constraints!A53</f>
        <v>1.1146023074557203</v>
      </c>
      <c r="F53" s="52">
        <f xml:space="preserve"> 1.21 / (9.81 * Constraints!$N$7 * Performance!$E$15 * Constraints!$N$5 ) * Constraints!A53 + 0.605 /Performance!$E$15 * (Performance!$E$16  - Constraints!$N$6 * Performance!$E$14) + Constraints!$N$6</f>
        <v>0.26244741580023867</v>
      </c>
      <c r="G53">
        <f t="shared" si="1"/>
        <v>104.1271</v>
      </c>
      <c r="H53" s="55">
        <f>SQRT(2/$V$3 * A53 * SQRT(Performance!$E$23 / (3 * Performance!$E$12)))</f>
        <v>6.2265914986997171</v>
      </c>
      <c r="I53" s="55">
        <f>SQRT(2/$V$3 * A53 * (SQRT(Performance!$E$23)/(SQRT(3*Performance!$E$12 + 4* Performance!$E$23 * Performance!$E$11^2) - SQRT(Performance!$E$23)*Performance!$E$11)))</f>
        <v>6.549969767610393</v>
      </c>
      <c r="J53">
        <f xml:space="preserve"> $AC$3/G53 + $AC$6/A53 * Performance!$E$12 + Performance!$E$23/Constraints!$AC$6 * Constraints!A53</f>
        <v>0.14444369354597517</v>
      </c>
      <c r="K53">
        <f xml:space="preserve"> $AC$3/H53 + $AC$6/A53 * Performance!$E$12 + Performance!$E$23/Constraints!$AC$6 * Constraints!A53</f>
        <v>0.91151283584457632</v>
      </c>
      <c r="L53">
        <f xml:space="preserve"> $AC$3/I53 + $AC$6/A53 * Performance!$E$12 + Performance!$E$23/Constraints!$AC$6 * Constraints!A53</f>
        <v>0.87123326132784196</v>
      </c>
      <c r="M53">
        <f>SIN($AC$9 * PI()/180) + 1/Performance!$AE$5</f>
        <v>0.24073077270730886</v>
      </c>
      <c r="N53">
        <f>SIN($AC$9 * PI()/180) + 1/Performance!$AE$8</f>
        <v>0.22738716112204788</v>
      </c>
      <c r="O53" s="60">
        <f>$AC$16 * (Performance!$E$12/Constraints!A53 + Performance!$E$23 * (Constraints!$AC$13/Constraints!$AC$17)^2 * Constraints!A53)</f>
        <v>9.7518613737547575E-4</v>
      </c>
      <c r="P53">
        <f t="shared" si="2"/>
        <v>2846.8892328328307</v>
      </c>
      <c r="Q53">
        <f t="shared" si="3"/>
        <v>10.179906103196167</v>
      </c>
      <c r="R53">
        <f t="shared" si="4"/>
        <v>11.264751466619982</v>
      </c>
      <c r="S53">
        <f xml:space="preserve"> 1.667/G53 + P53/A53 * Performance!$E$12 + Performance!$E$23 / Constraints!P53 * Constraints!A53</f>
        <v>3.3656266298640345</v>
      </c>
      <c r="T53">
        <f xml:space="preserve"> 1.667/H53 + Q53/A53 * Performance!$E$12 + Performance!$E$23 / Constraints!Q53 * Constraints!A53</f>
        <v>0.37363568558068772</v>
      </c>
      <c r="U53">
        <f xml:space="preserve"> 1.667/I53 + R53/A53 * Performance!$E$12 + Performance!$E$23 / Constraints!R53 * Constraints!A53</f>
        <v>0.35264773716900577</v>
      </c>
    </row>
    <row r="54" spans="1:21" x14ac:dyDescent="0.3">
      <c r="A54" s="51">
        <v>26</v>
      </c>
      <c r="B54" s="50">
        <f>$V$4*Performance!$E$12*(1/A54)+Performance!$E$23*(1/Constraints!$V$4)*Constraints!A54</f>
        <v>1.0933198282010697</v>
      </c>
      <c r="C54" s="50">
        <f>$V$5*Performance!$E$12*(1/A54)+Performance!$E$23*(1/Constraints!$V$5)*Constraints!A54</f>
        <v>1.7058321937155569</v>
      </c>
      <c r="D54" s="52">
        <f t="shared" si="0"/>
        <v>0.26273385703885105</v>
      </c>
      <c r="E54" s="52">
        <f>$V$4*Performance!$E$12*(1/A54)+Performance!$E$23*(1/Constraints!$V$9)*Constraints!A54</f>
        <v>1.0932024080366722</v>
      </c>
      <c r="F54" s="52">
        <f xml:space="preserve"> 1.21 / (9.81 * Constraints!$N$7 * Performance!$E$15 * Constraints!$N$5 ) * Constraints!A54 + 0.605 /Performance!$E$15 * (Performance!$E$16  - Constraints!$N$6 * Performance!$E$14) + Constraints!$N$6</f>
        <v>0.26271942395318454</v>
      </c>
      <c r="G54">
        <f t="shared" si="1"/>
        <v>104.7972</v>
      </c>
      <c r="H54" s="55">
        <f>SQRT(2/$V$3 * A54 * SQRT(Performance!$E$23 / (3 * Performance!$E$12)))</f>
        <v>6.2873401713866359</v>
      </c>
      <c r="I54" s="55">
        <f>SQRT(2/$V$3 * A54 * (SQRT(Performance!$E$23)/(SQRT(3*Performance!$E$12 + 4* Performance!$E$23 * Performance!$E$11^2) - SQRT(Performance!$E$23)*Performance!$E$11)))</f>
        <v>6.6138734249492233</v>
      </c>
      <c r="J54">
        <f xml:space="preserve"> $AC$3/G54 + $AC$6/A54 * Performance!$E$12 + Performance!$E$23/Constraints!$AC$6 * Constraints!A54</f>
        <v>0.14547402614119967</v>
      </c>
      <c r="K54">
        <f xml:space="preserve"> $AC$3/H54 + $AC$6/A54 * Performance!$E$12 + Performance!$E$23/Constraints!$AC$6 * Constraints!A54</f>
        <v>0.90497227357436172</v>
      </c>
      <c r="L54">
        <f xml:space="preserve"> $AC$3/I54 + $AC$6/A54 * Performance!$E$12 + Performance!$E$23/Constraints!$AC$6 * Constraints!A54</f>
        <v>0.8650818828176251</v>
      </c>
      <c r="M54">
        <f>SIN($AC$9 * PI()/180) + 1/Performance!$AE$5</f>
        <v>0.24073077270730886</v>
      </c>
      <c r="N54">
        <f>SIN($AC$9 * PI()/180) + 1/Performance!$AE$8</f>
        <v>0.22738716112204788</v>
      </c>
      <c r="O54" s="60">
        <f>$AC$16 * (Performance!$E$12/Constraints!A54 + Performance!$E$23 * (Constraints!$AC$13/Constraints!$AC$17)^2 * Constraints!A54)</f>
        <v>9.5688038087779449E-4</v>
      </c>
      <c r="P54">
        <f t="shared" si="2"/>
        <v>2883.6489022552823</v>
      </c>
      <c r="Q54">
        <f t="shared" si="3"/>
        <v>10.379512105219623</v>
      </c>
      <c r="R54">
        <f t="shared" si="4"/>
        <v>11.485628946357629</v>
      </c>
      <c r="S54">
        <f xml:space="preserve"> 1.667/G54 + P54/A54 * Performance!$E$12 + Performance!$E$23 / Constraints!P54 * Constraints!A54</f>
        <v>3.3435322273393107</v>
      </c>
      <c r="T54">
        <f xml:space="preserve"> 1.667/H54 + Q54/A54 * Performance!$E$12 + Performance!$E$23 / Constraints!Q54 * Constraints!A54</f>
        <v>0.37104893198947092</v>
      </c>
      <c r="U54">
        <f xml:space="preserve"> 1.667/I54 + R54/A54 * Performance!$E$12 + Performance!$E$23 / Constraints!R54 * Constraints!A54</f>
        <v>0.3501886940754102</v>
      </c>
    </row>
    <row r="55" spans="1:21" x14ac:dyDescent="0.3">
      <c r="A55" s="51">
        <v>26.5</v>
      </c>
      <c r="B55" s="50">
        <f>$V$4*Performance!$E$12*(1/A55)+Performance!$E$23*(1/Constraints!$V$4)*Constraints!A55</f>
        <v>1.0727303924594045</v>
      </c>
      <c r="C55" s="50">
        <f>$V$5*Performance!$E$12*(1/A55)+Performance!$E$23*(1/Constraints!$V$5)*Constraints!A55</f>
        <v>1.6736718169353664</v>
      </c>
      <c r="D55" s="52">
        <f t="shared" si="0"/>
        <v>0.26300614275113665</v>
      </c>
      <c r="E55" s="52">
        <f>$V$4*Performance!$E$12*(1/A55)+Performance!$E$23*(1/Constraints!$V$9)*Constraints!A55</f>
        <v>1.0726107142149226</v>
      </c>
      <c r="F55" s="52">
        <f xml:space="preserve"> 1.21 / (9.81 * Constraints!$N$7 * Performance!$E$15 * Constraints!$N$5 ) * Constraints!A55 + 0.605 /Performance!$E$15 * (Performance!$E$16  - Constraints!$N$6 * Performance!$E$14) + Constraints!$N$6</f>
        <v>0.26299143210613041</v>
      </c>
      <c r="G55">
        <f t="shared" si="1"/>
        <v>105.46729999999999</v>
      </c>
      <c r="H55" s="55">
        <f>SQRT(2/$V$3 * A55 * SQRT(Performance!$E$23 / (3 * Performance!$E$12)))</f>
        <v>6.3475074769380679</v>
      </c>
      <c r="I55" s="55">
        <f>SQRT(2/$V$3 * A55 * (SQRT(Performance!$E$23)/(SQRT(3*Performance!$E$12 + 4* Performance!$E$23 * Performance!$E$11^2) - SQRT(Performance!$E$23)*Performance!$E$11)))</f>
        <v>6.6771655218280292</v>
      </c>
      <c r="J55">
        <f xml:space="preserve"> $AC$3/G55 + $AC$6/A55 * Performance!$E$12 + Performance!$E$23/Constraints!$AC$6 * Constraints!A55</f>
        <v>0.14651828821391183</v>
      </c>
      <c r="K55">
        <f xml:space="preserve"> $AC$3/H55 + $AC$6/A55 * Performance!$E$12 + Performance!$E$23/Constraints!$AC$6 * Constraints!A55</f>
        <v>0.89866584204811306</v>
      </c>
      <c r="L55">
        <f xml:space="preserve"> $AC$3/I55 + $AC$6/A55 * Performance!$E$12 + Performance!$E$23/Constraints!$AC$6 * Constraints!A55</f>
        <v>0.859153567794263</v>
      </c>
      <c r="M55">
        <f>SIN($AC$9 * PI()/180) + 1/Performance!$AE$5</f>
        <v>0.24073077270730886</v>
      </c>
      <c r="N55">
        <f>SIN($AC$9 * PI()/180) + 1/Performance!$AE$8</f>
        <v>0.22738716112204788</v>
      </c>
      <c r="O55" s="60">
        <f>$AC$16 * (Performance!$E$12/Constraints!A55 + Performance!$E$23 * (Constraints!$AC$13/Constraints!$AC$17)^2 * Constraints!A55)</f>
        <v>9.3927393916991276E-4</v>
      </c>
      <c r="P55">
        <f t="shared" si="2"/>
        <v>2920.6443762680083</v>
      </c>
      <c r="Q55">
        <f t="shared" si="3"/>
        <v>10.57911810724308</v>
      </c>
      <c r="R55">
        <f t="shared" si="4"/>
        <v>11.706506426095274</v>
      </c>
      <c r="S55">
        <f xml:space="preserve"> 1.667/G55 + P55/A55 * Performance!$E$12 + Performance!$E$23 / Constraints!P55 * Constraints!A55</f>
        <v>3.3225359627512967</v>
      </c>
      <c r="T55">
        <f xml:space="preserve"> 1.667/H55 + Q55/A55 * Performance!$E$12 + Performance!$E$23 / Constraints!Q55 * Constraints!A55</f>
        <v>0.36853573816620894</v>
      </c>
      <c r="U55">
        <f xml:space="preserve"> 1.667/I55 + R55/A55 * Performance!$E$12 + Performance!$E$23 / Constraints!R55 * Constraints!A55</f>
        <v>0.34779957903370579</v>
      </c>
    </row>
    <row r="56" spans="1:21" x14ac:dyDescent="0.3">
      <c r="A56" s="51">
        <v>27</v>
      </c>
      <c r="B56" s="50">
        <f>$V$4*Performance!$E$12*(1/A56)+Performance!$E$23*(1/Constraints!$V$4)*Constraints!A56</f>
        <v>1.0529042620040772</v>
      </c>
      <c r="C56" s="50">
        <f>$V$5*Performance!$E$12*(1/A56)+Performance!$E$23*(1/Constraints!$V$5)*Constraints!A56</f>
        <v>1.6427030351415199</v>
      </c>
      <c r="D56" s="52">
        <f t="shared" si="0"/>
        <v>0.2632784284634222</v>
      </c>
      <c r="E56" s="52">
        <f>$V$4*Performance!$E$12*(1/A56)+Performance!$E$23*(1/Constraints!$V$9)*Constraints!A56</f>
        <v>1.0527823256795106</v>
      </c>
      <c r="F56" s="52">
        <f xml:space="preserve"> 1.21 / (9.81 * Constraints!$N$7 * Performance!$E$15 * Constraints!$N$5 ) * Constraints!A56 + 0.605 /Performance!$E$15 * (Performance!$E$16  - Constraints!$N$6 * Performance!$E$14) + Constraints!$N$6</f>
        <v>0.26326344025907622</v>
      </c>
      <c r="G56">
        <f t="shared" si="1"/>
        <v>106.1374</v>
      </c>
      <c r="H56" s="55">
        <f>SQRT(2/$V$3 * A56 * SQRT(Performance!$E$23 / (3 * Performance!$E$12)))</f>
        <v>6.4071097937242509</v>
      </c>
      <c r="I56" s="55">
        <f>SQRT(2/$V$3 * A56 * (SQRT(Performance!$E$23)/(SQRT(3*Performance!$E$12 + 4* Performance!$E$23 * Performance!$E$11^2) - SQRT(Performance!$E$23)*Performance!$E$11)))</f>
        <v>6.7398632872283395</v>
      </c>
      <c r="J56">
        <f xml:space="preserve"> $AC$3/G56 + $AC$6/A56 * Performance!$E$12 + Performance!$E$23/Constraints!$AC$6 * Constraints!A56</f>
        <v>0.14757585104884002</v>
      </c>
      <c r="K56">
        <f xml:space="preserve"> $AC$3/H56 + $AC$6/A56 * Performance!$E$12 + Performance!$E$23/Constraints!$AC$6 * Constraints!A56</f>
        <v>0.89258256079839571</v>
      </c>
      <c r="L56">
        <f xml:space="preserve"> $AC$3/I56 + $AC$6/A56 * Performance!$E$12 + Performance!$E$23/Constraints!$AC$6 * Constraints!A56</f>
        <v>0.85343785057307642</v>
      </c>
      <c r="M56">
        <f>SIN($AC$9 * PI()/180) + 1/Performance!$AE$5</f>
        <v>0.24073077270730886</v>
      </c>
      <c r="N56">
        <f>SIN($AC$9 * PI()/180) + 1/Performance!$AE$8</f>
        <v>0.22738716112204788</v>
      </c>
      <c r="O56" s="60">
        <f>$AC$16 * (Performance!$E$12/Constraints!A56 + Performance!$E$23 * (Constraints!$AC$13/Constraints!$AC$17)^2 * Constraints!A56)</f>
        <v>9.2232796143017464E-4</v>
      </c>
      <c r="P56">
        <f t="shared" si="2"/>
        <v>2957.8756548710103</v>
      </c>
      <c r="Q56">
        <f t="shared" si="3"/>
        <v>10.778724109266532</v>
      </c>
      <c r="R56">
        <f t="shared" si="4"/>
        <v>11.927383905832922</v>
      </c>
      <c r="S56">
        <f xml:space="preserve"> 1.667/G56 + P56/A56 * Performance!$E$12 + Performance!$E$23 / Constraints!P56 * Constraints!A56</f>
        <v>3.3025768740514621</v>
      </c>
      <c r="T56">
        <f xml:space="preserve"> 1.667/H56 + Q56/A56 * Performance!$E$12 + Performance!$E$23 / Constraints!Q56 * Constraints!A56</f>
        <v>0.36609268254947519</v>
      </c>
      <c r="U56">
        <f xml:space="preserve"> 1.667/I56 + R56/A56 * Performance!$E$12 + Performance!$E$23 / Constraints!R56 * Constraints!A56</f>
        <v>0.34547713940822411</v>
      </c>
    </row>
    <row r="57" spans="1:21" x14ac:dyDescent="0.3">
      <c r="A57" s="51">
        <v>27.5</v>
      </c>
      <c r="B57" s="50">
        <f>$V$4*Performance!$E$12*(1/A57)+Performance!$E$23*(1/Constraints!$V$4)*Constraints!A57</f>
        <v>1.0337998020012875</v>
      </c>
      <c r="C57" s="50">
        <f>$V$5*Performance!$E$12*(1/A57)+Performance!$E$23*(1/Constraints!$V$5)*Constraints!A57</f>
        <v>1.6128608522438534</v>
      </c>
      <c r="D57" s="52">
        <f t="shared" si="0"/>
        <v>0.26355071417570786</v>
      </c>
      <c r="E57" s="52">
        <f>$V$4*Performance!$E$12*(1/A57)+Performance!$E$23*(1/Constraints!$V$9)*Constraints!A57</f>
        <v>1.0336756075966365</v>
      </c>
      <c r="F57" s="52">
        <f xml:space="preserve"> 1.21 / (9.81 * Constraints!$N$7 * Performance!$E$15 * Constraints!$N$5 ) * Constraints!A57 + 0.605 /Performance!$E$15 * (Performance!$E$16  - Constraints!$N$6 * Performance!$E$14) + Constraints!$N$6</f>
        <v>0.26353544841202209</v>
      </c>
      <c r="G57">
        <f t="shared" si="1"/>
        <v>106.8075</v>
      </c>
      <c r="H57" s="55">
        <f>SQRT(2/$V$3 * A57 * SQRT(Performance!$E$23 / (3 * Performance!$E$12)))</f>
        <v>6.4661627452369119</v>
      </c>
      <c r="I57" s="55">
        <f>SQRT(2/$V$3 * A57 * (SQRT(Performance!$E$23)/(SQRT(3*Performance!$E$12 + 4* Performance!$E$23 * Performance!$E$11^2) - SQRT(Performance!$E$23)*Performance!$E$11)))</f>
        <v>6.8019831560485216</v>
      </c>
      <c r="J57">
        <f xml:space="preserve"> $AC$3/G57 + $AC$6/A57 * Performance!$E$12 + Performance!$E$23/Constraints!$AC$6 * Constraints!A57</f>
        <v>0.14864612807919403</v>
      </c>
      <c r="K57">
        <f xml:space="preserve"> $AC$3/H57 + $AC$6/A57 * Performance!$E$12 + Performance!$E$23/Constraints!$AC$6 * Constraints!A57</f>
        <v>0.88671215622071675</v>
      </c>
      <c r="L57">
        <f xml:space="preserve"> $AC$3/I57 + $AC$6/A57 * Performance!$E$12 + Performance!$E$23/Constraints!$AC$6 * Constraints!A57</f>
        <v>0.84792493942171365</v>
      </c>
      <c r="M57">
        <f>SIN($AC$9 * PI()/180) + 1/Performance!$AE$5</f>
        <v>0.24073077270730886</v>
      </c>
      <c r="N57">
        <f>SIN($AC$9 * PI()/180) + 1/Performance!$AE$8</f>
        <v>0.22738716112204788</v>
      </c>
      <c r="O57" s="60">
        <f>$AC$16 * (Performance!$E$12/Constraints!A57 + Performance!$E$23 * (Constraints!$AC$13/Constraints!$AC$17)^2 * Constraints!A57)</f>
        <v>9.0600642235122712E-4</v>
      </c>
      <c r="P57">
        <f t="shared" si="2"/>
        <v>2995.3427380642866</v>
      </c>
      <c r="Q57">
        <f t="shared" si="3"/>
        <v>10.978330111289987</v>
      </c>
      <c r="R57">
        <f t="shared" si="4"/>
        <v>12.148261385570567</v>
      </c>
      <c r="S57">
        <f xml:space="preserve"> 1.667/G57 + P57/A57 * Performance!$E$12 + Performance!$E$23 / Constraints!P57 * Constraints!A57</f>
        <v>3.2835984317200202</v>
      </c>
      <c r="T57">
        <f xml:space="preserve"> 1.667/H57 + Q57/A57 * Performance!$E$12 + Performance!$E$23 / Constraints!Q57 * Constraints!A57</f>
        <v>0.36371656232193778</v>
      </c>
      <c r="U57">
        <f xml:space="preserve"> 1.667/I57 + R57/A57 * Performance!$E$12 + Performance!$E$23 / Constraints!R57 * Constraints!A57</f>
        <v>0.343218330507787</v>
      </c>
    </row>
    <row r="58" spans="1:21" x14ac:dyDescent="0.3">
      <c r="A58" s="51">
        <v>28</v>
      </c>
      <c r="B58" s="50">
        <f>$V$4*Performance!$E$12*(1/A58)+Performance!$E$23*(1/Constraints!$V$4)*Constraints!A58</f>
        <v>1.0153783515339352</v>
      </c>
      <c r="C58" s="50">
        <f>$V$5*Performance!$E$12*(1/A58)+Performance!$E$23*(1/Constraints!$V$5)*Constraints!A58</f>
        <v>1.5840849147300713</v>
      </c>
      <c r="D58" s="52">
        <f t="shared" si="0"/>
        <v>0.2638229998879934</v>
      </c>
      <c r="E58" s="52">
        <f>$V$4*Performance!$E$12*(1/A58)+Performance!$E$23*(1/Constraints!$V$9)*Constraints!A58</f>
        <v>1.0152518990491994</v>
      </c>
      <c r="F58" s="52">
        <f xml:space="preserve"> 1.21 / (9.81 * Constraints!$N$7 * Performance!$E$15 * Constraints!$N$5 ) * Constraints!A58 + 0.605 /Performance!$E$15 * (Performance!$E$16  - Constraints!$N$6 * Performance!$E$14) + Constraints!$N$6</f>
        <v>0.26380745656496796</v>
      </c>
      <c r="G58">
        <f t="shared" si="1"/>
        <v>107.4776</v>
      </c>
      <c r="H58" s="55">
        <f>SQRT(2/$V$3 * A58 * SQRT(Performance!$E$23 / (3 * Performance!$E$12)))</f>
        <v>6.5246812479187284</v>
      </c>
      <c r="I58" s="55">
        <f>SQRT(2/$V$3 * A58 * (SQRT(Performance!$E$23)/(SQRT(3*Performance!$E$12 + 4* Performance!$E$23 * Performance!$E$11^2) - SQRT(Performance!$E$23)*Performance!$E$11)))</f>
        <v>6.8635408194172793</v>
      </c>
      <c r="J58">
        <f xml:space="preserve"> $AC$3/G58 + $AC$6/A58 * Performance!$E$12 + Performance!$E$23/Constraints!$AC$6 * Constraints!A58</f>
        <v>0.14972857123290303</v>
      </c>
      <c r="K58">
        <f xml:space="preserve"> $AC$3/H58 + $AC$6/A58 * Performance!$E$12 + Performance!$E$23/Constraints!$AC$6 * Constraints!A58</f>
        <v>0.88104500416819209</v>
      </c>
      <c r="L58">
        <f xml:space="preserve"> $AC$3/I58 + $AC$6/A58 * Performance!$E$12 + Performance!$E$23/Constraints!$AC$6 * Constraints!A58</f>
        <v>0.84260566181148422</v>
      </c>
      <c r="M58">
        <f>SIN($AC$9 * PI()/180) + 1/Performance!$AE$5</f>
        <v>0.24073077270730886</v>
      </c>
      <c r="N58">
        <f>SIN($AC$9 * PI()/180) + 1/Performance!$AE$8</f>
        <v>0.22738716112204788</v>
      </c>
      <c r="O58" s="60">
        <f>$AC$16 * (Performance!$E$12/Constraints!A58 + Performance!$E$23 * (Constraints!$AC$13/Constraints!$AC$17)^2 * Constraints!A58)</f>
        <v>8.9027586986195628E-4</v>
      </c>
      <c r="P58">
        <f t="shared" si="2"/>
        <v>3033.0456258478371</v>
      </c>
      <c r="Q58">
        <f t="shared" si="3"/>
        <v>11.177936113313439</v>
      </c>
      <c r="R58">
        <f t="shared" si="4"/>
        <v>12.369138865308214</v>
      </c>
      <c r="S58">
        <f xml:space="preserve"> 1.667/G58 + P58/A58 * Performance!$E$12 + Performance!$E$23 / Constraints!P58 * Constraints!A58</f>
        <v>3.2655481430358568</v>
      </c>
      <c r="T58">
        <f xml:space="preserve"> 1.667/H58 + Q58/A58 * Performance!$E$12 + Performance!$E$23 / Constraints!Q58 * Constraints!A58</f>
        <v>0.36140437575252815</v>
      </c>
      <c r="U58">
        <f xml:space="preserve"> 1.667/I58 + R58/A58 * Performance!$E$12 + Performance!$E$23 / Constraints!R58 * Constraints!A58</f>
        <v>0.34102029879965806</v>
      </c>
    </row>
    <row r="59" spans="1:21" x14ac:dyDescent="0.3">
      <c r="A59" s="51">
        <v>28.5</v>
      </c>
      <c r="B59" s="50">
        <f>$V$4*Performance!$E$12*(1/A59)+Performance!$E$23*(1/Constraints!$V$4)*Constraints!A59</f>
        <v>0.99760396273173413</v>
      </c>
      <c r="C59" s="50">
        <f>$V$5*Performance!$E$12*(1/A59)+Performance!$E$23*(1/Constraints!$V$5)*Constraints!A59</f>
        <v>1.5563191044220748</v>
      </c>
      <c r="D59" s="52">
        <f t="shared" si="0"/>
        <v>0.26409528560027901</v>
      </c>
      <c r="E59" s="52">
        <f>$V$4*Performance!$E$12*(1/A59)+Performance!$E$23*(1/Constraints!$V$9)*Constraints!A59</f>
        <v>0.99747525216691391</v>
      </c>
      <c r="F59" s="52">
        <f xml:space="preserve"> 1.21 / (9.81 * Constraints!$N$7 * Performance!$E$15 * Constraints!$N$5 ) * Constraints!A59 + 0.605 /Performance!$E$15 * (Performance!$E$16  - Constraints!$N$6 * Performance!$E$14) + Constraints!$N$6</f>
        <v>0.26407946471791383</v>
      </c>
      <c r="G59">
        <f t="shared" si="1"/>
        <v>108.1477</v>
      </c>
      <c r="H59" s="55">
        <f>SQRT(2/$V$3 * A59 * SQRT(Performance!$E$23 / (3 * Performance!$E$12)))</f>
        <v>6.5826795551655737</v>
      </c>
      <c r="I59" s="55">
        <f>SQRT(2/$V$3 * A59 * (SQRT(Performance!$E$23)/(SQRT(3*Performance!$E$12 + 4* Performance!$E$23 * Performance!$E$11^2) - SQRT(Performance!$E$23)*Performance!$E$11)))</f>
        <v>6.9245512709811488</v>
      </c>
      <c r="J59">
        <f xml:space="preserve"> $AC$3/G59 + $AC$6/A59 * Performance!$E$12 + Performance!$E$23/Constraints!$AC$6 * Constraints!A59</f>
        <v>0.15082266765946123</v>
      </c>
      <c r="K59">
        <f xml:space="preserve"> $AC$3/H59 + $AC$6/A59 * Performance!$E$12 + Performance!$E$23/Constraints!$AC$6 * Constraints!A59</f>
        <v>0.87557207814019633</v>
      </c>
      <c r="L59">
        <f xml:space="preserve"> $AC$3/I59 + $AC$6/A59 * Performance!$E$12 + Performance!$E$23/Constraints!$AC$6 * Constraints!A59</f>
        <v>0.83747141500517741</v>
      </c>
      <c r="M59">
        <f>SIN($AC$9 * PI()/180) + 1/Performance!$AE$5</f>
        <v>0.24073077270730886</v>
      </c>
      <c r="N59">
        <f>SIN($AC$9 * PI()/180) + 1/Performance!$AE$8</f>
        <v>0.22738716112204788</v>
      </c>
      <c r="O59" s="60">
        <f>$AC$16 * (Performance!$E$12/Constraints!A59 + Performance!$E$23 * (Constraints!$AC$13/Constraints!$AC$17)^2 * Constraints!A59)</f>
        <v>8.7510519940501056E-4</v>
      </c>
      <c r="P59">
        <f t="shared" si="2"/>
        <v>3070.9843182216637</v>
      </c>
      <c r="Q59">
        <f t="shared" si="3"/>
        <v>11.377542115336894</v>
      </c>
      <c r="R59">
        <f t="shared" si="4"/>
        <v>12.590016345045864</v>
      </c>
      <c r="S59">
        <f xml:space="preserve"> 1.667/G59 + P59/A59 * Performance!$E$12 + Performance!$E$23 / Constraints!P59 * Constraints!A59</f>
        <v>3.2483771980011453</v>
      </c>
      <c r="T59">
        <f xml:space="preserve"> 1.667/H59 + Q59/A59 * Performance!$E$12 + Performance!$E$23 / Constraints!Q59 * Constraints!A59</f>
        <v>0.35915330625009245</v>
      </c>
      <c r="U59">
        <f xml:space="preserve"> 1.667/I59 + R59/A59 * Performance!$E$12 + Performance!$E$23 / Constraints!R59 * Constraints!A59</f>
        <v>0.33888036675048122</v>
      </c>
    </row>
    <row r="60" spans="1:21" x14ac:dyDescent="0.3">
      <c r="A60" s="51">
        <v>29</v>
      </c>
      <c r="B60" s="50">
        <f>$V$4*Performance!$E$12*(1/A60)+Performance!$E$23*(1/Constraints!$V$4)*Constraints!A60</f>
        <v>0.98044316688786604</v>
      </c>
      <c r="C60" s="50">
        <f>$V$5*Performance!$E$12*(1/A60)+Performance!$E$23*(1/Constraints!$V$5)*Constraints!A60</f>
        <v>1.5295111733609434</v>
      </c>
      <c r="D60" s="52">
        <f t="shared" si="0"/>
        <v>0.26436757131256461</v>
      </c>
      <c r="E60" s="52">
        <f>$V$4*Performance!$E$12*(1/A60)+Performance!$E$23*(1/Constraints!$V$9)*Constraints!A60</f>
        <v>0.98031219824296123</v>
      </c>
      <c r="F60" s="52">
        <f xml:space="preserve"> 1.21 / (9.81 * Constraints!$N$7 * Performance!$E$15 * Constraints!$N$5 ) * Constraints!A60 + 0.605 /Performance!$E$15 * (Performance!$E$16  - Constraints!$N$6 * Performance!$E$14) + Constraints!$N$6</f>
        <v>0.26435147287085964</v>
      </c>
      <c r="G60">
        <f t="shared" si="1"/>
        <v>108.81780000000001</v>
      </c>
      <c r="H60" s="55">
        <f>SQRT(2/$V$3 * A60 * SQRT(Performance!$E$23 / (3 * Performance!$E$12)))</f>
        <v>6.6401712978693084</v>
      </c>
      <c r="I60" s="55">
        <f>SQRT(2/$V$3 * A60 * (SQRT(Performance!$E$23)/(SQRT(3*Performance!$E$12 + 4* Performance!$E$23 * Performance!$E$11^2) - SQRT(Performance!$E$23)*Performance!$E$11)))</f>
        <v>6.9850288495528821</v>
      </c>
      <c r="J60">
        <f xml:space="preserve"> $AC$3/G60 + $AC$6/A60 * Performance!$E$12 + Performance!$E$23/Constraints!$AC$6 * Constraints!A60</f>
        <v>0.15192793679161437</v>
      </c>
      <c r="K60">
        <f xml:space="preserve"> $AC$3/H60 + $AC$6/A60 * Performance!$E$12 + Performance!$E$23/Constraints!$AC$6 * Constraints!A60</f>
        <v>0.87028490243222889</v>
      </c>
      <c r="L60">
        <f xml:space="preserve"> $AC$3/I60 + $AC$6/A60 * Performance!$E$12 + Performance!$E$23/Constraints!$AC$6 * Constraints!A60</f>
        <v>0.83251412137758674</v>
      </c>
      <c r="M60">
        <f>SIN($AC$9 * PI()/180) + 1/Performance!$AE$5</f>
        <v>0.24073077270730886</v>
      </c>
      <c r="N60">
        <f>SIN($AC$9 * PI()/180) + 1/Performance!$AE$8</f>
        <v>0.22738716112204788</v>
      </c>
      <c r="O60" s="60">
        <f>$AC$16 * (Performance!$E$12/Constraints!A60 + Performance!$E$23 * (Constraints!$AC$13/Constraints!$AC$17)^2 * Constraints!A60)</f>
        <v>8.6046545156492535E-4</v>
      </c>
      <c r="P60">
        <f t="shared" si="2"/>
        <v>3109.1588151857654</v>
      </c>
      <c r="Q60">
        <f t="shared" si="3"/>
        <v>11.577148117360348</v>
      </c>
      <c r="R60">
        <f t="shared" si="4"/>
        <v>12.810893824783511</v>
      </c>
      <c r="S60">
        <f xml:space="preserve"> 1.667/G60 + P60/A60 * Performance!$E$12 + Performance!$E$23 / Constraints!P60 * Constraints!A60</f>
        <v>3.2320401518934245</v>
      </c>
      <c r="T60">
        <f xml:space="preserve"> 1.667/H60 + Q60/A60 * Performance!$E$12 + Performance!$E$23 / Constraints!Q60 * Constraints!A60</f>
        <v>0.35696070793587226</v>
      </c>
      <c r="U60">
        <f xml:space="preserve"> 1.667/I60 + R60/A60 * Performance!$E$12 + Performance!$E$23 / Constraints!R60 * Constraints!A60</f>
        <v>0.33679601911106188</v>
      </c>
    </row>
    <row r="61" spans="1:21" x14ac:dyDescent="0.3">
      <c r="A61" s="51">
        <v>29.5</v>
      </c>
      <c r="B61" s="50">
        <f>$V$4*Performance!$E$12*(1/A61)+Performance!$E$23*(1/Constraints!$V$4)*Constraints!A61</f>
        <v>0.96386476436038171</v>
      </c>
      <c r="C61" s="50">
        <f>$V$5*Performance!$E$12*(1/A61)+Performance!$E$23*(1/Constraints!$V$5)*Constraints!A61</f>
        <v>1.5036124158222608</v>
      </c>
      <c r="D61" s="52">
        <f t="shared" si="0"/>
        <v>0.26463985702485021</v>
      </c>
      <c r="E61" s="52">
        <f>$V$4*Performance!$E$12*(1/A61)+Performance!$E$23*(1/Constraints!$V$9)*Constraints!A61</f>
        <v>0.96373153763539243</v>
      </c>
      <c r="F61" s="52">
        <f xml:space="preserve"> 1.21 / (9.81 * Constraints!$N$7 * Performance!$E$15 * Constraints!$N$5 ) * Constraints!A61 + 0.605 /Performance!$E$15 * (Performance!$E$16  - Constraints!$N$6 * Performance!$E$14) + Constraints!$N$6</f>
        <v>0.26462348102380551</v>
      </c>
      <c r="G61">
        <f t="shared" si="1"/>
        <v>109.4879</v>
      </c>
      <c r="H61" s="55">
        <f>SQRT(2/$V$3 * A61 * SQRT(Performance!$E$23 / (3 * Performance!$E$12)))</f>
        <v>6.6971695218278526</v>
      </c>
      <c r="I61" s="55">
        <f>SQRT(2/$V$3 * A61 * (SQRT(Performance!$E$23)/(SQRT(3*Performance!$E$12 + 4* Performance!$E$23 * Performance!$E$11^2) - SQRT(Performance!$E$23)*Performance!$E$11)))</f>
        <v>7.0449872784644167</v>
      </c>
      <c r="J61">
        <f xml:space="preserve"> $AC$3/G61 + $AC$6/A61 * Performance!$E$12 + Performance!$E$23/Constraints!$AC$6 * Constraints!A61</f>
        <v>0.15304392770231931</v>
      </c>
      <c r="K61">
        <f xml:space="preserve"> $AC$3/H61 + $AC$6/A61 * Performance!$E$12 + Performance!$E$23/Constraints!$AC$6 * Constraints!A61</f>
        <v>0.86517550969538615</v>
      </c>
      <c r="L61">
        <f xml:space="preserve"> $AC$3/I61 + $AC$6/A61 * Performance!$E$12 + Performance!$E$23/Constraints!$AC$6 * Constraints!A61</f>
        <v>0.82772618794241226</v>
      </c>
      <c r="M61">
        <f>SIN($AC$9 * PI()/180) + 1/Performance!$AE$5</f>
        <v>0.24073077270730886</v>
      </c>
      <c r="N61">
        <f>SIN($AC$9 * PI()/180) + 1/Performance!$AE$8</f>
        <v>0.22738716112204788</v>
      </c>
      <c r="O61" s="60">
        <f>$AC$16 * (Performance!$E$12/Constraints!A61 + Performance!$E$23 * (Constraints!$AC$13/Constraints!$AC$17)^2 * Constraints!A61)</f>
        <v>8.4632963027643602E-4</v>
      </c>
      <c r="P61">
        <f t="shared" si="2"/>
        <v>3147.5691167401401</v>
      </c>
      <c r="Q61">
        <f t="shared" si="3"/>
        <v>11.776754119383799</v>
      </c>
      <c r="R61">
        <f t="shared" si="4"/>
        <v>13.031771304521156</v>
      </c>
      <c r="S61">
        <f xml:space="preserve"> 1.667/G61 + P61/A61 * Performance!$E$12 + Performance!$E$23 / Constraints!P61 * Constraints!A61</f>
        <v>3.2164946400995458</v>
      </c>
      <c r="T61">
        <f xml:space="preserve"> 1.667/H61 + Q61/A61 * Performance!$E$12 + Performance!$E$23 / Constraints!Q61 * Constraints!A61</f>
        <v>0.35482409256675862</v>
      </c>
      <c r="U61">
        <f xml:space="preserve"> 1.667/I61 + R61/A61 * Performance!$E$12 + Performance!$E$23 / Constraints!R61 * Constraints!A61</f>
        <v>0.33476489048523189</v>
      </c>
    </row>
    <row r="62" spans="1:21" x14ac:dyDescent="0.3">
      <c r="A62" s="51">
        <v>30</v>
      </c>
      <c r="B62" s="50">
        <f>$V$4*Performance!$E$12*(1/A62)+Performance!$E$23*(1/Constraints!$V$4)*Constraints!A62</f>
        <v>0.94783963548346195</v>
      </c>
      <c r="C62" s="50">
        <f>$V$5*Performance!$E$12*(1/A62)+Performance!$E$23*(1/Constraints!$V$5)*Constraints!A62</f>
        <v>1.4785773731299039</v>
      </c>
      <c r="D62" s="52">
        <f t="shared" si="0"/>
        <v>0.26491214273713581</v>
      </c>
      <c r="E62" s="52">
        <f>$V$4*Performance!$E$12*(1/A62)+Performance!$E$23*(1/Constraints!$V$9)*Constraints!A62</f>
        <v>0.94770415067838809</v>
      </c>
      <c r="F62" s="52">
        <f xml:space="preserve"> 1.21 / (9.81 * Constraints!$N$7 * Performance!$E$15 * Constraints!$N$5 ) * Constraints!A62 + 0.605 /Performance!$E$15 * (Performance!$E$16  - Constraints!$N$6 * Performance!$E$14) + Constraints!$N$6</f>
        <v>0.26489548917675138</v>
      </c>
      <c r="G62">
        <f t="shared" si="1"/>
        <v>110.158</v>
      </c>
      <c r="H62" s="55">
        <f>SQRT(2/$V$3 * A62 * SQRT(Performance!$E$23 / (3 * Performance!$E$12)))</f>
        <v>6.7536867223134109</v>
      </c>
      <c r="I62" s="55">
        <f>SQRT(2/$V$3 * A62 * (SQRT(Performance!$E$23)/(SQRT(3*Performance!$E$12 + 4* Performance!$E$23 * Performance!$E$11^2) - SQRT(Performance!$E$23)*Performance!$E$11)))</f>
        <v>7.1044397019303984</v>
      </c>
      <c r="J62">
        <f xml:space="preserve"> $AC$3/G62 + $AC$6/A62 * Performance!$E$12 + Performance!$E$23/Constraints!$AC$6 * Constraints!A62</f>
        <v>0.15417021672267581</v>
      </c>
      <c r="K62">
        <f xml:space="preserve"> $AC$3/H62 + $AC$6/A62 * Performance!$E$12 + Performance!$E$23/Constraints!$AC$6 * Constraints!A62</f>
        <v>0.86023640242337851</v>
      </c>
      <c r="L62">
        <f xml:space="preserve"> $AC$3/I62 + $AC$6/A62 * Performance!$E$12 + Performance!$E$23/Constraints!$AC$6 * Constraints!A62</f>
        <v>0.82310046962559091</v>
      </c>
      <c r="M62">
        <f>SIN($AC$9 * PI()/180) + 1/Performance!$AE$5</f>
        <v>0.24073077270730886</v>
      </c>
      <c r="N62">
        <f>SIN($AC$9 * PI()/180) + 1/Performance!$AE$8</f>
        <v>0.22738716112204788</v>
      </c>
      <c r="O62" s="60">
        <f>$AC$16 * (Performance!$E$12/Constraints!A62 + Performance!$E$23 * (Constraints!$AC$13/Constraints!$AC$17)^2 * Constraints!A62)</f>
        <v>8.326725392119634E-4</v>
      </c>
      <c r="P62">
        <f t="shared" si="2"/>
        <v>3186.2152228847917</v>
      </c>
      <c r="Q62">
        <f t="shared" si="3"/>
        <v>11.976360121407259</v>
      </c>
      <c r="R62">
        <f t="shared" si="4"/>
        <v>13.252648784258803</v>
      </c>
      <c r="S62">
        <f xml:space="preserve"> 1.667/G62 + P62/A62 * Performance!$E$12 + Performance!$E$23 / Constraints!P62 * Constraints!A62</f>
        <v>3.2017011214653164</v>
      </c>
      <c r="T62">
        <f xml:space="preserve"> 1.667/H62 + Q62/A62 * Performance!$E$12 + Performance!$E$23 / Constraints!Q62 * Constraints!A62</f>
        <v>0.35274111766235799</v>
      </c>
      <c r="U62">
        <f xml:space="preserve"> 1.667/I62 + R62/A62 * Performance!$E$12 + Performance!$E$23 / Constraints!R62 * Constraints!A62</f>
        <v>0.33278475404309421</v>
      </c>
    </row>
    <row r="63" spans="1:21" x14ac:dyDescent="0.3">
      <c r="A63" s="51">
        <v>30.5</v>
      </c>
      <c r="B63" s="50">
        <f>$V$4*Performance!$E$12*(1/A63)+Performance!$E$23*(1/Constraints!$V$4)*Constraints!A63</f>
        <v>0.93234057007757121</v>
      </c>
      <c r="C63" s="50">
        <f>$V$5*Performance!$E$12*(1/A63)+Performance!$E$23*(1/Constraints!$V$5)*Constraints!A63</f>
        <v>1.4543635675045459</v>
      </c>
      <c r="D63" s="52">
        <f t="shared" si="0"/>
        <v>0.26518442844942142</v>
      </c>
      <c r="E63" s="52">
        <f>$V$4*Performance!$E$12*(1/A63)+Performance!$E$23*(1/Constraints!$V$9)*Constraints!A63</f>
        <v>0.93220282719241265</v>
      </c>
      <c r="F63" s="52">
        <f xml:space="preserve"> 1.21 / (9.81 * Constraints!$N$7 * Performance!$E$15 * Constraints!$N$5 ) * Constraints!A63 + 0.605 /Performance!$E$15 * (Performance!$E$16  - Constraints!$N$6 * Performance!$E$14) + Constraints!$N$6</f>
        <v>0.26516749732969724</v>
      </c>
      <c r="G63">
        <f t="shared" si="1"/>
        <v>110.82810000000001</v>
      </c>
      <c r="H63" s="55">
        <f>SQRT(2/$V$3 * A63 * SQRT(Performance!$E$23 / (3 * Performance!$E$12)))</f>
        <v>6.8097348760583181</v>
      </c>
      <c r="I63" s="55">
        <f>SQRT(2/$V$3 * A63 * (SQRT(Performance!$E$23)/(SQRT(3*Performance!$E$12 + 4* Performance!$E$23 * Performance!$E$11^2) - SQRT(Performance!$E$23)*Performance!$E$11)))</f>
        <v>7.1633987186952188</v>
      </c>
      <c r="J63">
        <f xml:space="preserve"> $AC$3/G63 + $AC$6/A63 * Performance!$E$12 + Performance!$E$23/Constraints!$AC$6 * Constraints!A63</f>
        <v>0.15530640529102191</v>
      </c>
      <c r="K63">
        <f xml:space="preserve"> $AC$3/H63 + $AC$6/A63 * Performance!$E$12 + Performance!$E$23/Constraints!$AC$6 * Constraints!A63</f>
        <v>0.85546051794481892</v>
      </c>
      <c r="L63">
        <f xml:space="preserve"> $AC$3/I63 + $AC$6/A63 * Performance!$E$12 + Performance!$E$23/Constraints!$AC$6 * Constraints!A63</f>
        <v>0.81863023588216177</v>
      </c>
      <c r="M63">
        <f>SIN($AC$9 * PI()/180) + 1/Performance!$AE$5</f>
        <v>0.24073077270730886</v>
      </c>
      <c r="N63">
        <f>SIN($AC$9 * PI()/180) + 1/Performance!$AE$8</f>
        <v>0.22738716112204788</v>
      </c>
      <c r="O63" s="60">
        <f>$AC$16 * (Performance!$E$12/Constraints!A63 + Performance!$E$23 * (Constraints!$AC$13/Constraints!$AC$17)^2 * Constraints!A63)</f>
        <v>8.1947063426212891E-4</v>
      </c>
      <c r="P63">
        <f t="shared" si="2"/>
        <v>3225.0971336197176</v>
      </c>
      <c r="Q63">
        <f t="shared" si="3"/>
        <v>12.175966123430712</v>
      </c>
      <c r="R63">
        <f t="shared" si="4"/>
        <v>13.473526263996451</v>
      </c>
      <c r="S63">
        <f xml:space="preserve"> 1.667/G63 + P63/A63 * Performance!$E$12 + Performance!$E$23 / Constraints!P63 * Constraints!A63</f>
        <v>3.1876226468885558</v>
      </c>
      <c r="T63">
        <f xml:space="preserve"> 1.667/H63 + Q63/A63 * Performance!$E$12 + Performance!$E$23 / Constraints!Q63 * Constraints!A63</f>
        <v>0.35070957570705824</v>
      </c>
      <c r="U63">
        <f xml:space="preserve"> 1.667/I63 + R63/A63 * Performance!$E$12 + Performance!$E$23 / Constraints!R63 * Constraints!A63</f>
        <v>0.33085351125619256</v>
      </c>
    </row>
    <row r="64" spans="1:21" x14ac:dyDescent="0.3">
      <c r="A64" s="51">
        <v>31</v>
      </c>
      <c r="B64" s="50">
        <f>$V$4*Performance!$E$12*(1/A64)+Performance!$E$23*(1/Constraints!$V$4)*Constraints!A64</f>
        <v>0.91734211345862682</v>
      </c>
      <c r="C64" s="50">
        <f>$V$5*Performance!$E$12*(1/A64)+Performance!$E$23*(1/Constraints!$V$5)*Constraints!A64</f>
        <v>1.4309312616687506</v>
      </c>
      <c r="D64" s="52">
        <f t="shared" si="0"/>
        <v>0.26545671416170702</v>
      </c>
      <c r="E64" s="52">
        <f>$V$4*Performance!$E$12*(1/A64)+Performance!$E$23*(1/Constraints!$V$9)*Constraints!A64</f>
        <v>0.91720211249338368</v>
      </c>
      <c r="F64" s="52">
        <f xml:space="preserve"> 1.21 / (9.81 * Constraints!$N$7 * Performance!$E$15 * Constraints!$N$5 ) * Constraints!A64 + 0.605 /Performance!$E$15 * (Performance!$E$16  - Constraints!$N$6 * Performance!$E$14) + Constraints!$N$6</f>
        <v>0.26543950548264306</v>
      </c>
      <c r="G64">
        <f t="shared" si="1"/>
        <v>111.4982</v>
      </c>
      <c r="H64" s="55">
        <f>SQRT(2/$V$3 * A64 * SQRT(Performance!$E$23 / (3 * Performance!$E$12)))</f>
        <v>6.8653254708904754</v>
      </c>
      <c r="I64" s="55">
        <f>SQRT(2/$V$3 * A64 * (SQRT(Performance!$E$23)/(SQRT(3*Performance!$E$12 + 4* Performance!$E$23 * Performance!$E$11^2) - SQRT(Performance!$E$23)*Performance!$E$11)))</f>
        <v>7.2218764132075615</v>
      </c>
      <c r="J64">
        <f xml:space="preserve"> $AC$3/G64 + $AC$6/A64 * Performance!$E$12 + Performance!$E$23/Constraints!$AC$6 * Constraints!A64</f>
        <v>0.15645211800722364</v>
      </c>
      <c r="K64">
        <f xml:space="preserve"> $AC$3/H64 + $AC$6/A64 * Performance!$E$12 + Performance!$E$23/Constraints!$AC$6 * Constraints!A64</f>
        <v>0.85084119655002144</v>
      </c>
      <c r="L64">
        <f xml:space="preserve"> $AC$3/I64 + $AC$6/A64 * Performance!$E$12 + Performance!$E$23/Constraints!$AC$6 * Constraints!A64</f>
        <v>0.81430914030293278</v>
      </c>
      <c r="M64">
        <f>SIN($AC$9 * PI()/180) + 1/Performance!$AE$5</f>
        <v>0.24073077270730886</v>
      </c>
      <c r="N64">
        <f>SIN($AC$9 * PI()/180) + 1/Performance!$AE$8</f>
        <v>0.22738716112204788</v>
      </c>
      <c r="O64" s="60">
        <f>$AC$16 * (Performance!$E$12/Constraints!A64 + Performance!$E$23 * (Constraints!$AC$13/Constraints!$AC$17)^2 * Constraints!A64)</f>
        <v>8.0670189029235367E-4</v>
      </c>
      <c r="P64">
        <f t="shared" si="2"/>
        <v>3264.2148489449178</v>
      </c>
      <c r="Q64">
        <f t="shared" si="3"/>
        <v>12.375572125454161</v>
      </c>
      <c r="R64">
        <f t="shared" si="4"/>
        <v>13.694403743734096</v>
      </c>
      <c r="S64">
        <f xml:space="preserve"> 1.667/G64 + P64/A64 * Performance!$E$12 + Performance!$E$23 / Constraints!P64 * Constraints!A64</f>
        <v>3.1742246503055718</v>
      </c>
      <c r="T64">
        <f xml:space="preserve"> 1.667/H64 + Q64/A64 * Performance!$E$12 + Performance!$E$23 / Constraints!Q64 * Constraints!A64</f>
        <v>0.34872738431392403</v>
      </c>
      <c r="U64">
        <f xml:space="preserve"> 1.667/I64 + R64/A64 * Performance!$E$12 + Performance!$E$23 / Constraints!R64 * Constraints!A64</f>
        <v>0.32896918254702534</v>
      </c>
    </row>
    <row r="65" spans="1:21" x14ac:dyDescent="0.3">
      <c r="A65" s="51">
        <v>31.5</v>
      </c>
      <c r="B65" s="50">
        <f>$V$4*Performance!$E$12*(1/A65)+Performance!$E$23*(1/Constraints!$V$4)*Constraints!A65</f>
        <v>0.90282042711296495</v>
      </c>
      <c r="C65" s="50">
        <f>$V$5*Performance!$E$12*(1/A65)+Performance!$E$23*(1/Constraints!$V$5)*Constraints!A65</f>
        <v>1.4082432413468251</v>
      </c>
      <c r="D65" s="52">
        <f t="shared" si="0"/>
        <v>0.26572899987399262</v>
      </c>
      <c r="E65" s="52">
        <f>$V$4*Performance!$E$12*(1/A65)+Performance!$E$23*(1/Constraints!$V$9)*Constraints!A65</f>
        <v>0.90267816806763723</v>
      </c>
      <c r="F65" s="52">
        <f xml:space="preserve"> 1.21 / (9.81 * Constraints!$N$7 * Performance!$E$15 * Constraints!$N$5 ) * Constraints!A65 + 0.605 /Performance!$E$15 * (Performance!$E$16  - Constraints!$N$6 * Performance!$E$14) + Constraints!$N$6</f>
        <v>0.26571151363558893</v>
      </c>
      <c r="G65">
        <f t="shared" si="1"/>
        <v>112.1683</v>
      </c>
      <c r="H65" s="55">
        <f>SQRT(2/$V$3 * A65 * SQRT(Performance!$E$23 / (3 * Performance!$E$12)))</f>
        <v>6.9204695332260568</v>
      </c>
      <c r="I65" s="55">
        <f>SQRT(2/$V$3 * A65 * (SQRT(Performance!$E$23)/(SQRT(3*Performance!$E$12 + 4* Performance!$E$23 * Performance!$E$11^2) - SQRT(Performance!$E$23)*Performance!$E$11)))</f>
        <v>7.2798843845409476</v>
      </c>
      <c r="J65">
        <f xml:space="preserve"> $AC$3/G65 + $AC$6/A65 * Performance!$E$12 + Performance!$E$23/Constraints!$AC$6 * Constraints!A65</f>
        <v>0.1576070008694811</v>
      </c>
      <c r="K65">
        <f xml:space="preserve"> $AC$3/H65 + $AC$6/A65 * Performance!$E$12 + Performance!$E$23/Constraints!$AC$6 * Constraints!A65</f>
        <v>0.84637215242606567</v>
      </c>
      <c r="L65">
        <f xml:space="preserve"> $AC$3/I65 + $AC$6/A65 * Performance!$E$12 + Performance!$E$23/Constraints!$AC$6 * Constraints!A65</f>
        <v>0.81013119289969304</v>
      </c>
      <c r="M65">
        <f>SIN($AC$9 * PI()/180) + 1/Performance!$AE$5</f>
        <v>0.24073077270730886</v>
      </c>
      <c r="N65">
        <f>SIN($AC$9 * PI()/180) + 1/Performance!$AE$8</f>
        <v>0.22738716112204788</v>
      </c>
      <c r="O65" s="60">
        <f>$AC$16 * (Performance!$E$12/Constraints!A65 + Performance!$E$23 * (Constraints!$AC$13/Constraints!$AC$17)^2 * Constraints!A65)</f>
        <v>7.9434568058930151E-4</v>
      </c>
      <c r="P65">
        <f t="shared" si="2"/>
        <v>3303.5683688603935</v>
      </c>
      <c r="Q65">
        <f t="shared" si="3"/>
        <v>12.575178127477619</v>
      </c>
      <c r="R65">
        <f t="shared" si="4"/>
        <v>13.915281223471744</v>
      </c>
      <c r="S65">
        <f xml:space="preserve"> 1.667/G65 + P65/A65 * Performance!$E$12 + Performance!$E$23 / Constraints!P65 * Constraints!A65</f>
        <v>3.1614747595829118</v>
      </c>
      <c r="T65">
        <f xml:space="preserve"> 1.667/H65 + Q65/A65 * Performance!$E$12 + Performance!$E$23 / Constraints!Q65 * Constraints!A65</f>
        <v>0.34679257725078355</v>
      </c>
      <c r="U65">
        <f xml:space="preserve"> 1.667/I65 + R65/A65 * Performance!$E$12 + Performance!$E$23 / Constraints!R65 * Constraints!A65</f>
        <v>0.32712989875818282</v>
      </c>
    </row>
    <row r="66" spans="1:21" x14ac:dyDescent="0.3">
      <c r="A66" s="51">
        <v>32</v>
      </c>
      <c r="B66" s="50">
        <f>$V$4*Performance!$E$12*(1/A66)+Performance!$E$23*(1/Constraints!$V$4)*Constraints!A66</f>
        <v>0.88875316243402569</v>
      </c>
      <c r="C66" s="50">
        <f>$V$5*Performance!$E$12*(1/A66)+Performance!$E$23*(1/Constraints!$V$5)*Constraints!A66</f>
        <v>1.3862646181553071</v>
      </c>
      <c r="D66" s="52">
        <f t="shared" si="0"/>
        <v>0.26600128558627822</v>
      </c>
      <c r="E66" s="52">
        <f>$V$4*Performance!$E$12*(1/A66)+Performance!$E$23*(1/Constraints!$V$9)*Constraints!A66</f>
        <v>0.8886086453086135</v>
      </c>
      <c r="F66" s="52">
        <f xml:space="preserve"> 1.21 / (9.81 * Constraints!$N$7 * Performance!$E$15 * Constraints!$N$5 ) * Constraints!A66 + 0.605 /Performance!$E$15 * (Performance!$E$16  - Constraints!$N$6 * Performance!$E$14) + Constraints!$N$6</f>
        <v>0.26598352178853479</v>
      </c>
      <c r="G66">
        <f t="shared" si="1"/>
        <v>112.83840000000001</v>
      </c>
      <c r="H66" s="55">
        <f>SQRT(2/$V$3 * A66 * SQRT(Performance!$E$23 / (3 * Performance!$E$12)))</f>
        <v>6.9751776536058649</v>
      </c>
      <c r="I66" s="55">
        <f>SQRT(2/$V$3 * A66 * (SQRT(Performance!$E$23)/(SQRT(3*Performance!$E$12 + 4* Performance!$E$23 * Performance!$E$11^2) - SQRT(Performance!$E$23)*Performance!$E$11)))</f>
        <v>7.3374337732563246</v>
      </c>
      <c r="J66">
        <f xml:space="preserve"> $AC$3/G66 + $AC$6/A66 * Performance!$E$12 + Performance!$E$23/Constraints!$AC$6 * Constraints!A66</f>
        <v>0.15877071967380293</v>
      </c>
      <c r="K66">
        <f xml:space="preserve"> $AC$3/H66 + $AC$6/A66 * Performance!$E$12 + Performance!$E$23/Constraints!$AC$6 * Constraints!A66</f>
        <v>0.84204744711243196</v>
      </c>
      <c r="L66">
        <f xml:space="preserve"> $AC$3/I66 + $AC$6/A66 * Performance!$E$12 + Performance!$E$23/Constraints!$AC$6 * Constraints!A66</f>
        <v>0.80609073479450466</v>
      </c>
      <c r="M66">
        <f>SIN($AC$9 * PI()/180) + 1/Performance!$AE$5</f>
        <v>0.24073077270730886</v>
      </c>
      <c r="N66">
        <f>SIN($AC$9 * PI()/180) + 1/Performance!$AE$8</f>
        <v>0.22738716112204788</v>
      </c>
      <c r="O66" s="60">
        <f>$AC$16 * (Performance!$E$12/Constraints!A66 + Performance!$E$23 * (Constraints!$AC$13/Constraints!$AC$17)^2 * Constraints!A66)</f>
        <v>7.8238266760921973E-4</v>
      </c>
      <c r="P66">
        <f t="shared" si="2"/>
        <v>3343.157693366144</v>
      </c>
      <c r="Q66">
        <f t="shared" si="3"/>
        <v>12.774784129501073</v>
      </c>
      <c r="R66">
        <f t="shared" si="4"/>
        <v>14.136158703209391</v>
      </c>
      <c r="S66">
        <f xml:space="preserve"> 1.667/G66 + P66/A66 * Performance!$E$12 + Performance!$E$23 / Constraints!P66 * Constraints!A66</f>
        <v>3.1493426251372756</v>
      </c>
      <c r="T66">
        <f xml:space="preserve"> 1.667/H66 + Q66/A66 * Performance!$E$12 + Performance!$E$23 / Constraints!Q66 * Constraints!A66</f>
        <v>0.34490329624058985</v>
      </c>
      <c r="U66">
        <f xml:space="preserve"> 1.667/I66 + R66/A66 * Performance!$E$12 + Performance!$E$23 / Constraints!R66 * Constraints!A66</f>
        <v>0.32533389335753221</v>
      </c>
    </row>
    <row r="67" spans="1:21" x14ac:dyDescent="0.3">
      <c r="A67" s="51">
        <v>32.5</v>
      </c>
      <c r="B67" s="50">
        <f>$V$4*Performance!$E$12*(1/A67)+Performance!$E$23*(1/Constraints!$V$4)*Constraints!A67</f>
        <v>0.87511934611411391</v>
      </c>
      <c r="C67" s="50">
        <f>$V$5*Performance!$E$12*(1/A67)+Performance!$E$23*(1/Constraints!$V$5)*Constraints!A67</f>
        <v>1.3649626506881771</v>
      </c>
      <c r="D67" s="52">
        <f t="shared" si="0"/>
        <v>0.26627357129856377</v>
      </c>
      <c r="E67" s="52">
        <f>$V$4*Performance!$E$12*(1/A67)+Performance!$E$23*(1/Constraints!$V$9)*Constraints!A67</f>
        <v>0.87497257090861713</v>
      </c>
      <c r="F67" s="52">
        <f xml:space="preserve"> 1.21 / (9.81 * Constraints!$N$7 * Performance!$E$15 * Constraints!$N$5 ) * Constraints!A67 + 0.605 /Performance!$E$15 * (Performance!$E$16  - Constraints!$N$6 * Performance!$E$14) + Constraints!$N$6</f>
        <v>0.26625552994148066</v>
      </c>
      <c r="G67">
        <f t="shared" si="1"/>
        <v>113.5085</v>
      </c>
      <c r="H67" s="55">
        <f>SQRT(2/$V$3 * A67 * SQRT(Performance!$E$23 / (3 * Performance!$E$12)))</f>
        <v>7.0294600104428477</v>
      </c>
      <c r="I67" s="55">
        <f>SQRT(2/$V$3 * A67 * (SQRT(Performance!$E$23)/(SQRT(3*Performance!$E$12 + 4* Performance!$E$23 * Performance!$E$11^2) - SQRT(Performance!$E$23)*Performance!$E$11)))</f>
        <v>7.3945352863829088</v>
      </c>
      <c r="J67">
        <f xml:space="preserve"> $AC$3/G67 + $AC$6/A67 * Performance!$E$12 + Performance!$E$23/Constraints!$AC$6 * Constraints!A67</f>
        <v>0.15994295855873739</v>
      </c>
      <c r="K67">
        <f xml:space="preserve"> $AC$3/H67 + $AC$6/A67 * Performance!$E$12 + Performance!$E$23/Constraints!$AC$6 * Constraints!A67</f>
        <v>0.83786146522297944</v>
      </c>
      <c r="L67">
        <f xml:space="preserve"> $AC$3/I67 + $AC$6/A67 * Performance!$E$12 + Performance!$E$23/Constraints!$AC$6 * Constraints!A67</f>
        <v>0.80218241507054233</v>
      </c>
      <c r="M67">
        <f>SIN($AC$9 * PI()/180) + 1/Performance!$AE$5</f>
        <v>0.24073077270730886</v>
      </c>
      <c r="N67">
        <f>SIN($AC$9 * PI()/180) + 1/Performance!$AE$8</f>
        <v>0.22738716112204788</v>
      </c>
      <c r="O67" s="60">
        <f>$AC$16 * (Performance!$E$12/Constraints!A67 + Performance!$E$23 * (Constraints!$AC$13/Constraints!$AC$17)^2 * Constraints!A67)</f>
        <v>7.7079470381104817E-4</v>
      </c>
      <c r="P67">
        <f t="shared" si="2"/>
        <v>3382.9828224621688</v>
      </c>
      <c r="Q67">
        <f t="shared" si="3"/>
        <v>12.974390131524528</v>
      </c>
      <c r="R67">
        <f t="shared" si="4"/>
        <v>14.35703618294704</v>
      </c>
      <c r="S67">
        <f xml:space="preserve"> 1.667/G67 + P67/A67 * Performance!$E$12 + Performance!$E$23 / Constraints!P67 * Constraints!A67</f>
        <v>3.1377997643744453</v>
      </c>
      <c r="T67">
        <f xml:space="preserve"> 1.667/H67 + Q67/A67 * Performance!$E$12 + Performance!$E$23 / Constraints!Q67 * Constraints!A67</f>
        <v>0.34305778345832244</v>
      </c>
      <c r="U67">
        <f xml:space="preserve"> 1.667/I67 + R67/A67 * Performance!$E$12 + Performance!$E$23 / Constraints!R67 * Constraints!A67</f>
        <v>0.32357949530555452</v>
      </c>
    </row>
    <row r="68" spans="1:21" x14ac:dyDescent="0.3">
      <c r="A68" s="51">
        <v>33</v>
      </c>
      <c r="B68" s="50">
        <f>$V$4*Performance!$E$12*(1/A68)+Performance!$E$23*(1/Constraints!$V$4)*Constraints!A68</f>
        <v>0.86189927595509197</v>
      </c>
      <c r="C68" s="50">
        <f>$V$5*Performance!$E$12*(1/A68)+Performance!$E$23*(1/Constraints!$V$5)*Constraints!A68</f>
        <v>1.3443065818670541</v>
      </c>
      <c r="D68" s="52">
        <f t="shared" si="0"/>
        <v>0.26654585701084937</v>
      </c>
      <c r="E68" s="52">
        <f>$V$4*Performance!$E$12*(1/A68)+Performance!$E$23*(1/Constraints!$V$9)*Constraints!A68</f>
        <v>0.86175024266951061</v>
      </c>
      <c r="F68" s="52">
        <f xml:space="preserve"> 1.21 / (9.81 * Constraints!$N$7 * Performance!$E$15 * Constraints!$N$5 ) * Constraints!A68 + 0.605 /Performance!$E$15 * (Performance!$E$16  - Constraints!$N$6 * Performance!$E$14) + Constraints!$N$6</f>
        <v>0.26652753809442653</v>
      </c>
      <c r="G68">
        <f t="shared" si="1"/>
        <v>114.1786</v>
      </c>
      <c r="H68" s="55">
        <f>SQRT(2/$V$3 * A68 * SQRT(Performance!$E$23 / (3 * Performance!$E$12)))</f>
        <v>7.0833263921315748</v>
      </c>
      <c r="I68" s="55">
        <f>SQRT(2/$V$3 * A68 * (SQRT(Performance!$E$23)/(SQRT(3*Performance!$E$12 + 4* Performance!$E$23 * Performance!$E$11^2) - SQRT(Performance!$E$23)*Performance!$E$11)))</f>
        <v>7.4511992206759166</v>
      </c>
      <c r="J68">
        <f xml:space="preserve"> $AC$3/G68 + $AC$6/A68 * Performance!$E$12 + Performance!$E$23/Constraints!$AC$6 * Constraints!A68</f>
        <v>0.16112341868005511</v>
      </c>
      <c r="K68">
        <f xml:space="preserve"> $AC$3/H68 + $AC$6/A68 * Performance!$E$12 + Performance!$E$23/Constraints!$AC$6 * Constraints!A68</f>
        <v>0.83380889220916865</v>
      </c>
      <c r="L68">
        <f xml:space="preserve"> $AC$3/I68 + $AC$6/A68 * Performance!$E$12 + Performance!$E$23/Constraints!$AC$6 * Constraints!A68</f>
        <v>0.79840116956973983</v>
      </c>
      <c r="M68">
        <f>SIN($AC$9 * PI()/180) + 1/Performance!$AE$5</f>
        <v>0.24073077270730886</v>
      </c>
      <c r="N68">
        <f>SIN($AC$9 * PI()/180) + 1/Performance!$AE$8</f>
        <v>0.22738716112204788</v>
      </c>
      <c r="O68" s="60">
        <f>$AC$16 * (Performance!$E$12/Constraints!A68 + Performance!$E$23 * (Constraints!$AC$13/Constraints!$AC$17)^2 * Constraints!A68)</f>
        <v>7.5956474150469999E-4</v>
      </c>
      <c r="P68">
        <f t="shared" si="2"/>
        <v>3423.0437561484696</v>
      </c>
      <c r="Q68">
        <f t="shared" si="3"/>
        <v>13.173996133547986</v>
      </c>
      <c r="R68">
        <f t="shared" si="4"/>
        <v>14.577913662684686</v>
      </c>
      <c r="S68">
        <f xml:space="preserve"> 1.667/G68 + P68/A68 * Performance!$E$12 + Performance!$E$23 / Constraints!P68 * Constraints!A68</f>
        <v>3.1268194202694737</v>
      </c>
      <c r="T68">
        <f xml:space="preserve"> 1.667/H68 + Q68/A68 * Performance!$E$12 + Performance!$E$23 / Constraints!Q68 * Constraints!A68</f>
        <v>0.34125437465556596</v>
      </c>
      <c r="U68">
        <f xml:space="preserve"> 1.667/I68 + R68/A68 * Performance!$E$12 + Performance!$E$23 / Constraints!R68 * Constraints!A68</f>
        <v>0.32186512251936988</v>
      </c>
    </row>
    <row r="69" spans="1:21" x14ac:dyDescent="0.3">
      <c r="A69" s="51">
        <v>33.5</v>
      </c>
      <c r="B69" s="50">
        <f>$V$4*Performance!$E$12*(1/A69)+Performance!$E$23*(1/Constraints!$V$4)*Constraints!A69</f>
        <v>0.84907442600945737</v>
      </c>
      <c r="C69" s="50">
        <f>$V$5*Performance!$E$12*(1/A69)+Performance!$E$23*(1/Constraints!$V$5)*Constraints!A69</f>
        <v>1.3242674908570418</v>
      </c>
      <c r="D69" s="52">
        <f t="shared" si="0"/>
        <v>0.26681814272313498</v>
      </c>
      <c r="E69" s="52">
        <f>$V$4*Performance!$E$12*(1/A69)+Performance!$E$23*(1/Constraints!$V$9)*Constraints!A69</f>
        <v>0.84892313464379143</v>
      </c>
      <c r="F69" s="52">
        <f xml:space="preserve"> 1.21 / (9.81 * Constraints!$N$7 * Performance!$E$15 * Constraints!$N$5 ) * Constraints!A69 + 0.605 /Performance!$E$15 * (Performance!$E$16  - Constraints!$N$6 * Performance!$E$14) + Constraints!$N$6</f>
        <v>0.26679954624737234</v>
      </c>
      <c r="G69">
        <f t="shared" si="1"/>
        <v>114.84870000000001</v>
      </c>
      <c r="H69" s="55">
        <f>SQRT(2/$V$3 * A69 * SQRT(Performance!$E$23 / (3 * Performance!$E$12)))</f>
        <v>7.1367862176556924</v>
      </c>
      <c r="I69" s="55">
        <f>SQRT(2/$V$3 * A69 * (SQRT(Performance!$E$23)/(SQRT(3*Performance!$E$12 + 4* Performance!$E$23 * Performance!$E$11^2) - SQRT(Performance!$E$23)*Performance!$E$11)))</f>
        <v>7.5074354842942732</v>
      </c>
      <c r="J69">
        <f xml:space="preserve"> $AC$3/G69 + $AC$6/A69 * Performance!$E$12 + Performance!$E$23/Constraints!$AC$6 * Constraints!A69</f>
        <v>0.16231181700190064</v>
      </c>
      <c r="K69">
        <f xml:space="preserve"> $AC$3/H69 + $AC$6/A69 * Performance!$E$12 + Performance!$E$23/Constraints!$AC$6 * Constraints!A69</f>
        <v>0.82988469396483144</v>
      </c>
      <c r="L69">
        <f xml:space="preserve"> $AC$3/I69 + $AC$6/A69 * Performance!$E$12 + Performance!$E$23/Constraints!$AC$6 * Constraints!A69</f>
        <v>0.79474220144674601</v>
      </c>
      <c r="M69">
        <f>SIN($AC$9 * PI()/180) + 1/Performance!$AE$5</f>
        <v>0.24073077270730886</v>
      </c>
      <c r="N69">
        <f>SIN($AC$9 * PI()/180) + 1/Performance!$AE$8</f>
        <v>0.22738716112204788</v>
      </c>
      <c r="O69" s="60">
        <f>$AC$16 * (Performance!$E$12/Constraints!A69 + Performance!$E$23 * (Constraints!$AC$13/Constraints!$AC$17)^2 * Constraints!A69)</f>
        <v>7.4867675077263101E-4</v>
      </c>
      <c r="P69">
        <f t="shared" si="2"/>
        <v>3463.3404944250451</v>
      </c>
      <c r="Q69">
        <f t="shared" si="3"/>
        <v>13.373602135571437</v>
      </c>
      <c r="R69">
        <f t="shared" si="4"/>
        <v>14.79879114242233</v>
      </c>
      <c r="S69">
        <f xml:space="preserve"> 1.667/G69 + P69/A69 * Performance!$E$12 + Performance!$E$23 / Constraints!P69 * Constraints!A69</f>
        <v>3.1163764326107133</v>
      </c>
      <c r="T69">
        <f xml:space="preserve"> 1.667/H69 + Q69/A69 * Performance!$E$12 + Performance!$E$23 / Constraints!Q69 * Constraints!A69</f>
        <v>0.33949149285163976</v>
      </c>
      <c r="U69">
        <f xml:space="preserve"> 1.667/I69 + R69/A69 * Performance!$E$12 + Performance!$E$23 / Constraints!R69 * Constraints!A69</f>
        <v>0.32018927587534118</v>
      </c>
    </row>
    <row r="70" spans="1:21" x14ac:dyDescent="0.3">
      <c r="A70" s="51">
        <v>34</v>
      </c>
      <c r="B70" s="50">
        <f>$V$4*Performance!$E$12*(1/A70)+Performance!$E$23*(1/Constraints!$V$4)*Constraints!A70</f>
        <v>0.83662736009132554</v>
      </c>
      <c r="C70" s="50">
        <f>$V$5*Performance!$E$12*(1/A70)+Performance!$E$23*(1/Constraints!$V$5)*Constraints!A70</f>
        <v>1.3048181580488274</v>
      </c>
      <c r="D70" s="52">
        <f t="shared" si="0"/>
        <v>0.26709042843542058</v>
      </c>
      <c r="E70" s="52">
        <f>$V$4*Performance!$E$12*(1/A70)+Performance!$E$23*(1/Constraints!$V$9)*Constraints!A70</f>
        <v>0.83647381064557513</v>
      </c>
      <c r="F70" s="52">
        <f xml:space="preserve"> 1.21 / (9.81 * Constraints!$N$7 * Performance!$E$15 * Constraints!$N$5 ) * Constraints!A70 + 0.605 /Performance!$E$15 * (Performance!$E$16  - Constraints!$N$6 * Performance!$E$14) + Constraints!$N$6</f>
        <v>0.26707155440031821</v>
      </c>
      <c r="G70">
        <f t="shared" si="1"/>
        <v>115.5188</v>
      </c>
      <c r="H70" s="55">
        <f>SQRT(2/$V$3 * A70 * SQRT(Performance!$E$23 / (3 * Performance!$E$12)))</f>
        <v>7.1898485558162344</v>
      </c>
      <c r="I70" s="55">
        <f>SQRT(2/$V$3 * A70 * (SQRT(Performance!$E$23)/(SQRT(3*Performance!$E$12 + 4* Performance!$E$23 * Performance!$E$11^2) - SQRT(Performance!$E$23)*Performance!$E$11)))</f>
        <v>7.5632536170275424</v>
      </c>
      <c r="J70">
        <f xml:space="preserve"> $AC$3/G70 + $AC$6/A70 * Performance!$E$12 + Performance!$E$23/Constraints!$AC$6 * Constraints!A70</f>
        <v>0.16350788519251186</v>
      </c>
      <c r="K70">
        <f xml:space="preserve"> $AC$3/H70 + $AC$6/A70 * Performance!$E$12 + Performance!$E$23/Constraints!$AC$6 * Constraints!A70</f>
        <v>0.82608409809498584</v>
      </c>
      <c r="L70">
        <f xml:space="preserve"> $AC$3/I70 + $AC$6/A70 * Performance!$E$12 + Performance!$E$23/Constraints!$AC$6 * Constraints!A70</f>
        <v>0.79120096330986545</v>
      </c>
      <c r="M70">
        <f>SIN($AC$9 * PI()/180) + 1/Performance!$AE$5</f>
        <v>0.24073077270730886</v>
      </c>
      <c r="N70">
        <f>SIN($AC$9 * PI()/180) + 1/Performance!$AE$8</f>
        <v>0.22738716112204788</v>
      </c>
      <c r="O70" s="60">
        <f>$AC$16 * (Performance!$E$12/Constraints!A70 + Performance!$E$23 * (Constraints!$AC$13/Constraints!$AC$17)^2 * Constraints!A70)</f>
        <v>7.3811564463362265E-4</v>
      </c>
      <c r="P70">
        <f t="shared" si="2"/>
        <v>3503.8730372918944</v>
      </c>
      <c r="Q70">
        <f t="shared" si="3"/>
        <v>13.573208137594893</v>
      </c>
      <c r="R70">
        <f t="shared" si="4"/>
        <v>15.019668622159976</v>
      </c>
      <c r="S70">
        <f xml:space="preserve"> 1.667/G70 + P70/A70 * Performance!$E$12 + Performance!$E$23 / Constraints!P70 * Constraints!A70</f>
        <v>3.106447120604086</v>
      </c>
      <c r="T70">
        <f xml:space="preserve"> 1.667/H70 + Q70/A70 * Performance!$E$12 + Performance!$E$23 / Constraints!Q70 * Constraints!A70</f>
        <v>0.3377676425369166</v>
      </c>
      <c r="U70">
        <f xml:space="preserve"> 1.667/I70 + R70/A70 * Performance!$E$12 + Performance!$E$23 / Constraints!R70 * Constraints!A70</f>
        <v>0.31855053369858122</v>
      </c>
    </row>
    <row r="71" spans="1:21" x14ac:dyDescent="0.3">
      <c r="A71" s="51">
        <v>34.5</v>
      </c>
      <c r="B71" s="50">
        <f>$V$4*Performance!$E$12*(1/A71)+Performance!$E$23*(1/Constraints!$V$4)*Constraints!A71</f>
        <v>0.82454165280819625</v>
      </c>
      <c r="C71" s="50">
        <f>$V$5*Performance!$E$12*(1/A71)+Performance!$E$23*(1/Constraints!$V$5)*Constraints!A71</f>
        <v>1.2859329417814624</v>
      </c>
      <c r="D71" s="52">
        <f t="shared" si="0"/>
        <v>0.26736271414770618</v>
      </c>
      <c r="E71" s="52">
        <f>$V$4*Performance!$E$12*(1/A71)+Performance!$E$23*(1/Constraints!$V$9)*Constraints!A71</f>
        <v>0.82438584528236125</v>
      </c>
      <c r="F71" s="52">
        <f xml:space="preserve"> 1.21 / (9.81 * Constraints!$N$7 * Performance!$E$15 * Constraints!$N$5 ) * Constraints!A71 + 0.605 /Performance!$E$15 * (Performance!$E$16  - Constraints!$N$6 * Performance!$E$14) + Constraints!$N$6</f>
        <v>0.26734356255326408</v>
      </c>
      <c r="G71">
        <f t="shared" si="1"/>
        <v>116.18889999999999</v>
      </c>
      <c r="H71" s="55">
        <f>SQRT(2/$V$3 * A71 * SQRT(Performance!$E$23 / (3 * Performance!$E$12)))</f>
        <v>7.2425221431919233</v>
      </c>
      <c r="I71" s="55">
        <f>SQRT(2/$V$3 * A71 * (SQRT(Performance!$E$23)/(SQRT(3*Performance!$E$12 + 4* Performance!$E$23 * Performance!$E$11^2) - SQRT(Performance!$E$23)*Performance!$E$11)))</f>
        <v>7.6186628091889999</v>
      </c>
      <c r="J71">
        <f xml:space="preserve"> $AC$3/G71 + $AC$6/A71 * Performance!$E$12 + Performance!$E$23/Constraints!$AC$6 * Constraints!A71</f>
        <v>0.16471136861398256</v>
      </c>
      <c r="K71">
        <f xml:space="preserve"> $AC$3/H71 + $AC$6/A71 * Performance!$E$12 + Performance!$E$23/Constraints!$AC$6 * Constraints!A71</f>
        <v>0.82240257669065264</v>
      </c>
      <c r="L71">
        <f xml:space="preserve"> $AC$3/I71 + $AC$6/A71 * Performance!$E$12 + Performance!$E$23/Constraints!$AC$6 * Constraints!A71</f>
        <v>0.78777314079822647</v>
      </c>
      <c r="M71">
        <f>SIN($AC$9 * PI()/180) + 1/Performance!$AE$5</f>
        <v>0.24073077270730886</v>
      </c>
      <c r="N71">
        <f>SIN($AC$9 * PI()/180) + 1/Performance!$AE$8</f>
        <v>0.22738716112204788</v>
      </c>
      <c r="O71" s="60">
        <f>$AC$16 * (Performance!$E$12/Constraints!A71 + Performance!$E$23 * (Constraints!$AC$13/Constraints!$AC$17)^2 * Constraints!A71)</f>
        <v>7.2786721071406392E-4</v>
      </c>
      <c r="P71">
        <f t="shared" si="2"/>
        <v>3544.6413847490185</v>
      </c>
      <c r="Q71">
        <f t="shared" si="3"/>
        <v>13.772814139618347</v>
      </c>
      <c r="R71">
        <f t="shared" si="4"/>
        <v>15.240546101897625</v>
      </c>
      <c r="S71">
        <f xml:space="preserve"> 1.667/G71 + P71/A71 * Performance!$E$12 + Performance!$E$23 / Constraints!P71 * Constraints!A71</f>
        <v>3.097009175685117</v>
      </c>
      <c r="T71">
        <f xml:space="preserve"> 1.667/H71 + Q71/A71 * Performance!$E$12 + Performance!$E$23 / Constraints!Q71 * Constraints!A71</f>
        <v>0.33608140433990524</v>
      </c>
      <c r="U71">
        <f xml:space="preserve"> 1.667/I71 + R71/A71 * Performance!$E$12 + Performance!$E$23 / Constraints!R71 * Constraints!A71</f>
        <v>0.31694754669332603</v>
      </c>
    </row>
    <row r="72" spans="1:21" x14ac:dyDescent="0.3">
      <c r="A72" s="51">
        <v>35</v>
      </c>
      <c r="B72" s="50">
        <f>$V$4*Performance!$E$12*(1/A72)+Performance!$E$23*(1/Constraints!$V$4)*Constraints!A72</f>
        <v>0.81280181736142643</v>
      </c>
      <c r="C72" s="50">
        <f>$V$5*Performance!$E$12*(1/A72)+Performance!$E$23*(1/Constraints!$V$5)*Constraints!A72</f>
        <v>1.2675876656317679</v>
      </c>
      <c r="D72" s="52">
        <f t="shared" si="0"/>
        <v>0.26763499985999178</v>
      </c>
      <c r="E72" s="52">
        <f>$V$4*Performance!$E$12*(1/A72)+Performance!$E$23*(1/Constraints!$V$9)*Constraints!A72</f>
        <v>0.81264375175550685</v>
      </c>
      <c r="F72" s="52">
        <f xml:space="preserve"> 1.21 / (9.81 * Constraints!$N$7 * Performance!$E$15 * Constraints!$N$5 ) * Constraints!A72 + 0.605 /Performance!$E$15 * (Performance!$E$16  - Constraints!$N$6 * Performance!$E$14) + Constraints!$N$6</f>
        <v>0.26761557070620995</v>
      </c>
      <c r="G72">
        <f t="shared" si="1"/>
        <v>116.85900000000001</v>
      </c>
      <c r="H72" s="55">
        <f>SQRT(2/$V$3 * A72 * SQRT(Performance!$E$23 / (3 * Performance!$E$12)))</f>
        <v>7.294815400932217</v>
      </c>
      <c r="I72" s="55">
        <f>SQRT(2/$V$3 * A72 * (SQRT(Performance!$E$23)/(SQRT(3*Performance!$E$12 + 4* Performance!$E$23 * Performance!$E$11^2) - SQRT(Performance!$E$23)*Performance!$E$11)))</f>
        <v>7.6736719192808227</v>
      </c>
      <c r="J72">
        <f xml:space="preserve"> $AC$3/G72 + $AC$6/A72 * Performance!$E$12 + Performance!$E$23/Constraints!$AC$6 * Constraints!A72</f>
        <v>0.16592202539674217</v>
      </c>
      <c r="K72">
        <f xml:space="preserve"> $AC$3/H72 + $AC$6/A72 * Performance!$E$12 + Performance!$E$23/Constraints!$AC$6 * Constraints!A72</f>
        <v>0.81883583046868313</v>
      </c>
      <c r="L72">
        <f xml:space="preserve"> $AC$3/I72 + $AC$6/A72 * Performance!$E$12 + Performance!$E$23/Constraints!$AC$6 * Constraints!A72</f>
        <v>0.78445463746068866</v>
      </c>
      <c r="M72">
        <f>SIN($AC$9 * PI()/180) + 1/Performance!$AE$5</f>
        <v>0.24073077270730886</v>
      </c>
      <c r="N72">
        <f>SIN($AC$9 * PI()/180) + 1/Performance!$AE$8</f>
        <v>0.22738716112204788</v>
      </c>
      <c r="O72" s="60">
        <f>$AC$16 * (Performance!$E$12/Constraints!A72 + Performance!$E$23 * (Constraints!$AC$13/Constraints!$AC$17)^2 * Constraints!A72)</f>
        <v>7.1791804877597838E-4</v>
      </c>
      <c r="P72">
        <f t="shared" si="2"/>
        <v>3585.6455367964195</v>
      </c>
      <c r="Q72">
        <f t="shared" si="3"/>
        <v>13.972420141641797</v>
      </c>
      <c r="R72">
        <f t="shared" si="4"/>
        <v>15.461423581635268</v>
      </c>
      <c r="S72">
        <f xml:space="preserve"> 1.667/G72 + P72/A72 * Performance!$E$12 + Performance!$E$23 / Constraints!P72 * Constraints!A72</f>
        <v>3.0880415635179901</v>
      </c>
      <c r="T72">
        <f xml:space="preserve"> 1.667/H72 + Q72/A72 * Performance!$E$12 + Performance!$E$23 / Constraints!Q72 * Constraints!A72</f>
        <v>0.33443143011487303</v>
      </c>
      <c r="U72">
        <f xml:space="preserve"> 1.667/I72 + R72/A72 * Performance!$E$12 + Performance!$E$23 / Constraints!R72 * Constraints!A72</f>
        <v>0.31537903327308658</v>
      </c>
    </row>
    <row r="73" spans="1:21" x14ac:dyDescent="0.3">
      <c r="A73" s="51">
        <v>35.5</v>
      </c>
      <c r="B73" s="50">
        <f>$V$4*Performance!$E$12*(1/A73)+Performance!$E$23*(1/Constraints!$V$4)*Constraints!A73</f>
        <v>0.80139323944807139</v>
      </c>
      <c r="C73" s="50">
        <f>$V$5*Performance!$E$12*(1/A73)+Performance!$E$23*(1/Constraints!$V$5)*Constraints!A73</f>
        <v>1.2497595152285748</v>
      </c>
      <c r="D73" s="52">
        <f t="shared" si="0"/>
        <v>0.26790728557227739</v>
      </c>
      <c r="E73" s="52">
        <f>$V$4*Performance!$E$12*(1/A73)+Performance!$E$23*(1/Constraints!$V$9)*Constraints!A73</f>
        <v>0.80123291576206723</v>
      </c>
      <c r="F73" s="52">
        <f xml:space="preserve"> 1.21 / (9.81 * Constraints!$N$7 * Performance!$E$15 * Constraints!$N$5 ) * Constraints!A73 + 0.605 /Performance!$E$15 * (Performance!$E$16  - Constraints!$N$6 * Performance!$E$14) + Constraints!$N$6</f>
        <v>0.26788757885915582</v>
      </c>
      <c r="G73">
        <f t="shared" si="1"/>
        <v>117.5291</v>
      </c>
      <c r="H73" s="55">
        <f>SQRT(2/$V$3 * A73 * SQRT(Performance!$E$23 / (3 * Performance!$E$12)))</f>
        <v>7.3467364504744834</v>
      </c>
      <c r="I73" s="55">
        <f>SQRT(2/$V$3 * A73 * (SQRT(Performance!$E$23)/(SQRT(3*Performance!$E$12 + 4* Performance!$E$23 * Performance!$E$11^2) - SQRT(Performance!$E$23)*Performance!$E$11)))</f>
        <v>7.7282894905275414</v>
      </c>
      <c r="J73">
        <f xml:space="preserve"> $AC$3/G73 + $AC$6/A73 * Performance!$E$12 + Performance!$E$23/Constraints!$AC$6 * Constraints!A73</f>
        <v>0.16713962559047402</v>
      </c>
      <c r="K73">
        <f xml:space="preserve"> $AC$3/H73 + $AC$6/A73 * Performance!$E$12 + Performance!$E$23/Constraints!$AC$6 * Constraints!A73</f>
        <v>0.81537977415062413</v>
      </c>
      <c r="L73">
        <f xml:space="preserve"> $AC$3/I73 + $AC$6/A73 * Performance!$E$12 + Performance!$E$23/Constraints!$AC$6 * Constraints!A73</f>
        <v>0.78124156081632878</v>
      </c>
      <c r="M73">
        <f>SIN($AC$9 * PI()/180) + 1/Performance!$AE$5</f>
        <v>0.24073077270730886</v>
      </c>
      <c r="N73">
        <f>SIN($AC$9 * PI()/180) + 1/Performance!$AE$8</f>
        <v>0.22738716112204788</v>
      </c>
      <c r="O73" s="60">
        <f>$AC$16 * (Performance!$E$12/Constraints!A73 + Performance!$E$23 * (Constraints!$AC$13/Constraints!$AC$17)^2 * Constraints!A73)</f>
        <v>7.0825551352437415E-4</v>
      </c>
      <c r="P73">
        <f t="shared" si="2"/>
        <v>3626.8854934340939</v>
      </c>
      <c r="Q73">
        <f t="shared" si="3"/>
        <v>14.172026143665255</v>
      </c>
      <c r="R73">
        <f t="shared" si="4"/>
        <v>15.682301061372916</v>
      </c>
      <c r="S73">
        <f xml:space="preserve"> 1.667/G73 + P73/A73 * Performance!$E$12 + Performance!$E$23 / Constraints!P73 * Constraints!A73</f>
        <v>3.0795244342758563</v>
      </c>
      <c r="T73">
        <f xml:space="preserve"> 1.667/H73 + Q73/A73 * Performance!$E$12 + Performance!$E$23 / Constraints!Q73 * Constraints!A73</f>
        <v>0.33281643841137115</v>
      </c>
      <c r="U73">
        <f xml:space="preserve"> 1.667/I73 + R73/A73 * Performance!$E$12 + Performance!$E$23 / Constraints!R73 * Constraints!A73</f>
        <v>0.31384377525384788</v>
      </c>
    </row>
    <row r="74" spans="1:21" x14ac:dyDescent="0.3">
      <c r="A74" s="51">
        <v>36</v>
      </c>
      <c r="B74" s="50">
        <f>$V$4*Performance!$E$12*(1/A74)+Performance!$E$23*(1/Constraints!$V$4)*Constraints!A74</f>
        <v>0.79030211667090555</v>
      </c>
      <c r="C74" s="50">
        <f>$V$5*Performance!$E$12*(1/A74)+Performance!$E$23*(1/Constraints!$V$5)*Constraints!A74</f>
        <v>1.2324269436657784</v>
      </c>
      <c r="D74" s="52">
        <f t="shared" si="0"/>
        <v>0.26817957128456299</v>
      </c>
      <c r="E74" s="52">
        <f>$V$4*Performance!$E$12*(1/A74)+Performance!$E$23*(1/Constraints!$V$9)*Constraints!A74</f>
        <v>0.79013953490481692</v>
      </c>
      <c r="F74" s="52">
        <f xml:space="preserve"> 1.21 / (9.81 * Constraints!$N$7 * Performance!$E$15 * Constraints!$N$5 ) * Constraints!A74 + 0.605 /Performance!$E$15 * (Performance!$E$16  - Constraints!$N$6 * Performance!$E$14) + Constraints!$N$6</f>
        <v>0.26815958701210163</v>
      </c>
      <c r="G74">
        <f t="shared" si="1"/>
        <v>118.19919999999999</v>
      </c>
      <c r="H74" s="55">
        <f>SQRT(2/$V$3 * A74 * SQRT(Performance!$E$23 / (3 * Performance!$E$12)))</f>
        <v>7.3982931282683682</v>
      </c>
      <c r="I74" s="55">
        <f>SQRT(2/$V$3 * A74 * (SQRT(Performance!$E$23)/(SQRT(3*Performance!$E$12 + 4* Performance!$E$23 * Performance!$E$11^2) - SQRT(Performance!$E$23)*Performance!$E$11)))</f>
        <v>7.7825237663651157</v>
      </c>
      <c r="J74">
        <f xml:space="preserve"> $AC$3/G74 + $AC$6/A74 * Performance!$E$12 + Performance!$E$23/Constraints!$AC$6 * Constraints!A74</f>
        <v>0.16836395038410965</v>
      </c>
      <c r="K74">
        <f xml:space="preserve"> $AC$3/H74 + $AC$6/A74 * Performance!$E$12 + Performance!$E$23/Constraints!$AC$6 * Constraints!A74</f>
        <v>0.81203052296786926</v>
      </c>
      <c r="L74">
        <f xml:space="preserve"> $AC$3/I74 + $AC$6/A74 * Performance!$E$12 + Performance!$E$23/Constraints!$AC$6 * Constraints!A74</f>
        <v>0.77813020948896239</v>
      </c>
      <c r="M74">
        <f>SIN($AC$9 * PI()/180) + 1/Performance!$AE$5</f>
        <v>0.24073077270730886</v>
      </c>
      <c r="N74">
        <f>SIN($AC$9 * PI()/180) + 1/Performance!$AE$8</f>
        <v>0.22738716112204788</v>
      </c>
      <c r="O74" s="60">
        <f>$AC$16 * (Performance!$E$12/Constraints!A74 + Performance!$E$23 * (Constraints!$AC$13/Constraints!$AC$17)^2 * Constraints!A74)</f>
        <v>6.9886766218064781E-4</v>
      </c>
      <c r="P74">
        <f t="shared" si="2"/>
        <v>3668.3612546620429</v>
      </c>
      <c r="Q74">
        <f t="shared" si="3"/>
        <v>14.371632145688709</v>
      </c>
      <c r="R74">
        <f t="shared" si="4"/>
        <v>15.903178541110565</v>
      </c>
      <c r="S74">
        <f xml:space="preserve"> 1.667/G74 + P74/A74 * Performance!$E$12 + Performance!$E$23 / Constraints!P74 * Constraints!A74</f>
        <v>3.071439040397336</v>
      </c>
      <c r="T74">
        <f xml:space="preserve"> 1.667/H74 + Q74/A74 * Performance!$E$12 + Performance!$E$23 / Constraints!Q74 * Constraints!A74</f>
        <v>0.33123521029106351</v>
      </c>
      <c r="U74">
        <f xml:space="preserve"> 1.667/I74 + R74/A74 * Performance!$E$12 + Performance!$E$23 / Constraints!R74 * Constraints!A74</f>
        <v>0.31234061387742451</v>
      </c>
    </row>
    <row r="75" spans="1:21" x14ac:dyDescent="0.3">
      <c r="A75" s="51">
        <v>36.5</v>
      </c>
      <c r="B75" s="50">
        <f>$V$4*Performance!$E$12*(1/A75)+Performance!$E$23*(1/Constraints!$V$4)*Constraints!A75</f>
        <v>0.77951540292844168</v>
      </c>
      <c r="C75" s="50">
        <f>$V$5*Performance!$E$12*(1/A75)+Performance!$E$23*(1/Constraints!$V$5)*Constraints!A75</f>
        <v>1.2155695846896644</v>
      </c>
      <c r="D75" s="52">
        <f t="shared" si="0"/>
        <v>0.26845185699684859</v>
      </c>
      <c r="E75" s="52">
        <f>$V$4*Performance!$E$12*(1/A75)+Performance!$E$23*(1/Constraints!$V$9)*Constraints!A75</f>
        <v>0.77935056308226847</v>
      </c>
      <c r="F75" s="52">
        <f xml:space="preserve"> 1.21 / (9.81 * Constraints!$N$7 * Performance!$E$15 * Constraints!$N$5 ) * Constraints!A75 + 0.605 /Performance!$E$15 * (Performance!$E$16  - Constraints!$N$6 * Performance!$E$14) + Constraints!$N$6</f>
        <v>0.2684315951650475</v>
      </c>
      <c r="G75">
        <f t="shared" si="1"/>
        <v>118.86930000000001</v>
      </c>
      <c r="H75" s="55">
        <f>SQRT(2/$V$3 * A75 * SQRT(Performance!$E$23 / (3 * Performance!$E$12)))</f>
        <v>7.449492999582958</v>
      </c>
      <c r="I75" s="55">
        <f>SQRT(2/$V$3 * A75 * (SQRT(Performance!$E$23)/(SQRT(3*Performance!$E$12 + 4* Performance!$E$23 * Performance!$E$11^2) - SQRT(Performance!$E$23)*Performance!$E$11)))</f>
        <v>7.8363827049651729</v>
      </c>
      <c r="J75">
        <f xml:space="preserve"> $AC$3/G75 + $AC$6/A75 * Performance!$E$12 + Performance!$E$23/Constraints!$AC$6 * Constraints!A75</f>
        <v>0.16959479138834177</v>
      </c>
      <c r="K75">
        <f xml:space="preserve"> $AC$3/H75 + $AC$6/A75 * Performance!$E$12 + Performance!$E$23/Constraints!$AC$6 * Constraints!A75</f>
        <v>0.80878438019201271</v>
      </c>
      <c r="L75">
        <f xml:space="preserve"> $AC$3/I75 + $AC$6/A75 * Performance!$E$12 + Performance!$E$23/Constraints!$AC$6 * Constraints!A75</f>
        <v>0.77511706131928126</v>
      </c>
      <c r="M75">
        <f>SIN($AC$9 * PI()/180) + 1/Performance!$AE$5</f>
        <v>0.24073077270730886</v>
      </c>
      <c r="N75">
        <f>SIN($AC$9 * PI()/180) + 1/Performance!$AE$8</f>
        <v>0.22738716112204788</v>
      </c>
      <c r="O75" s="60">
        <f>$AC$16 * (Performance!$E$12/Constraints!A75 + Performance!$E$23 * (Constraints!$AC$13/Constraints!$AC$17)^2 * Constraints!A75)</f>
        <v>6.8974320636502353E-4</v>
      </c>
      <c r="P75">
        <f t="shared" si="2"/>
        <v>3710.0728204802685</v>
      </c>
      <c r="Q75">
        <f t="shared" si="3"/>
        <v>14.571238147712164</v>
      </c>
      <c r="R75">
        <f t="shared" si="4"/>
        <v>16.124056020848212</v>
      </c>
      <c r="S75">
        <f xml:space="preserve"> 1.667/G75 + P75/A75 * Performance!$E$12 + Performance!$E$23 / Constraints!P75 * Constraints!A75</f>
        <v>3.0637676611022897</v>
      </c>
      <c r="T75">
        <f xml:space="preserve"> 1.667/H75 + Q75/A75 * Performance!$E$12 + Performance!$E$23 / Constraints!Q75 * Constraints!A75</f>
        <v>0.32968658546082452</v>
      </c>
      <c r="U75">
        <f xml:space="preserve"> 1.667/I75 + R75/A75 * Performance!$E$12 + Performance!$E$23 / Constraints!R75 * Constraints!A75</f>
        <v>0.31086844613547182</v>
      </c>
    </row>
    <row r="76" spans="1:21" x14ac:dyDescent="0.3">
      <c r="A76" s="51">
        <v>37</v>
      </c>
      <c r="B76" s="50">
        <f>$V$4*Performance!$E$12*(1/A76)+Performance!$E$23*(1/Constraints!$V$4)*Constraints!A76</f>
        <v>0.76902075731386776</v>
      </c>
      <c r="C76" s="50">
        <f>$V$5*Performance!$E$12*(1/A76)+Performance!$E$23*(1/Constraints!$V$5)*Constraints!A76</f>
        <v>1.1991681729250967</v>
      </c>
      <c r="D76" s="52">
        <f t="shared" si="0"/>
        <v>0.26872414270913414</v>
      </c>
      <c r="E76" s="52">
        <f>$V$4*Performance!$E$12*(1/A76)+Performance!$E$23*(1/Constraints!$V$9)*Constraints!A76</f>
        <v>0.76885365938760986</v>
      </c>
      <c r="F76" s="52">
        <f xml:space="preserve"> 1.21 / (9.81 * Constraints!$N$7 * Performance!$E$15 * Constraints!$N$5 ) * Constraints!A76 + 0.605 /Performance!$E$15 * (Performance!$E$16  - Constraints!$N$6 * Performance!$E$14) + Constraints!$N$6</f>
        <v>0.26870360331799337</v>
      </c>
      <c r="G76">
        <f t="shared" si="1"/>
        <v>119.5394</v>
      </c>
      <c r="H76" s="55">
        <f>SQRT(2/$V$3 * A76 * SQRT(Performance!$E$23 / (3 * Performance!$E$12)))</f>
        <v>7.5003433714656049</v>
      </c>
      <c r="I76" s="55">
        <f>SQRT(2/$V$3 * A76 * (SQRT(Performance!$E$23)/(SQRT(3*Performance!$E$12 + 4* Performance!$E$23 * Performance!$E$11^2) - SQRT(Performance!$E$23)*Performance!$E$11)))</f>
        <v>7.8898739928668506</v>
      </c>
      <c r="J76">
        <f xml:space="preserve"> $AC$3/G76 + $AC$6/A76 * Performance!$E$12 + Performance!$E$23/Constraints!$AC$6 * Constraints!A76</f>
        <v>0.17083194997480269</v>
      </c>
      <c r="K76">
        <f xml:space="preserve"> $AC$3/H76 + $AC$6/A76 * Performance!$E$12 + Performance!$E$23/Constraints!$AC$6 * Constraints!A76</f>
        <v>0.80563782559964903</v>
      </c>
      <c r="L76">
        <f xml:space="preserve"> $AC$3/I76 + $AC$6/A76 * Performance!$E$12 + Performance!$E$23/Constraints!$AC$6 * Constraints!A76</f>
        <v>0.7721987623680503</v>
      </c>
      <c r="M76">
        <f>SIN($AC$9 * PI()/180) + 1/Performance!$AE$5</f>
        <v>0.24073077270730886</v>
      </c>
      <c r="N76">
        <f>SIN($AC$9 * PI()/180) + 1/Performance!$AE$8</f>
        <v>0.22738716112204788</v>
      </c>
      <c r="O76" s="60">
        <f>$AC$16 * (Performance!$E$12/Constraints!A76 + Performance!$E$23 * (Constraints!$AC$13/Constraints!$AC$17)^2 * Constraints!A76)</f>
        <v>6.8087146788041615E-4</v>
      </c>
      <c r="P76">
        <f t="shared" si="2"/>
        <v>3752.0201908887675</v>
      </c>
      <c r="Q76">
        <f t="shared" si="3"/>
        <v>14.77084414973562</v>
      </c>
      <c r="R76">
        <f t="shared" si="4"/>
        <v>16.34493350058586</v>
      </c>
      <c r="S76">
        <f xml:space="preserve"> 1.667/G76 + P76/A76 * Performance!$E$12 + Performance!$E$23 / Constraints!P76 * Constraints!A76</f>
        <v>3.0564935330275129</v>
      </c>
      <c r="T76">
        <f xml:space="preserve"> 1.667/H76 + Q76/A76 * Performance!$E$12 + Performance!$E$23 / Constraints!Q76 * Constraints!A76</f>
        <v>0.32816945869423197</v>
      </c>
      <c r="U76">
        <f xml:space="preserve"> 1.667/I76 + R76/A76 * Performance!$E$12 + Performance!$E$23 / Constraints!R76 * Constraints!A76</f>
        <v>0.30942622136765258</v>
      </c>
    </row>
    <row r="77" spans="1:21" x14ac:dyDescent="0.3">
      <c r="A77" s="51">
        <v>37.5</v>
      </c>
      <c r="B77" s="50">
        <f>$V$4*Performance!$E$12*(1/A77)+Performance!$E$23*(1/Constraints!$V$4)*Constraints!A77</f>
        <v>0.75880649710206771</v>
      </c>
      <c r="C77" s="50">
        <f>$V$5*Performance!$E$12*(1/A77)+Performance!$E$23*(1/Constraints!$V$5)*Constraints!A77</f>
        <v>1.1832044704836133</v>
      </c>
      <c r="D77" s="52">
        <f t="shared" si="0"/>
        <v>0.26899642842141974</v>
      </c>
      <c r="E77" s="52">
        <f>$V$4*Performance!$E$12*(1/A77)+Performance!$E$23*(1/Constraints!$V$9)*Constraints!A77</f>
        <v>0.75863714109572522</v>
      </c>
      <c r="F77" s="52">
        <f xml:space="preserve"> 1.21 / (9.81 * Constraints!$N$7 * Performance!$E$15 * Constraints!$N$5 ) * Constraints!A77 + 0.605 /Performance!$E$15 * (Performance!$E$16  - Constraints!$N$6 * Performance!$E$14) + Constraints!$N$6</f>
        <v>0.26897561147093924</v>
      </c>
      <c r="G77">
        <f t="shared" si="1"/>
        <v>120.20949999999999</v>
      </c>
      <c r="H77" s="55">
        <f>SQRT(2/$V$3 * A77 * SQRT(Performance!$E$23 / (3 * Performance!$E$12)))</f>
        <v>7.5508513049152661</v>
      </c>
      <c r="I77" s="55">
        <f>SQRT(2/$V$3 * A77 * (SQRT(Performance!$E$23)/(SQRT(3*Performance!$E$12 + 4* Performance!$E$23 * Performance!$E$11^2) - SQRT(Performance!$E$23)*Performance!$E$11)))</f>
        <v>7.943005057782357</v>
      </c>
      <c r="J77">
        <f xml:space="preserve"> $AC$3/G77 + $AC$6/A77 * Performance!$E$12 + Performance!$E$23/Constraints!$AC$6 * Constraints!A77</f>
        <v>0.17207523666667771</v>
      </c>
      <c r="K77">
        <f xml:space="preserve"> $AC$3/H77 + $AC$6/A77 * Performance!$E$12 + Performance!$E$23/Constraints!$AC$6 * Constraints!A77</f>
        <v>0.80258750479000329</v>
      </c>
      <c r="L77">
        <f xml:space="preserve"> $AC$3/I77 + $AC$6/A77 * Performance!$E$12 + Performance!$E$23/Constraints!$AC$6 * Constraints!A77</f>
        <v>0.76937211673251649</v>
      </c>
      <c r="M77">
        <f>SIN($AC$9 * PI()/180) + 1/Performance!$AE$5</f>
        <v>0.24073077270730886</v>
      </c>
      <c r="N77">
        <f>SIN($AC$9 * PI()/180) + 1/Performance!$AE$8</f>
        <v>0.22738716112204788</v>
      </c>
      <c r="O77" s="60">
        <f>$AC$16 * (Performance!$E$12/Constraints!A77 + Performance!$E$23 * (Constraints!$AC$13/Constraints!$AC$17)^2 * Constraints!A77)</f>
        <v>6.7224233803358493E-4</v>
      </c>
      <c r="P77">
        <f t="shared" si="2"/>
        <v>3794.2033658875412</v>
      </c>
      <c r="Q77">
        <f t="shared" si="3"/>
        <v>14.970450151759072</v>
      </c>
      <c r="R77">
        <f t="shared" si="4"/>
        <v>16.565810980323505</v>
      </c>
      <c r="S77">
        <f xml:space="preserve"> 1.667/G77 + P77/A77 * Performance!$E$12 + Performance!$E$23 / Constraints!P77 * Constraints!A77</f>
        <v>3.0496007864111752</v>
      </c>
      <c r="T77">
        <f xml:space="preserve"> 1.667/H77 + Q77/A77 * Performance!$E$12 + Performance!$E$23 / Constraints!Q77 * Constraints!A77</f>
        <v>0.32668277651637478</v>
      </c>
      <c r="U77">
        <f xml:space="preserve"> 1.667/I77 + R77/A77 * Performance!$E$12 + Performance!$E$23 / Constraints!R77 * Constraints!A77</f>
        <v>0.30801293811011909</v>
      </c>
    </row>
    <row r="78" spans="1:21" x14ac:dyDescent="0.3">
      <c r="A78" s="51">
        <v>38</v>
      </c>
      <c r="B78" s="50">
        <f>$V$4*Performance!$E$12*(1/A78)+Performance!$E$23*(1/Constraints!$V$4)*Constraints!A78</f>
        <v>0.74886155444819535</v>
      </c>
      <c r="C78" s="50">
        <f>$V$5*Performance!$E$12*(1/A78)+Performance!$E$23*(1/Constraints!$V$5)*Constraints!A78</f>
        <v>1.1676611993656187</v>
      </c>
      <c r="D78" s="52">
        <f t="shared" si="0"/>
        <v>0.26926871413370534</v>
      </c>
      <c r="E78" s="52">
        <f>$V$4*Performance!$E$12*(1/A78)+Performance!$E$23*(1/Constraints!$V$9)*Constraints!A78</f>
        <v>0.74868994036176828</v>
      </c>
      <c r="F78" s="52">
        <f xml:space="preserve"> 1.21 / (9.81 * Constraints!$N$7 * Performance!$E$15 * Constraints!$N$5 ) * Constraints!A78 + 0.605 /Performance!$E$15 * (Performance!$E$16  - Constraints!$N$6 * Performance!$E$14) + Constraints!$N$6</f>
        <v>0.26924761962388505</v>
      </c>
      <c r="G78">
        <f t="shared" si="1"/>
        <v>120.87960000000001</v>
      </c>
      <c r="H78" s="55">
        <f>SQRT(2/$V$3 * A78 * SQRT(Performance!$E$23 / (3 * Performance!$E$12)))</f>
        <v>7.6010236263277795</v>
      </c>
      <c r="I78" s="55">
        <f>SQRT(2/$V$3 * A78 * (SQRT(Performance!$E$23)/(SQRT(3*Performance!$E$12 + 4* Performance!$E$23 * Performance!$E$11^2) - SQRT(Performance!$E$23)*Performance!$E$11)))</f>
        <v>7.995783080636663</v>
      </c>
      <c r="J78">
        <f xml:space="preserve"> $AC$3/G78 + $AC$6/A78 * Performance!$E$12 + Performance!$E$23/Constraints!$AC$6 * Constraints!A78</f>
        <v>0.17332447057607131</v>
      </c>
      <c r="K78">
        <f xml:space="preserve"> $AC$3/H78 + $AC$6/A78 * Performance!$E$12 + Performance!$E$23/Constraints!$AC$6 * Constraints!A78</f>
        <v>0.79963021928189004</v>
      </c>
      <c r="L78">
        <f xml:space="preserve"> $AC$3/I78 + $AC$6/A78 * Performance!$E$12 + Performance!$E$23/Constraints!$AC$6 * Constraints!A78</f>
        <v>0.76663407710593012</v>
      </c>
      <c r="M78">
        <f>SIN($AC$9 * PI()/180) + 1/Performance!$AE$5</f>
        <v>0.24073077270730886</v>
      </c>
      <c r="N78">
        <f>SIN($AC$9 * PI()/180) + 1/Performance!$AE$8</f>
        <v>0.22738716112204788</v>
      </c>
      <c r="O78" s="60">
        <f>$AC$16 * (Performance!$E$12/Constraints!A78 + Performance!$E$23 * (Constraints!$AC$13/Constraints!$AC$17)^2 * Constraints!A78)</f>
        <v>6.638462401677758E-4</v>
      </c>
      <c r="P78">
        <f t="shared" si="2"/>
        <v>3836.6223454765918</v>
      </c>
      <c r="Q78">
        <f t="shared" si="3"/>
        <v>15.170056153782523</v>
      </c>
      <c r="R78">
        <f t="shared" si="4"/>
        <v>16.78668846006115</v>
      </c>
      <c r="S78">
        <f xml:space="preserve"> 1.667/G78 + P78/A78 * Performance!$E$12 + Performance!$E$23 / Constraints!P78 * Constraints!A78</f>
        <v>3.0430743863149381</v>
      </c>
      <c r="T78">
        <f xml:space="preserve"> 1.667/H78 + Q78/A78 * Performance!$E$12 + Performance!$E$23 / Constraints!Q78 * Constraints!A78</f>
        <v>0.32522553412937849</v>
      </c>
      <c r="U78">
        <f xml:space="preserve"> 1.667/I78 + R78/A78 * Performance!$E$12 + Performance!$E$23 / Constraints!R78 * Constraints!A78</f>
        <v>0.30662764117282859</v>
      </c>
    </row>
    <row r="79" spans="1:21" x14ac:dyDescent="0.3">
      <c r="A79" s="51">
        <v>38.5</v>
      </c>
      <c r="B79" s="50">
        <f>$V$4*Performance!$E$12*(1/A79)+Performance!$E$23*(1/Constraints!$V$4)*Constraints!A79</f>
        <v>0.73917543646038375</v>
      </c>
      <c r="C79" s="50">
        <f>$V$5*Performance!$E$12*(1/A79)+Performance!$E$23*(1/Constraints!$V$5)*Constraints!A79</f>
        <v>1.1525219791299388</v>
      </c>
      <c r="D79" s="52">
        <f t="shared" si="0"/>
        <v>0.26954099984599095</v>
      </c>
      <c r="E79" s="52">
        <f>$V$4*Performance!$E$12*(1/A79)+Performance!$E$23*(1/Constraints!$V$9)*Constraints!A79</f>
        <v>0.7390015642938722</v>
      </c>
      <c r="F79" s="52">
        <f xml:space="preserve"> 1.21 / (9.81 * Constraints!$N$7 * Performance!$E$15 * Constraints!$N$5 ) * Constraints!A79 + 0.605 /Performance!$E$15 * (Performance!$E$16  - Constraints!$N$6 * Performance!$E$14) + Constraints!$N$6</f>
        <v>0.26951962777683092</v>
      </c>
      <c r="G79">
        <f t="shared" si="1"/>
        <v>121.5497</v>
      </c>
      <c r="H79" s="55">
        <f>SQRT(2/$V$3 * A79 * SQRT(Performance!$E$23 / (3 * Performance!$E$12)))</f>
        <v>7.6508669382656018</v>
      </c>
      <c r="I79" s="55">
        <f>SQRT(2/$V$3 * A79 * (SQRT(Performance!$E$23)/(SQRT(3*Performance!$E$12 + 4* Performance!$E$23 * Performance!$E$11^2) - SQRT(Performance!$E$23)*Performance!$E$11)))</f>
        <v>8.0482150068965552</v>
      </c>
      <c r="J79">
        <f xml:space="preserve"> $AC$3/G79 + $AC$6/A79 * Performance!$E$12 + Performance!$E$23/Constraints!$AC$6 * Constraints!A79</f>
        <v>0.17457947888392694</v>
      </c>
      <c r="K79">
        <f xml:space="preserve"> $AC$3/H79 + $AC$6/A79 * Performance!$E$12 + Performance!$E$23/Constraints!$AC$6 * Constraints!A79</f>
        <v>0.79676291732371096</v>
      </c>
      <c r="L79">
        <f xml:space="preserve"> $AC$3/I79 + $AC$6/A79 * Performance!$E$12 + Performance!$E$23/Constraints!$AC$6 * Constraints!A79</f>
        <v>0.76398173601695629</v>
      </c>
      <c r="M79">
        <f>SIN($AC$9 * PI()/180) + 1/Performance!$AE$5</f>
        <v>0.24073077270730886</v>
      </c>
      <c r="N79">
        <f>SIN($AC$9 * PI()/180) + 1/Performance!$AE$8</f>
        <v>0.22738716112204788</v>
      </c>
      <c r="O79" s="60">
        <f>$AC$16 * (Performance!$E$12/Constraints!A79 + Performance!$E$23 * (Constraints!$AC$13/Constraints!$AC$17)^2 * Constraints!A79)</f>
        <v>6.5567409511489661E-4</v>
      </c>
      <c r="P79">
        <f t="shared" si="2"/>
        <v>3879.2771296559149</v>
      </c>
      <c r="Q79">
        <f t="shared" si="3"/>
        <v>15.369662155805983</v>
      </c>
      <c r="R79">
        <f t="shared" si="4"/>
        <v>17.007565939798791</v>
      </c>
      <c r="S79">
        <f xml:space="preserve"> 1.667/G79 + P79/A79 * Performance!$E$12 + Performance!$E$23 / Constraints!P79 * Constraints!A79</f>
        <v>3.0369000784257989</v>
      </c>
      <c r="T79">
        <f xml:space="preserve"> 1.667/H79 + Q79/A79 * Performance!$E$12 + Performance!$E$23 / Constraints!Q79 * Constraints!A79</f>
        <v>0.32379677255826311</v>
      </c>
      <c r="U79">
        <f xml:space="preserve"> 1.667/I79 + R79/A79 * Performance!$E$12 + Performance!$E$23 / Constraints!R79 * Constraints!A79</f>
        <v>0.30526941892631271</v>
      </c>
    </row>
    <row r="80" spans="1:21" x14ac:dyDescent="0.3">
      <c r="A80" s="51">
        <v>39</v>
      </c>
      <c r="B80" s="50">
        <f>$V$4*Performance!$E$12*(1/A80)+Performance!$E$23*(1/Constraints!$V$4)*Constraints!A80</f>
        <v>0.72973818834378379</v>
      </c>
      <c r="C80" s="50">
        <f>$V$5*Performance!$E$12*(1/A80)+Performance!$E$23*(1/Constraints!$V$5)*Constraints!A80</f>
        <v>1.137771269358022</v>
      </c>
      <c r="D80" s="52">
        <f t="shared" si="0"/>
        <v>0.26981328555827655</v>
      </c>
      <c r="E80" s="52">
        <f>$V$4*Performance!$E$12*(1/A80)+Performance!$E$23*(1/Constraints!$V$9)*Constraints!A80</f>
        <v>0.72956205809718766</v>
      </c>
      <c r="F80" s="52">
        <f xml:space="preserve"> 1.21 / (9.81 * Constraints!$N$7 * Performance!$E$15 * Constraints!$N$5 ) * Constraints!A80 + 0.605 /Performance!$E$15 * (Performance!$E$16  - Constraints!$N$6 * Performance!$E$14) + Constraints!$N$6</f>
        <v>0.26979163592977679</v>
      </c>
      <c r="G80">
        <f t="shared" si="1"/>
        <v>122.21979999999999</v>
      </c>
      <c r="H80" s="55">
        <f>SQRT(2/$V$3 * A80 * SQRT(Performance!$E$23 / (3 * Performance!$E$12)))</f>
        <v>7.7003876296000966</v>
      </c>
      <c r="I80" s="55">
        <f>SQRT(2/$V$3 * A80 * (SQRT(Performance!$E$23)/(SQRT(3*Performance!$E$12 + 4* Performance!$E$23 * Performance!$E$11^2) - SQRT(Performance!$E$23)*Performance!$E$11)))</f>
        <v>8.1003075572396845</v>
      </c>
      <c r="J80">
        <f xml:space="preserve"> $AC$3/G80 + $AC$6/A80 * Performance!$E$12 + Performance!$E$23/Constraints!$AC$6 * Constraints!A80</f>
        <v>0.17584009635873077</v>
      </c>
      <c r="K80">
        <f xml:space="preserve"> $AC$3/H80 + $AC$6/A80 * Performance!$E$12 + Performance!$E$23/Constraints!$AC$6 * Constraints!A80</f>
        <v>0.79398268535662275</v>
      </c>
      <c r="L80">
        <f xml:space="preserve"> $AC$3/I80 + $AC$6/A80 * Performance!$E$12 + Performance!$E$23/Constraints!$AC$6 * Constraints!A80</f>
        <v>0.76141231769187634</v>
      </c>
      <c r="M80">
        <f>SIN($AC$9 * PI()/180) + 1/Performance!$AE$5</f>
        <v>0.24073077270730886</v>
      </c>
      <c r="N80">
        <f>SIN($AC$9 * PI()/180) + 1/Performance!$AE$8</f>
        <v>0.22738716112204788</v>
      </c>
      <c r="O80" s="60">
        <f>$AC$16 * (Performance!$E$12/Constraints!A80 + Performance!$E$23 * (Constraints!$AC$13/Constraints!$AC$17)^2 * Constraints!A80)</f>
        <v>6.4771728930521956E-4</v>
      </c>
      <c r="P80">
        <f t="shared" si="2"/>
        <v>3922.1677184255136</v>
      </c>
      <c r="Q80">
        <f t="shared" si="3"/>
        <v>15.569268157829434</v>
      </c>
      <c r="R80">
        <f t="shared" si="4"/>
        <v>17.22844341953644</v>
      </c>
      <c r="S80">
        <f xml:space="preserve"> 1.667/G80 + P80/A80 * Performance!$E$12 + Performance!$E$23 / Constraints!P80 * Constraints!A80</f>
        <v>3.0310643390266891</v>
      </c>
      <c r="T80">
        <f xml:space="preserve"> 1.667/H80 + Q80/A80 * Performance!$E$12 + Performance!$E$23 / Constraints!Q80 * Constraints!A80</f>
        <v>0.32239557599871083</v>
      </c>
      <c r="U80">
        <f xml:space="preserve"> 1.667/I80 + R80/A80 * Performance!$E$12 + Performance!$E$23 / Constraints!R80 * Constraints!A80</f>
        <v>0.30393740078038789</v>
      </c>
    </row>
    <row r="81" spans="1:21" x14ac:dyDescent="0.3">
      <c r="A81" s="51">
        <v>39.5</v>
      </c>
      <c r="B81" s="50">
        <f>$V$4*Performance!$E$12*(1/A81)+Performance!$E$23*(1/Constraints!$V$4)*Constraints!A81</f>
        <v>0.72054035934379301</v>
      </c>
      <c r="C81" s="50">
        <f>$V$5*Performance!$E$12*(1/A81)+Performance!$E$23*(1/Constraints!$V$5)*Constraints!A81</f>
        <v>1.1233943164879541</v>
      </c>
      <c r="D81" s="52">
        <f t="shared" si="0"/>
        <v>0.27008557127056215</v>
      </c>
      <c r="E81" s="52">
        <f>$V$4*Performance!$E$12*(1/A81)+Performance!$E$23*(1/Constraints!$V$9)*Constraints!A81</f>
        <v>0.7203619710171123</v>
      </c>
      <c r="F81" s="52">
        <f xml:space="preserve"> 1.21 / (9.81 * Constraints!$N$7 * Performance!$E$15 * Constraints!$N$5 ) * Constraints!A81 + 0.605 /Performance!$E$15 * (Performance!$E$16  - Constraints!$N$6 * Performance!$E$14) + Constraints!$N$6</f>
        <v>0.27006364408272265</v>
      </c>
      <c r="G81">
        <f t="shared" si="1"/>
        <v>122.8899</v>
      </c>
      <c r="H81" s="55">
        <f>SQRT(2/$V$3 * A81 * SQRT(Performance!$E$23 / (3 * Performance!$E$12)))</f>
        <v>7.7495918850705117</v>
      </c>
      <c r="I81" s="55">
        <f>SQRT(2/$V$3 * A81 * (SQRT(Performance!$E$23)/(SQRT(3*Performance!$E$12 + 4* Performance!$E$23 * Performance!$E$11^2) - SQRT(Performance!$E$23)*Performance!$E$11)))</f>
        <v>8.1520672376099643</v>
      </c>
      <c r="J81">
        <f xml:space="preserve"> $AC$3/G81 + $AC$6/A81 * Performance!$E$12 + Performance!$E$23/Constraints!$AC$6 * Constraints!A81</f>
        <v>0.17710616491060852</v>
      </c>
      <c r="K81">
        <f xml:space="preserve"> $AC$3/H81 + $AC$6/A81 * Performance!$E$12 + Performance!$E$23/Constraints!$AC$6 * Constraints!A81</f>
        <v>0.7912867400767285</v>
      </c>
      <c r="L81">
        <f xml:space="preserve"> $AC$3/I81 + $AC$6/A81 * Performance!$E$12 + Performance!$E$23/Constraints!$AC$6 * Constraints!A81</f>
        <v>0.75892317048794622</v>
      </c>
      <c r="M81">
        <f>SIN($AC$9 * PI()/180) + 1/Performance!$AE$5</f>
        <v>0.24073077270730886</v>
      </c>
      <c r="N81">
        <f>SIN($AC$9 * PI()/180) + 1/Performance!$AE$8</f>
        <v>0.22738716112204788</v>
      </c>
      <c r="O81" s="60">
        <f>$AC$16 * (Performance!$E$12/Constraints!A81 + Performance!$E$23 * (Constraints!$AC$13/Constraints!$AC$17)^2 * Constraints!A81)</f>
        <v>6.399676452991292E-4</v>
      </c>
      <c r="P81">
        <f t="shared" si="2"/>
        <v>3965.2941117853875</v>
      </c>
      <c r="Q81">
        <f t="shared" si="3"/>
        <v>15.768874159852885</v>
      </c>
      <c r="R81">
        <f t="shared" si="4"/>
        <v>17.449320899274088</v>
      </c>
      <c r="S81">
        <f xml:space="preserve"> 1.667/G81 + P81/A81 * Performance!$E$12 + Performance!$E$23 / Constraints!P81 * Constraints!A81</f>
        <v>3.0255543287664302</v>
      </c>
      <c r="T81">
        <f xml:space="preserve"> 1.667/H81 + Q81/A81 * Performance!$E$12 + Performance!$E$23 / Constraints!Q81 * Constraints!A81</f>
        <v>0.32102106935007646</v>
      </c>
      <c r="U81">
        <f xml:space="preserve"> 1.667/I81 + R81/A81 * Performance!$E$12 + Performance!$E$23 / Constraints!R81 * Constraints!A81</f>
        <v>0.30263075483896462</v>
      </c>
    </row>
    <row r="82" spans="1:21" x14ac:dyDescent="0.3">
      <c r="A82" s="51">
        <v>40</v>
      </c>
      <c r="B82" s="50">
        <f>$V$4*Performance!$E$12*(1/A82)+Performance!$E$23*(1/Constraints!$V$4)*Constraints!A82</f>
        <v>0.71157297124353847</v>
      </c>
      <c r="C82" s="50">
        <f>$V$5*Performance!$E$12*(1/A82)+Performance!$E$23*(1/Constraints!$V$5)*Constraints!A82</f>
        <v>1.1093771046359151</v>
      </c>
      <c r="D82" s="52">
        <f t="shared" si="0"/>
        <v>0.27035785698284776</v>
      </c>
      <c r="E82" s="52">
        <f>$V$4*Performance!$E$12*(1/A82)+Performance!$E$23*(1/Constraints!$V$9)*Constraints!A82</f>
        <v>0.71139232483677317</v>
      </c>
      <c r="F82" s="52">
        <f xml:space="preserve"> 1.21 / (9.81 * Constraints!$N$7 * Performance!$E$15 * Constraints!$N$5 ) * Constraints!A82 + 0.605 /Performance!$E$15 * (Performance!$E$16  - Constraints!$N$6 * Performance!$E$14) + Constraints!$N$6</f>
        <v>0.27033565223566852</v>
      </c>
      <c r="G82">
        <f t="shared" si="1"/>
        <v>123.56</v>
      </c>
      <c r="H82" s="55">
        <f>SQRT(2/$V$3 * A82 * SQRT(Performance!$E$23 / (3 * Performance!$E$12)))</f>
        <v>7.7984856943000977</v>
      </c>
      <c r="I82" s="55">
        <f>SQRT(2/$V$3 * A82 * (SQRT(Performance!$E$23)/(SQRT(3*Performance!$E$12 + 4* Performance!$E$23 * Performance!$E$11^2) - SQRT(Performance!$E$23)*Performance!$E$11)))</f>
        <v>8.2035003487019598</v>
      </c>
      <c r="J82">
        <f xml:space="preserve"> $AC$3/G82 + $AC$6/A82 * Performance!$E$12 + Performance!$E$23/Constraints!$AC$6 * Constraints!A82</f>
        <v>0.17837753317776245</v>
      </c>
      <c r="K82">
        <f xml:space="preserve"> $AC$3/H82 + $AC$6/A82 * Performance!$E$12 + Performance!$E$23/Constraints!$AC$6 * Constraints!A82</f>
        <v>0.78867242104726154</v>
      </c>
      <c r="L82">
        <f xml:space="preserve"> $AC$3/I82 + $AC$6/A82 * Performance!$E$12 + Performance!$E$23/Constraints!$AC$6 * Constraints!A82</f>
        <v>0.75651175985114583</v>
      </c>
      <c r="M82">
        <f>SIN($AC$9 * PI()/180) + 1/Performance!$AE$5</f>
        <v>0.24073077270730886</v>
      </c>
      <c r="N82">
        <f>SIN($AC$9 * PI()/180) + 1/Performance!$AE$8</f>
        <v>0.22738716112204788</v>
      </c>
      <c r="O82" s="60">
        <f>$AC$16 * (Performance!$E$12/Constraints!A82 + Performance!$E$23 * (Constraints!$AC$13/Constraints!$AC$17)^2 * Constraints!A82)</f>
        <v>6.3241739452899121E-4</v>
      </c>
      <c r="P82">
        <f t="shared" si="2"/>
        <v>4008.6563097355365</v>
      </c>
      <c r="Q82">
        <f t="shared" si="3"/>
        <v>15.968480161876343</v>
      </c>
      <c r="R82">
        <f t="shared" si="4"/>
        <v>17.670198379011737</v>
      </c>
      <c r="S82">
        <f xml:space="preserve"> 1.667/G82 + P82/A82 * Performance!$E$12 + Performance!$E$23 / Constraints!P82 * Constraints!A82</f>
        <v>3.0203578498966301</v>
      </c>
      <c r="T82">
        <f xml:space="preserve"> 1.667/H82 + Q82/A82 * Performance!$E$12 + Performance!$E$23 / Constraints!Q82 * Constraints!A82</f>
        <v>0.31967241591854373</v>
      </c>
      <c r="U82">
        <f xml:space="preserve"> 1.667/I82 + R82/A82 * Performance!$E$12 + Performance!$E$23 / Constraints!R82 * Constraints!A82</f>
        <v>0.30134868571660023</v>
      </c>
    </row>
    <row r="83" spans="1:21" x14ac:dyDescent="0.3">
      <c r="A83" s="51">
        <v>40.5</v>
      </c>
      <c r="B83" s="50">
        <f>$V$4*Performance!$E$12*(1/A83)+Performance!$E$23*(1/Constraints!$V$4)*Constraints!A83</f>
        <v>0.70282748919488147</v>
      </c>
      <c r="C83" s="50">
        <f>$V$5*Performance!$E$12*(1/A83)+Performance!$E$23*(1/Constraints!$V$5)*Constraints!A83</f>
        <v>1.0957063100604969</v>
      </c>
      <c r="D83" s="52">
        <f t="shared" si="0"/>
        <v>0.27063014269513336</v>
      </c>
      <c r="E83" s="52">
        <f>$V$4*Performance!$E$12*(1/A83)+Performance!$E$23*(1/Constraints!$V$9)*Constraints!A83</f>
        <v>0.70264458470803171</v>
      </c>
      <c r="F83" s="52">
        <f xml:space="preserve"> 1.21 / (9.81 * Constraints!$N$7 * Performance!$E$15 * Constraints!$N$5 ) * Constraints!A83 + 0.605 /Performance!$E$15 * (Performance!$E$16  - Constraints!$N$6 * Performance!$E$14) + Constraints!$N$6</f>
        <v>0.27060766038861434</v>
      </c>
      <c r="G83">
        <f t="shared" si="1"/>
        <v>124.23009999999999</v>
      </c>
      <c r="H83" s="55">
        <f>SQRT(2/$V$3 * A83 * SQRT(Performance!$E$23 / (3 * Performance!$E$12)))</f>
        <v>7.8470748603065985</v>
      </c>
      <c r="I83" s="55">
        <f>SQRT(2/$V$3 * A83 * (SQRT(Performance!$E$23)/(SQRT(3*Performance!$E$12 + 4* Performance!$E$23 * Performance!$E$11^2) - SQRT(Performance!$E$23)*Performance!$E$11)))</f>
        <v>8.2546129949133658</v>
      </c>
      <c r="J83">
        <f xml:space="preserve"> $AC$3/G83 + $AC$6/A83 * Performance!$E$12 + Performance!$E$23/Constraints!$AC$6 * Constraints!A83</f>
        <v>0.17965405614249416</v>
      </c>
      <c r="K83">
        <f xml:space="preserve"> $AC$3/H83 + $AC$6/A83 * Performance!$E$12 + Performance!$E$23/Constraints!$AC$6 * Constraints!A83</f>
        <v>0.7861371838163016</v>
      </c>
      <c r="L83">
        <f xml:space="preserve"> $AC$3/I83 + $AC$6/A83 * Performance!$E$12 + Performance!$E$23/Constraints!$AC$6 * Constraints!A83</f>
        <v>0.75417566175592166</v>
      </c>
      <c r="M83">
        <f>SIN($AC$9 * PI()/180) + 1/Performance!$AE$5</f>
        <v>0.24073077270730886</v>
      </c>
      <c r="N83">
        <f>SIN($AC$9 * PI()/180) + 1/Performance!$AE$8</f>
        <v>0.22738716112204788</v>
      </c>
      <c r="O83" s="60">
        <f>$AC$16 * (Performance!$E$12/Constraints!A83 + Performance!$E$23 * (Constraints!$AC$13/Constraints!$AC$17)^2 * Constraints!A83)</f>
        <v>6.2505915206014049E-4</v>
      </c>
      <c r="P83">
        <f t="shared" si="2"/>
        <v>4052.2543122759598</v>
      </c>
      <c r="Q83">
        <f t="shared" si="3"/>
        <v>16.168086163899797</v>
      </c>
      <c r="R83">
        <f t="shared" si="4"/>
        <v>17.891075858749385</v>
      </c>
      <c r="S83">
        <f xml:space="preserve"> 1.667/G83 + P83/A83 * Performance!$E$12 + Performance!$E$23 / Constraints!P83 * Constraints!A83</f>
        <v>3.0154633066759224</v>
      </c>
      <c r="T83">
        <f xml:space="preserve"> 1.667/H83 + Q83/A83 * Performance!$E$12 + Performance!$E$23 / Constraints!Q83 * Constraints!A83</f>
        <v>0.31834881527672931</v>
      </c>
      <c r="U83">
        <f xml:space="preserve"> 1.667/I83 + R83/A83 * Performance!$E$12 + Performance!$E$23 / Constraints!R83 * Constraints!A83</f>
        <v>0.30009043250377632</v>
      </c>
    </row>
    <row r="84" spans="1:21" x14ac:dyDescent="0.3">
      <c r="A84" s="51">
        <v>41</v>
      </c>
      <c r="B84" s="50">
        <f>$V$4*Performance!$E$12*(1/A84)+Performance!$E$23*(1/Constraints!$V$4)*Constraints!A84</f>
        <v>0.69429579468373959</v>
      </c>
      <c r="C84" s="50">
        <f>$V$5*Performance!$E$12*(1/A84)+Performance!$E$23*(1/Constraints!$V$5)*Constraints!A84</f>
        <v>1.0823692589588962</v>
      </c>
      <c r="D84" s="52">
        <f t="shared" si="0"/>
        <v>0.27090242840741896</v>
      </c>
      <c r="E84" s="52">
        <f>$V$4*Performance!$E$12*(1/A84)+Performance!$E$23*(1/Constraints!$V$9)*Constraints!A84</f>
        <v>0.69411063211680524</v>
      </c>
      <c r="F84" s="52">
        <f xml:space="preserve"> 1.21 / (9.81 * Constraints!$N$7 * Performance!$E$15 * Constraints!$N$5 ) * Constraints!A84 + 0.605 /Performance!$E$15 * (Performance!$E$16  - Constraints!$N$6 * Performance!$E$14) + Constraints!$N$6</f>
        <v>0.2708796685415602</v>
      </c>
      <c r="G84">
        <f t="shared" si="1"/>
        <v>124.9002</v>
      </c>
      <c r="H84" s="55">
        <f>SQRT(2/$V$3 * A84 * SQRT(Performance!$E$23 / (3 * Performance!$E$12)))</f>
        <v>7.8953650075413462</v>
      </c>
      <c r="I84" s="55">
        <f>SQRT(2/$V$3 * A84 * (SQRT(Performance!$E$23)/(SQRT(3*Performance!$E$12 + 4* Performance!$E$23 * Performance!$E$11^2) - SQRT(Performance!$E$23)*Performance!$E$11)))</f>
        <v>8.3054110928016076</v>
      </c>
      <c r="J84">
        <f xml:space="preserve"> $AC$3/G84 + $AC$6/A84 * Performance!$E$12 + Performance!$E$23/Constraints!$AC$6 * Constraints!A84</f>
        <v>0.18093559477432736</v>
      </c>
      <c r="K84">
        <f xml:space="preserve"> $AC$3/H84 + $AC$6/A84 * Performance!$E$12 + Performance!$E$23/Constraints!$AC$6 * Constraints!A84</f>
        <v>0.78367859349965519</v>
      </c>
      <c r="L84">
        <f xml:space="preserve"> $AC$3/I84 + $AC$6/A84 * Performance!$E$12 + Performance!$E$23/Constraints!$AC$6 * Constraints!A84</f>
        <v>0.75191255658843181</v>
      </c>
      <c r="M84">
        <f>SIN($AC$9 * PI()/180) + 1/Performance!$AE$5</f>
        <v>0.24073077270730886</v>
      </c>
      <c r="N84">
        <f>SIN($AC$9 * PI()/180) + 1/Performance!$AE$8</f>
        <v>0.22738716112204788</v>
      </c>
      <c r="O84" s="60">
        <f>$AC$16 * (Performance!$E$12/Constraints!A84 + Performance!$E$23 * (Constraints!$AC$13/Constraints!$AC$17)^2 * Constraints!A84)</f>
        <v>6.1788589319862767E-4</v>
      </c>
      <c r="P84">
        <f t="shared" si="2"/>
        <v>4096.0881194066587</v>
      </c>
      <c r="Q84">
        <f t="shared" si="3"/>
        <v>16.367692165923252</v>
      </c>
      <c r="R84">
        <f t="shared" si="4"/>
        <v>18.111953338487027</v>
      </c>
      <c r="S84">
        <f xml:space="preserve"> 1.667/G84 + P84/A84 * Performance!$E$12 + Performance!$E$23 / Constraints!P84 * Constraints!A84</f>
        <v>3.0108596686711686</v>
      </c>
      <c r="T84">
        <f xml:space="preserve"> 1.667/H84 + Q84/A84 * Performance!$E$12 + Performance!$E$23 / Constraints!Q84 * Constraints!A84</f>
        <v>0.31704950126729492</v>
      </c>
      <c r="U84">
        <f xml:space="preserve"> 1.667/I84 + R84/A84 * Performance!$E$12 + Performance!$E$23 / Constraints!R84 * Constraints!A84</f>
        <v>0.29885526686907493</v>
      </c>
    </row>
    <row r="85" spans="1:21" x14ac:dyDescent="0.3">
      <c r="A85" s="51">
        <v>41.5</v>
      </c>
      <c r="B85" s="50">
        <f>$V$4*Performance!$E$12*(1/A85)+Performance!$E$23*(1/Constraints!$V$4)*Constraints!A85</f>
        <v>0.68597016044972048</v>
      </c>
      <c r="C85" s="50">
        <f>$V$5*Performance!$E$12*(1/A85)+Performance!$E$23*(1/Constraints!$V$5)*Constraints!A85</f>
        <v>1.069353888313987</v>
      </c>
      <c r="D85" s="52">
        <f t="shared" si="0"/>
        <v>0.27117471411970456</v>
      </c>
      <c r="E85" s="52">
        <f>$V$4*Performance!$E$12*(1/A85)+Performance!$E$23*(1/Constraints!$V$9)*Constraints!A85</f>
        <v>0.68578273980270155</v>
      </c>
      <c r="F85" s="52">
        <f xml:space="preserve"> 1.21 / (9.81 * Constraints!$N$7 * Performance!$E$15 * Constraints!$N$5 ) * Constraints!A85 + 0.605 /Performance!$E$15 * (Performance!$E$16  - Constraints!$N$6 * Performance!$E$14) + Constraints!$N$6</f>
        <v>0.27115167669450607</v>
      </c>
      <c r="G85">
        <f t="shared" si="1"/>
        <v>125.5703</v>
      </c>
      <c r="H85" s="55">
        <f>SQRT(2/$V$3 * A85 * SQRT(Performance!$E$23 / (3 * Performance!$E$12)))</f>
        <v>7.943361589488477</v>
      </c>
      <c r="I85" s="55">
        <f>SQRT(2/$V$3 * A85 * (SQRT(Performance!$E$23)/(SQRT(3*Performance!$E$12 + 4* Performance!$E$23 * Performance!$E$11^2) - SQRT(Performance!$E$23)*Performance!$E$11)))</f>
        <v>8.3559003790777346</v>
      </c>
      <c r="J85">
        <f xml:space="preserve"> $AC$3/G85 + $AC$6/A85 * Performance!$E$12 + Performance!$E$23/Constraints!$AC$6 * Constraints!A85</f>
        <v>0.18222201569798085</v>
      </c>
      <c r="K85">
        <f xml:space="preserve"> $AC$3/H85 + $AC$6/A85 * Performance!$E$12 + Performance!$E$23/Constraints!$AC$6 * Constraints!A85</f>
        <v>0.78129431879221145</v>
      </c>
      <c r="L85">
        <f xml:space="preserve"> $AC$3/I85 + $AC$6/A85 * Performance!$E$12 + Performance!$E$23/Constraints!$AC$6 * Constraints!A85</f>
        <v>0.74972022343829581</v>
      </c>
      <c r="M85">
        <f>SIN($AC$9 * PI()/180) + 1/Performance!$AE$5</f>
        <v>0.24073077270730886</v>
      </c>
      <c r="N85">
        <f>SIN($AC$9 * PI()/180) + 1/Performance!$AE$8</f>
        <v>0.22738716112204788</v>
      </c>
      <c r="O85" s="60">
        <f>$AC$16 * (Performance!$E$12/Constraints!A85 + Performance!$E$23 * (Constraints!$AC$13/Constraints!$AC$17)^2 * Constraints!A85)</f>
        <v>6.1089093178997059E-4</v>
      </c>
      <c r="P85">
        <f t="shared" si="2"/>
        <v>4140.1577311276324</v>
      </c>
      <c r="Q85">
        <f t="shared" si="3"/>
        <v>16.567298167946706</v>
      </c>
      <c r="R85">
        <f t="shared" si="4"/>
        <v>18.332830818224679</v>
      </c>
      <c r="S85">
        <f xml:space="preserve"> 1.667/G85 + P85/A85 * Performance!$E$12 + Performance!$E$23 / Constraints!P85 * Constraints!A85</f>
        <v>3.0065364367113072</v>
      </c>
      <c r="T85">
        <f xml:space="preserve"> 1.667/H85 + Q85/A85 * Performance!$E$12 + Performance!$E$23 / Constraints!Q85 * Constraints!A85</f>
        <v>0.31577374013925497</v>
      </c>
      <c r="U85">
        <f xml:space="preserve"> 1.667/I85 + R85/A85 * Performance!$E$12 + Performance!$E$23 / Constraints!R85 * Constraints!A85</f>
        <v>0.29764249128749792</v>
      </c>
    </row>
    <row r="86" spans="1:21" x14ac:dyDescent="0.3">
      <c r="A86" s="51">
        <v>42</v>
      </c>
      <c r="B86" s="50">
        <f>$V$4*Performance!$E$12*(1/A86)+Performance!$E$23*(1/Constraints!$V$4)*Constraints!A86</f>
        <v>0.67784322719721268</v>
      </c>
      <c r="C86" s="50">
        <f>$V$5*Performance!$E$12*(1/A86)+Performance!$E$23*(1/Constraints!$V$5)*Constraints!A86</f>
        <v>1.0566487095380306</v>
      </c>
      <c r="D86" s="52">
        <f t="shared" si="0"/>
        <v>0.27144699983199011</v>
      </c>
      <c r="E86" s="52">
        <f>$V$4*Performance!$E$12*(1/A86)+Performance!$E$23*(1/Constraints!$V$9)*Constraints!A86</f>
        <v>0.67765354847010917</v>
      </c>
      <c r="F86" s="52">
        <f xml:space="preserve"> 1.21 / (9.81 * Constraints!$N$7 * Performance!$E$15 * Constraints!$N$5 ) * Constraints!A86 + 0.605 /Performance!$E$15 * (Performance!$E$16  - Constraints!$N$6 * Performance!$E$14) + Constraints!$N$6</f>
        <v>0.27142368484745194</v>
      </c>
      <c r="G86">
        <f t="shared" si="1"/>
        <v>126.24039999999999</v>
      </c>
      <c r="H86" s="55">
        <f>SQRT(2/$V$3 * A86 * SQRT(Performance!$E$23 / (3 * Performance!$E$12)))</f>
        <v>7.9910698958533359</v>
      </c>
      <c r="I86" s="55">
        <f>SQRT(2/$V$3 * A86 * (SQRT(Performance!$E$23)/(SQRT(3*Performance!$E$12 + 4* Performance!$E$23 * Performance!$E$11^2) - SQRT(Performance!$E$23)*Performance!$E$11)))</f>
        <v>8.4060864181681385</v>
      </c>
      <c r="J86">
        <f xml:space="preserve"> $AC$3/G86 + $AC$6/A86 * Performance!$E$12 + Performance!$E$23/Constraints!$AC$6 * Constraints!A86</f>
        <v>0.18351319088415646</v>
      </c>
      <c r="K86">
        <f xml:space="preserve"> $AC$3/H86 + $AC$6/A86 * Performance!$E$12 + Performance!$E$23/Constraints!$AC$6 * Constraints!A86</f>
        <v>0.77898212637437514</v>
      </c>
      <c r="L86">
        <f xml:space="preserve"> $AC$3/I86 + $AC$6/A86 * Performance!$E$12 + Performance!$E$23/Constraints!$AC$6 * Constraints!A86</f>
        <v>0.74759653476701271</v>
      </c>
      <c r="M86">
        <f>SIN($AC$9 * PI()/180) + 1/Performance!$AE$5</f>
        <v>0.24073077270730886</v>
      </c>
      <c r="N86">
        <f>SIN($AC$9 * PI()/180) + 1/Performance!$AE$8</f>
        <v>0.22738716112204788</v>
      </c>
      <c r="O86" s="60">
        <f>$AC$16 * (Performance!$E$12/Constraints!A86 + Performance!$E$23 * (Constraints!$AC$13/Constraints!$AC$17)^2 * Constraints!A86)</f>
        <v>6.0406790006799574E-4</v>
      </c>
      <c r="P86">
        <f t="shared" si="2"/>
        <v>4184.4631474388798</v>
      </c>
      <c r="Q86">
        <f t="shared" si="3"/>
        <v>16.766904169970161</v>
      </c>
      <c r="R86">
        <f t="shared" si="4"/>
        <v>18.553708297962327</v>
      </c>
      <c r="S86">
        <f xml:space="preserve"> 1.667/G86 + P86/A86 * Performance!$E$12 + Performance!$E$23 / Constraints!P86 * Constraints!A86</f>
        <v>3.0024836112728233</v>
      </c>
      <c r="T86">
        <f xml:space="preserve"> 1.667/H86 + Q86/A86 * Performance!$E$12 + Performance!$E$23 / Constraints!Q86 * Constraints!A86</f>
        <v>0.31452082880668186</v>
      </c>
      <c r="U86">
        <f xml:space="preserve"> 1.667/I86 + R86/A86 * Performance!$E$12 + Performance!$E$23 / Constraints!R86 * Constraints!A86</f>
        <v>0.29645143738514224</v>
      </c>
    </row>
    <row r="87" spans="1:21" x14ac:dyDescent="0.3">
      <c r="A87" s="51">
        <v>42.5</v>
      </c>
      <c r="B87" s="50">
        <f>$V$4*Performance!$E$12*(1/A87)+Performance!$E$23*(1/Constraints!$V$4)*Constraints!A87</f>
        <v>0.66990798195039813</v>
      </c>
      <c r="C87" s="50">
        <f>$V$5*Performance!$E$12*(1/A87)+Performance!$E$23*(1/Constraints!$V$5)*Constraints!A87</f>
        <v>1.0442427746827105</v>
      </c>
      <c r="D87" s="52">
        <f t="shared" ref="D87:D150" si="5">1.21/(9.8*$N$7*$N$8*$N$5)*A87+0.605/$N$8*($N$11-$N$6*$N$10)+$N$6</f>
        <v>0.27171928554427571</v>
      </c>
      <c r="E87" s="52">
        <f>$V$4*Performance!$E$12*(1/A87)+Performance!$E$23*(1/Constraints!$V$9)*Constraints!A87</f>
        <v>0.66971604514321015</v>
      </c>
      <c r="F87" s="52">
        <f xml:space="preserve"> 1.21 / (9.81 * Constraints!$N$7 * Performance!$E$15 * Constraints!$N$5 ) * Constraints!A87 + 0.605 /Performance!$E$15 * (Performance!$E$16  - Constraints!$N$6 * Performance!$E$14) + Constraints!$N$6</f>
        <v>0.27169569300039775</v>
      </c>
      <c r="G87">
        <f t="shared" ref="G87:G142" si="6">69.952 + 1.3402*A87</f>
        <v>126.9105</v>
      </c>
      <c r="H87" s="55">
        <f>SQRT(2/$V$3 * A87 * SQRT(Performance!$E$23 / (3 * Performance!$E$12)))</f>
        <v>8.0384950593668947</v>
      </c>
      <c r="I87" s="55">
        <f>SQRT(2/$V$3 * A87 * (SQRT(Performance!$E$23)/(SQRT(3*Performance!$E$12 + 4* Performance!$E$23 * Performance!$E$11^2) - SQRT(Performance!$E$23)*Performance!$E$11)))</f>
        <v>8.4559746093723724</v>
      </c>
      <c r="J87">
        <f xml:space="preserve"> $AC$3/G87 + $AC$6/A87 * Performance!$E$12 + Performance!$E$23/Constraints!$AC$6 * Constraints!A87</f>
        <v>0.1848089973612955</v>
      </c>
      <c r="K87">
        <f xml:space="preserve"> $AC$3/H87 + $AC$6/A87 * Performance!$E$12 + Performance!$E$23/Constraints!$AC$6 * Constraints!A87</f>
        <v>0.77673987568315406</v>
      </c>
      <c r="L87">
        <f xml:space="preserve"> $AC$3/I87 + $AC$6/A87 * Performance!$E$12 + Performance!$E$23/Constraints!$AC$6 * Constraints!A87</f>
        <v>0.74553945142402722</v>
      </c>
      <c r="M87">
        <f>SIN($AC$9 * PI()/180) + 1/Performance!$AE$5</f>
        <v>0.24073077270730886</v>
      </c>
      <c r="N87">
        <f>SIN($AC$9 * PI()/180) + 1/Performance!$AE$8</f>
        <v>0.22738716112204788</v>
      </c>
      <c r="O87" s="60">
        <f>$AC$16 * (Performance!$E$12/Constraints!A87 + Performance!$E$23 * (Constraints!$AC$13/Constraints!$AC$17)^2 * Constraints!A87)</f>
        <v>5.9741072992611449E-4</v>
      </c>
      <c r="P87">
        <f t="shared" ref="P87:P150" si="7" xml:space="preserve"> 0.5 * $AJ$4 * G87^2</f>
        <v>4229.0043683404037</v>
      </c>
      <c r="Q87">
        <f t="shared" ref="Q87:Q150" si="8" xml:space="preserve"> 0.5 * $AJ$4 * H87^2</f>
        <v>16.966510171993612</v>
      </c>
      <c r="R87">
        <f t="shared" ref="R87:R150" si="9" xml:space="preserve"> 0.5 * $AJ$4 * I87^2</f>
        <v>18.774585777699969</v>
      </c>
      <c r="S87">
        <f xml:space="preserve"> 1.667/G87 + P87/A87 * Performance!$E$12 + Performance!$E$23 / Constraints!P87 * Constraints!A87</f>
        <v>2.9986916630965768</v>
      </c>
      <c r="T87">
        <f xml:space="preserve"> 1.667/H87 + Q87/A87 * Performance!$E$12 + Performance!$E$23 / Constraints!Q87 * Constraints!A87</f>
        <v>0.31329009322041912</v>
      </c>
      <c r="U87">
        <f xml:space="preserve"> 1.667/I87 + R87/A87 * Performance!$E$12 + Performance!$E$23 / Constraints!R87 * Constraints!A87</f>
        <v>0.29528146439130248</v>
      </c>
    </row>
    <row r="88" spans="1:21" x14ac:dyDescent="0.3">
      <c r="A88" s="51">
        <v>43</v>
      </c>
      <c r="B88" s="50">
        <f>$V$4*Performance!$E$12*(1/A88)+Performance!$E$23*(1/Constraints!$V$4)*Constraints!A88</f>
        <v>0.66215773791838051</v>
      </c>
      <c r="C88" s="50">
        <f>$V$5*Performance!$E$12*(1/A88)+Performance!$E$23*(1/Constraints!$V$5)*Constraints!A88</f>
        <v>1.0321256450066099</v>
      </c>
      <c r="D88" s="52">
        <f t="shared" si="5"/>
        <v>0.27199157125656132</v>
      </c>
      <c r="E88" s="52">
        <f>$V$4*Performance!$E$12*(1/A88)+Performance!$E$23*(1/Constraints!$V$9)*Constraints!A88</f>
        <v>0.66196354303110794</v>
      </c>
      <c r="F88" s="52">
        <f xml:space="preserve"> 1.21 / (9.81 * Constraints!$N$7 * Performance!$E$15 * Constraints!$N$5 ) * Constraints!A88 + 0.605 /Performance!$E$15 * (Performance!$E$16  - Constraints!$N$6 * Performance!$E$14) + Constraints!$N$6</f>
        <v>0.27196770115334362</v>
      </c>
      <c r="G88">
        <f t="shared" si="6"/>
        <v>127.5806</v>
      </c>
      <c r="H88" s="55">
        <f>SQRT(2/$V$3 * A88 * SQRT(Performance!$E$23 / (3 * Performance!$E$12)))</f>
        <v>8.0856420622309599</v>
      </c>
      <c r="I88" s="55">
        <f>SQRT(2/$V$3 * A88 * (SQRT(Performance!$E$23)/(SQRT(3*Performance!$E$12 + 4* Performance!$E$23 * Performance!$E$11^2) - SQRT(Performance!$E$23)*Performance!$E$11)))</f>
        <v>8.5055701936430843</v>
      </c>
      <c r="J88">
        <f xml:space="preserve"> $AC$3/G88 + $AC$6/A88 * Performance!$E$12 + Performance!$E$23/Constraints!$AC$6 * Constraints!A88</f>
        <v>0.18610931694662852</v>
      </c>
      <c r="K88">
        <f xml:space="preserve"> $AC$3/H88 + $AC$6/A88 * Performance!$E$12 + Performance!$E$23/Constraints!$AC$6 * Constraints!A88</f>
        <v>0.77456551402014029</v>
      </c>
      <c r="L88">
        <f xml:space="preserve"> $AC$3/I88 + $AC$6/A88 * Performance!$E$12 + Performance!$E$23/Constraints!$AC$6 * Constraints!A88</f>
        <v>0.74354701798397782</v>
      </c>
      <c r="M88">
        <f>SIN($AC$9 * PI()/180) + 1/Performance!$AE$5</f>
        <v>0.24073077270730886</v>
      </c>
      <c r="N88">
        <f>SIN($AC$9 * PI()/180) + 1/Performance!$AE$8</f>
        <v>0.22738716112204788</v>
      </c>
      <c r="O88" s="60">
        <f>$AC$16 * (Performance!$E$12/Constraints!A88 + Performance!$E$23 * (Constraints!$AC$13/Constraints!$AC$17)^2 * Constraints!A88)</f>
        <v>5.9091363549525384E-4</v>
      </c>
      <c r="P88">
        <f t="shared" si="7"/>
        <v>4273.7813938322024</v>
      </c>
      <c r="Q88">
        <f t="shared" si="8"/>
        <v>17.16611617401707</v>
      </c>
      <c r="R88">
        <f t="shared" si="9"/>
        <v>18.995463257437613</v>
      </c>
      <c r="S88">
        <f xml:space="preserve"> 1.667/G88 + P88/A88 * Performance!$E$12 + Performance!$E$23 / Constraints!P88 * Constraints!A88</f>
        <v>2.9951515058543832</v>
      </c>
      <c r="T88">
        <f xml:space="preserve"> 1.667/H88 + Q88/A88 * Performance!$E$12 + Performance!$E$23 / Constraints!Q88 * Constraints!A88</f>
        <v>0.31208088684423674</v>
      </c>
      <c r="U88">
        <f xml:space="preserve"> 1.667/I88 + R88/A88 * Performance!$E$12 + Performance!$E$23 / Constraints!R88 * Constraints!A88</f>
        <v>0.29413195768986056</v>
      </c>
    </row>
    <row r="89" spans="1:21" x14ac:dyDescent="0.3">
      <c r="A89" s="51">
        <v>43.5</v>
      </c>
      <c r="B89" s="50">
        <f>$V$4*Performance!$E$12*(1/A89)+Performance!$E$23*(1/Constraints!$V$4)*Constraints!A89</f>
        <v>0.65458611574892567</v>
      </c>
      <c r="C89" s="50">
        <f>$V$5*Performance!$E$12*(1/A89)+Performance!$E$23*(1/Constraints!$V$5)*Constraints!A89</f>
        <v>1.0202873617104447</v>
      </c>
      <c r="D89" s="52">
        <f t="shared" si="5"/>
        <v>0.27226385696884692</v>
      </c>
      <c r="E89" s="52">
        <f>$V$4*Performance!$E$12*(1/A89)+Performance!$E$23*(1/Constraints!$V$9)*Constraints!A89</f>
        <v>0.6543896627815684</v>
      </c>
      <c r="F89" s="52">
        <f xml:space="preserve"> 1.21 / (9.81 * Constraints!$N$7 * Performance!$E$15 * Constraints!$N$5 ) * Constraints!A89 + 0.605 /Performance!$E$15 * (Performance!$E$16  - Constraints!$N$6 * Performance!$E$14) + Constraints!$N$6</f>
        <v>0.27223970930628949</v>
      </c>
      <c r="G89">
        <f t="shared" si="6"/>
        <v>128.25069999999999</v>
      </c>
      <c r="H89" s="55">
        <f>SQRT(2/$V$3 * A89 * SQRT(Performance!$E$23 / (3 * Performance!$E$12)))</f>
        <v>8.1325157422270671</v>
      </c>
      <c r="I89" s="55">
        <f>SQRT(2/$V$3 * A89 * (SQRT(Performance!$E$23)/(SQRT(3*Performance!$E$12 + 4* Performance!$E$23 * Performance!$E$11^2) - SQRT(Performance!$E$23)*Performance!$E$11)))</f>
        <v>8.5548782600121829</v>
      </c>
      <c r="J89">
        <f xml:space="preserve"> $AC$3/G89 + $AC$6/A89 * Performance!$E$12 + Performance!$E$23/Constraints!$AC$6 * Constraints!A89</f>
        <v>0.18741403599499518</v>
      </c>
      <c r="K89">
        <f xml:space="preserve"> $AC$3/H89 + $AC$6/A89 * Performance!$E$12 + Performance!$E$23/Constraints!$AC$6 * Constraints!A89</f>
        <v>0.77245707197104352</v>
      </c>
      <c r="L89">
        <f xml:space="preserve"> $AC$3/I89 + $AC$6/A89 * Performance!$E$12 + Performance!$E$23/Constraints!$AC$6 * Constraints!A89</f>
        <v>0.74161735838095844</v>
      </c>
      <c r="M89">
        <f>SIN($AC$9 * PI()/180) + 1/Performance!$AE$5</f>
        <v>0.24073077270730886</v>
      </c>
      <c r="N89">
        <f>SIN($AC$9 * PI()/180) + 1/Performance!$AE$8</f>
        <v>0.22738716112204788</v>
      </c>
      <c r="O89" s="60">
        <f>$AC$16 * (Performance!$E$12/Constraints!A89 + Performance!$E$23 * (Constraints!$AC$13/Constraints!$AC$17)^2 * Constraints!A89)</f>
        <v>5.8457109692330942E-4</v>
      </c>
      <c r="P89">
        <f t="shared" si="7"/>
        <v>4318.7942239142749</v>
      </c>
      <c r="Q89">
        <f t="shared" si="8"/>
        <v>17.365722176040521</v>
      </c>
      <c r="R89">
        <f t="shared" si="9"/>
        <v>19.216340737175262</v>
      </c>
      <c r="S89">
        <f xml:space="preserve"> 1.667/G89 + P89/A89 * Performance!$E$12 + Performance!$E$23 / Constraints!P89 * Constraints!A89</f>
        <v>2.9918544707004373</v>
      </c>
      <c r="T89">
        <f xml:space="preserve"> 1.667/H89 + Q89/A89 * Performance!$E$12 + Performance!$E$23 / Constraints!Q89 * Constraints!A89</f>
        <v>0.31089258922760377</v>
      </c>
      <c r="U89">
        <f xml:space="preserve"> 1.667/I89 + R89/A89 * Performance!$E$12 + Performance!$E$23 / Constraints!R89 * Constraints!A89</f>
        <v>0.29300232746252108</v>
      </c>
    </row>
    <row r="90" spans="1:21" x14ac:dyDescent="0.3">
      <c r="A90" s="51">
        <v>44</v>
      </c>
      <c r="B90" s="50">
        <f>$V$4*Performance!$E$12*(1/A90)+Performance!$E$23*(1/Constraints!$V$4)*Constraints!A90</f>
        <v>0.64718702606035505</v>
      </c>
      <c r="C90" s="50">
        <f>$V$5*Performance!$E$12*(1/A90)+Performance!$E$23*(1/Constraints!$V$5)*Constraints!A90</f>
        <v>1.0087184186676266</v>
      </c>
      <c r="D90" s="52">
        <f t="shared" si="5"/>
        <v>0.27253614268113252</v>
      </c>
      <c r="E90" s="52">
        <f>$V$4*Performance!$E$12*(1/A90)+Performance!$E$23*(1/Constraints!$V$9)*Constraints!A90</f>
        <v>0.64698831501291321</v>
      </c>
      <c r="F90" s="52">
        <f xml:space="preserve"> 1.21 / (9.81 * Constraints!$N$7 * Performance!$E$15 * Constraints!$N$5 ) * Constraints!A90 + 0.605 /Performance!$E$15 * (Performance!$E$16  - Constraints!$N$6 * Performance!$E$14) + Constraints!$N$6</f>
        <v>0.27251171745923536</v>
      </c>
      <c r="G90">
        <f t="shared" si="6"/>
        <v>128.92079999999999</v>
      </c>
      <c r="H90" s="55">
        <f>SQRT(2/$V$3 * A90 * SQRT(Performance!$E$23 / (3 * Performance!$E$12)))</f>
        <v>8.1791207985102901</v>
      </c>
      <c r="I90" s="55">
        <f>SQRT(2/$V$3 * A90 * (SQRT(Performance!$E$23)/(SQRT(3*Performance!$E$12 + 4* Performance!$E$23 * Performance!$E$11^2) - SQRT(Performance!$E$23)*Performance!$E$11)))</f>
        <v>8.6039037516855394</v>
      </c>
      <c r="J90">
        <f xml:space="preserve"> $AC$3/G90 + $AC$6/A90 * Performance!$E$12 + Performance!$E$23/Constraints!$AC$6 * Constraints!A90</f>
        <v>0.18872304516404903</v>
      </c>
      <c r="K90">
        <f xml:space="preserve"> $AC$3/H90 + $AC$6/A90 * Performance!$E$12 + Performance!$E$23/Constraints!$AC$6 * Constraints!A90</f>
        <v>0.77041265911359769</v>
      </c>
      <c r="L90">
        <f xml:space="preserve"> $AC$3/I90 + $AC$6/A90 * Performance!$E$12 + Performance!$E$23/Constraints!$AC$6 * Constraints!A90</f>
        <v>0.73974867181769899</v>
      </c>
      <c r="M90">
        <f>SIN($AC$9 * PI()/180) + 1/Performance!$AE$5</f>
        <v>0.24073077270730886</v>
      </c>
      <c r="N90">
        <f>SIN($AC$9 * PI()/180) + 1/Performance!$AE$8</f>
        <v>0.22738716112204788</v>
      </c>
      <c r="O90" s="60">
        <f>$AC$16 * (Performance!$E$12/Constraints!A90 + Performance!$E$23 * (Constraints!$AC$13/Constraints!$AC$17)^2 * Constraints!A90)</f>
        <v>5.7837784526054551E-4</v>
      </c>
      <c r="P90">
        <f t="shared" si="7"/>
        <v>4364.0428585866221</v>
      </c>
      <c r="Q90">
        <f t="shared" si="8"/>
        <v>17.565328178063975</v>
      </c>
      <c r="R90">
        <f t="shared" si="9"/>
        <v>19.437218216912914</v>
      </c>
      <c r="S90">
        <f xml:space="preserve"> 1.667/G90 + P90/A90 * Performance!$E$12 + Performance!$E$23 / Constraints!P90 * Constraints!A90</f>
        <v>2.9887922825576556</v>
      </c>
      <c r="T90">
        <f xml:space="preserve"> 1.667/H90 + Q90/A90 * Performance!$E$12 + Performance!$E$23 / Constraints!Q90 * Constraints!A90</f>
        <v>0.30972460466791862</v>
      </c>
      <c r="U90">
        <f xml:space="preserve"> 1.667/I90 + R90/A90 * Performance!$E$12 + Performance!$E$23 / Constraints!R90 * Constraints!A90</f>
        <v>0.29189200741708954</v>
      </c>
    </row>
    <row r="91" spans="1:21" x14ac:dyDescent="0.3">
      <c r="A91" s="51">
        <v>44.5</v>
      </c>
      <c r="B91" s="50">
        <f>$V$4*Performance!$E$12*(1/A91)+Performance!$E$23*(1/Constraints!$V$4)*Constraints!A91</f>
        <v>0.63995465315106581</v>
      </c>
      <c r="C91" s="50">
        <f>$V$5*Performance!$E$12*(1/A91)+Performance!$E$23*(1/Constraints!$V$5)*Constraints!A91</f>
        <v>0.99740973699321067</v>
      </c>
      <c r="D91" s="52">
        <f t="shared" si="5"/>
        <v>0.27280842839341812</v>
      </c>
      <c r="E91" s="52">
        <f>$V$4*Performance!$E$12*(1/A91)+Performance!$E$23*(1/Constraints!$V$9)*Constraints!A91</f>
        <v>0.63975368402353938</v>
      </c>
      <c r="F91" s="52">
        <f xml:space="preserve"> 1.21 / (9.81 * Constraints!$N$7 * Performance!$E$15 * Constraints!$N$5 ) * Constraints!A91 + 0.605 /Performance!$E$15 * (Performance!$E$16  - Constraints!$N$6 * Performance!$E$14) + Constraints!$N$6</f>
        <v>0.27278372561218123</v>
      </c>
      <c r="G91">
        <f t="shared" si="6"/>
        <v>129.5909</v>
      </c>
      <c r="H91" s="55">
        <f>SQRT(2/$V$3 * A91 * SQRT(Performance!$E$23 / (3 * Performance!$E$12)))</f>
        <v>8.2254617971075739</v>
      </c>
      <c r="I91" s="55">
        <f>SQRT(2/$V$3 * A91 * (SQRT(Performance!$E$23)/(SQRT(3*Performance!$E$12 + 4* Performance!$E$23 * Performance!$E$11^2) - SQRT(Performance!$E$23)*Performance!$E$11)))</f>
        <v>8.6526514718268821</v>
      </c>
      <c r="J91">
        <f xml:space="preserve"> $AC$3/G91 + $AC$6/A91 * Performance!$E$12 + Performance!$E$23/Constraints!$AC$6 * Constraints!A91</f>
        <v>0.19003623919458507</v>
      </c>
      <c r="K91">
        <f xml:space="preserve"> $AC$3/H91 + $AC$6/A91 * Performance!$E$12 + Performance!$E$23/Constraints!$AC$6 * Constraints!A91</f>
        <v>0.76843045999264192</v>
      </c>
      <c r="L91">
        <f xml:space="preserve"> $AC$3/I91 + $AC$6/A91 * Performance!$E$12 + Performance!$E$23/Constraints!$AC$6 * Constraints!A91</f>
        <v>0.73793922892944086</v>
      </c>
      <c r="M91">
        <f>SIN($AC$9 * PI()/180) + 1/Performance!$AE$5</f>
        <v>0.24073077270730886</v>
      </c>
      <c r="N91">
        <f>SIN($AC$9 * PI()/180) + 1/Performance!$AE$8</f>
        <v>0.22738716112204788</v>
      </c>
      <c r="O91" s="60">
        <f>$AC$16 * (Performance!$E$12/Constraints!A91 + Performance!$E$23 * (Constraints!$AC$13/Constraints!$AC$17)^2 * Constraints!A91)</f>
        <v>5.7232884836395633E-4</v>
      </c>
      <c r="P91">
        <f t="shared" si="7"/>
        <v>4409.5272978492467</v>
      </c>
      <c r="Q91">
        <f t="shared" si="8"/>
        <v>17.764934180087433</v>
      </c>
      <c r="R91">
        <f t="shared" si="9"/>
        <v>19.658095696650555</v>
      </c>
      <c r="S91">
        <f xml:space="preserve"> 1.667/G91 + P91/A91 * Performance!$E$12 + Performance!$E$23 / Constraints!P91 * Constraints!A91</f>
        <v>2.9859570380024789</v>
      </c>
      <c r="T91">
        <f xml:space="preserve"> 1.667/H91 + Q91/A91 * Performance!$E$12 + Performance!$E$23 / Constraints!Q91 * Constraints!A91</f>
        <v>0.30857636095564722</v>
      </c>
      <c r="U91">
        <f xml:space="preserve"> 1.667/I91 + R91/A91 * Performance!$E$12 + Performance!$E$23 / Constraints!R91 * Constraints!A91</f>
        <v>0.29080045359456369</v>
      </c>
    </row>
    <row r="92" spans="1:21" x14ac:dyDescent="0.3">
      <c r="A92" s="51">
        <v>45</v>
      </c>
      <c r="B92" s="50">
        <f>$V$4*Performance!$E$12*(1/A92)+Performance!$E$23*(1/Constraints!$V$4)*Constraints!A92</f>
        <v>0.63288343979508221</v>
      </c>
      <c r="C92" s="50">
        <f>$V$5*Performance!$E$12*(1/A92)+Performance!$E$23*(1/Constraints!$V$5)*Constraints!A92</f>
        <v>0.98635264130825107</v>
      </c>
      <c r="D92" s="52">
        <f t="shared" si="5"/>
        <v>0.27308071410570373</v>
      </c>
      <c r="E92" s="52">
        <f>$V$4*Performance!$E$12*(1/A92)+Performance!$E$23*(1/Constraints!$V$9)*Constraints!A92</f>
        <v>0.63268021258747131</v>
      </c>
      <c r="F92" s="52">
        <f xml:space="preserve"> 1.21 / (9.81 * Constraints!$N$7 * Performance!$E$15 * Constraints!$N$5 ) * Constraints!A92 + 0.605 /Performance!$E$15 * (Performance!$E$16  - Constraints!$N$6 * Performance!$E$14) + Constraints!$N$6</f>
        <v>0.27305573376512704</v>
      </c>
      <c r="G92">
        <f t="shared" si="6"/>
        <v>130.261</v>
      </c>
      <c r="H92" s="55">
        <f>SQRT(2/$V$3 * A92 * SQRT(Performance!$E$23 / (3 * Performance!$E$12)))</f>
        <v>8.2715431761388203</v>
      </c>
      <c r="I92" s="55">
        <f>SQRT(2/$V$3 * A92 * (SQRT(Performance!$E$23)/(SQRT(3*Performance!$E$12 + 4* Performance!$E$23 * Performance!$E$11^2) - SQRT(Performance!$E$23)*Performance!$E$11)))</f>
        <v>8.7011260890500441</v>
      </c>
      <c r="J92">
        <f xml:space="preserve"> $AC$3/G92 + $AC$6/A92 * Performance!$E$12 + Performance!$E$23/Constraints!$AC$6 * Constraints!A92</f>
        <v>0.1913535167048383</v>
      </c>
      <c r="K92">
        <f xml:space="preserve"> $AC$3/H92 + $AC$6/A92 * Performance!$E$12 + Performance!$E$23/Constraints!$AC$6 * Constraints!A92</f>
        <v>0.7665087303429412</v>
      </c>
      <c r="L92">
        <f xml:space="preserve"> $AC$3/I92 + $AC$6/A92 * Performance!$E$12 + Performance!$E$23/Constraints!$AC$6 * Constraints!A92</f>
        <v>0.73618736818398589</v>
      </c>
      <c r="M92">
        <f>SIN($AC$9 * PI()/180) + 1/Performance!$AE$5</f>
        <v>0.24073077270730886</v>
      </c>
      <c r="N92">
        <f>SIN($AC$9 * PI()/180) + 1/Performance!$AE$8</f>
        <v>0.22738716112204788</v>
      </c>
      <c r="O92" s="60">
        <f>$AC$16 * (Performance!$E$12/Constraints!A92 + Performance!$E$23 * (Constraints!$AC$13/Constraints!$AC$17)^2 * Constraints!A92)</f>
        <v>5.6641929774133557E-4</v>
      </c>
      <c r="P92">
        <f t="shared" si="7"/>
        <v>4455.2475417021433</v>
      </c>
      <c r="Q92">
        <f t="shared" si="8"/>
        <v>17.964540182110884</v>
      </c>
      <c r="R92">
        <f t="shared" si="9"/>
        <v>19.8789731763882</v>
      </c>
      <c r="S92">
        <f xml:space="preserve"> 1.667/G92 + P92/A92 * Performance!$E$12 + Performance!$E$23 / Constraints!P92 * Constraints!A92</f>
        <v>2.9833411846238271</v>
      </c>
      <c r="T92">
        <f xml:space="preserve"> 1.667/H92 + Q92/A92 * Performance!$E$12 + Performance!$E$23 / Constraints!Q92 * Constraints!A92</f>
        <v>0.30744730819636346</v>
      </c>
      <c r="U92">
        <f xml:space="preserve"> 1.667/I92 + R92/A92 * Performance!$E$12 + Performance!$E$23 / Constraints!R92 * Constraints!A92</f>
        <v>0.28972714324933069</v>
      </c>
    </row>
    <row r="93" spans="1:21" x14ac:dyDescent="0.3">
      <c r="A93" s="51">
        <v>45.5</v>
      </c>
      <c r="B93" s="50">
        <f>$V$4*Performance!$E$12*(1/A93)+Performance!$E$23*(1/Constraints!$V$4)*Constraints!A93</f>
        <v>0.62596807304009716</v>
      </c>
      <c r="C93" s="50">
        <f>$V$5*Performance!$E$12*(1/A93)+Performance!$E$23*(1/Constraints!$V$5)*Constraints!A93</f>
        <v>0.97553883756913884</v>
      </c>
      <c r="D93" s="52">
        <f t="shared" si="5"/>
        <v>0.27335299981798933</v>
      </c>
      <c r="E93" s="52">
        <f>$V$4*Performance!$E$12*(1/A93)+Performance!$E$23*(1/Constraints!$V$9)*Constraints!A93</f>
        <v>0.62576258775240168</v>
      </c>
      <c r="F93" s="52">
        <f xml:space="preserve"> 1.21 / (9.81 * Constraints!$N$7 * Performance!$E$15 * Constraints!$N$5 ) * Constraints!A93 + 0.605 /Performance!$E$15 * (Performance!$E$16  - Constraints!$N$6 * Performance!$E$14) + Constraints!$N$6</f>
        <v>0.27332774191807291</v>
      </c>
      <c r="G93">
        <f t="shared" si="6"/>
        <v>130.93110000000001</v>
      </c>
      <c r="H93" s="55">
        <f>SQRT(2/$V$3 * A93 * SQRT(Performance!$E$23 / (3 * Performance!$E$12)))</f>
        <v>8.3173692507776291</v>
      </c>
      <c r="I93" s="55">
        <f>SQRT(2/$V$3 * A93 * (SQRT(Performance!$E$23)/(SQRT(3*Performance!$E$12 + 4* Performance!$E$23 * Performance!$E$11^2) - SQRT(Performance!$E$23)*Performance!$E$11)))</f>
        <v>8.7493321426373303</v>
      </c>
      <c r="J93">
        <f xml:space="preserve"> $AC$3/G93 + $AC$6/A93 * Performance!$E$12 + Performance!$E$23/Constraints!$AC$6 * Constraints!A93</f>
        <v>0.19267477999770372</v>
      </c>
      <c r="K93">
        <f xml:space="preserve"> $AC$3/H93 + $AC$6/A93 * Performance!$E$12 + Performance!$E$23/Constraints!$AC$6 * Constraints!A93</f>
        <v>0.76464579354193329</v>
      </c>
      <c r="L93">
        <f xml:space="preserve"> $AC$3/I93 + $AC$6/A93 * Performance!$E$12 + Performance!$E$23/Constraints!$AC$6 * Constraints!A93</f>
        <v>0.73449149250092893</v>
      </c>
      <c r="M93">
        <f>SIN($AC$9 * PI()/180) + 1/Performance!$AE$5</f>
        <v>0.24073077270730886</v>
      </c>
      <c r="N93">
        <f>SIN($AC$9 * PI()/180) + 1/Performance!$AE$8</f>
        <v>0.22738716112204788</v>
      </c>
      <c r="O93" s="60">
        <f>$AC$16 * (Performance!$E$12/Constraints!A93 + Performance!$E$23 * (Constraints!$AC$13/Constraints!$AC$17)^2 * Constraints!A93)</f>
        <v>5.6064459626277256E-4</v>
      </c>
      <c r="P93">
        <f t="shared" si="7"/>
        <v>4501.2035901453173</v>
      </c>
      <c r="Q93">
        <f t="shared" si="8"/>
        <v>18.164146184134339</v>
      </c>
      <c r="R93">
        <f t="shared" si="9"/>
        <v>20.099850656125849</v>
      </c>
      <c r="S93">
        <f xml:space="preserve"> 1.667/G93 + P93/A93 * Performance!$E$12 + Performance!$E$23 / Constraints!P93 * Constraints!A93</f>
        <v>2.9809375017428303</v>
      </c>
      <c r="T93">
        <f xml:space="preserve"> 1.667/H93 + Q93/A93 * Performance!$E$12 + Performance!$E$23 / Constraints!Q93 * Constraints!A93</f>
        <v>0.30633691770418309</v>
      </c>
      <c r="U93">
        <f xml:space="preserve"> 1.667/I93 + R93/A93 * Performance!$E$12 + Performance!$E$23 / Constraints!R93 * Constraints!A93</f>
        <v>0.28867157379723379</v>
      </c>
    </row>
    <row r="94" spans="1:21" x14ac:dyDescent="0.3">
      <c r="A94" s="51">
        <v>46</v>
      </c>
      <c r="B94" s="50">
        <f>$V$4*Performance!$E$12*(1/A94)+Performance!$E$23*(1/Constraints!$V$4)*Constraints!A94</f>
        <v>0.61920347093173023</v>
      </c>
      <c r="C94" s="50">
        <f>$V$5*Performance!$E$12*(1/A94)+Performance!$E$23*(1/Constraints!$V$5)*Constraints!A94</f>
        <v>0.96496039234285713</v>
      </c>
      <c r="D94" s="52">
        <f t="shared" si="5"/>
        <v>0.27362528553027493</v>
      </c>
      <c r="E94" s="52">
        <f>$V$4*Performance!$E$12*(1/A94)+Performance!$E$23*(1/Constraints!$V$9)*Constraints!A94</f>
        <v>0.61899572756395016</v>
      </c>
      <c r="F94" s="52">
        <f xml:space="preserve"> 1.21 / (9.81 * Constraints!$N$7 * Performance!$E$15 * Constraints!$N$5 ) * Constraints!A94 + 0.605 /Performance!$E$15 * (Performance!$E$16  - Constraints!$N$6 * Performance!$E$14) + Constraints!$N$6</f>
        <v>0.27359975007101878</v>
      </c>
      <c r="G94">
        <f t="shared" si="6"/>
        <v>131.60120000000001</v>
      </c>
      <c r="H94" s="55">
        <f>SQRT(2/$V$3 * A94 * SQRT(Performance!$E$23 / (3 * Performance!$E$12)))</f>
        <v>8.3629442179673639</v>
      </c>
      <c r="I94" s="55">
        <f>SQRT(2/$V$3 * A94 * (SQRT(Performance!$E$23)/(SQRT(3*Performance!$E$12 + 4* Performance!$E$23 * Performance!$E$11^2) - SQRT(Performance!$E$23)*Performance!$E$11)))</f>
        <v>8.7972740475005189</v>
      </c>
      <c r="J94">
        <f xml:space="preserve"> $AC$3/G94 + $AC$6/A94 * Performance!$E$12 + Performance!$E$23/Constraints!$AC$6 * Constraints!A94</f>
        <v>0.19399993487991585</v>
      </c>
      <c r="K94">
        <f xml:space="preserve"> $AC$3/H94 + $AC$6/A94 * Performance!$E$12 + Performance!$E$23/Constraints!$AC$6 * Constraints!A94</f>
        <v>0.7628400372760481</v>
      </c>
      <c r="L94">
        <f xml:space="preserve"> $AC$3/I94 + $AC$6/A94 * Performance!$E$12 + Performance!$E$23/Constraints!$AC$6 * Constraints!A94</f>
        <v>0.73285006607448255</v>
      </c>
      <c r="M94">
        <f>SIN($AC$9 * PI()/180) + 1/Performance!$AE$5</f>
        <v>0.24073077270730886</v>
      </c>
      <c r="N94">
        <f>SIN($AC$9 * PI()/180) + 1/Performance!$AE$8</f>
        <v>0.22738716112204788</v>
      </c>
      <c r="O94" s="60">
        <f>$AC$16 * (Performance!$E$12/Constraints!A94 + Performance!$E$23 * (Constraints!$AC$13/Constraints!$AC$17)^2 * Constraints!A94)</f>
        <v>5.5500034667356945E-4</v>
      </c>
      <c r="P94">
        <f t="shared" si="7"/>
        <v>4547.3954431787643</v>
      </c>
      <c r="Q94">
        <f t="shared" si="8"/>
        <v>18.363752186157789</v>
      </c>
      <c r="R94">
        <f t="shared" si="9"/>
        <v>20.320728135863497</v>
      </c>
      <c r="S94">
        <f xml:space="preserve"> 1.667/G94 + P94/A94 * Performance!$E$12 + Performance!$E$23 / Constraints!P94 * Constraints!A94</f>
        <v>2.9787390823897688</v>
      </c>
      <c r="T94">
        <f xml:space="preserve"> 1.667/H94 + Q94/A94 * Performance!$E$12 + Performance!$E$23 / Constraints!Q94 * Constraints!A94</f>
        <v>0.30524468096153362</v>
      </c>
      <c r="U94">
        <f xml:space="preserve"> 1.667/I94 + R94/A94 * Performance!$E$12 + Performance!$E$23 / Constraints!R94 * Constraints!A94</f>
        <v>0.28763326182669935</v>
      </c>
    </row>
    <row r="95" spans="1:21" x14ac:dyDescent="0.3">
      <c r="A95" s="51">
        <v>46.5</v>
      </c>
      <c r="B95" s="50">
        <f>$V$4*Performance!$E$12*(1/A95)+Performance!$E$23*(1/Constraints!$V$4)*Constraints!A95</f>
        <v>0.61258477009428447</v>
      </c>
      <c r="C95" s="50">
        <f>$V$5*Performance!$E$12*(1/A95)+Performance!$E$23*(1/Constraints!$V$5)*Constraints!A95</f>
        <v>0.95460971341931511</v>
      </c>
      <c r="D95" s="52">
        <f t="shared" si="5"/>
        <v>0.27389757124256053</v>
      </c>
      <c r="E95" s="52">
        <f>$V$4*Performance!$E$12*(1/A95)+Performance!$E$23*(1/Constraints!$V$9)*Constraints!A95</f>
        <v>0.61237476864641982</v>
      </c>
      <c r="F95" s="52">
        <f xml:space="preserve"> 1.21 / (9.81 * Constraints!$N$7 * Performance!$E$15 * Constraints!$N$5 ) * Constraints!A95 + 0.605 /Performance!$E$15 * (Performance!$E$16  - Constraints!$N$6 * Performance!$E$14) + Constraints!$N$6</f>
        <v>0.27387175822396465</v>
      </c>
      <c r="G95">
        <f t="shared" si="6"/>
        <v>132.2713</v>
      </c>
      <c r="H95" s="55">
        <f>SQRT(2/$V$3 * A95 * SQRT(Performance!$E$23 / (3 * Performance!$E$12)))</f>
        <v>8.4082721609071562</v>
      </c>
      <c r="I95" s="55">
        <f>SQRT(2/$V$3 * A95 * (SQRT(Performance!$E$23)/(SQRT(3*Performance!$E$12 + 4* Performance!$E$23 * Performance!$E$11^2) - SQRT(Performance!$E$23)*Performance!$E$11)))</f>
        <v>8.8449560988998464</v>
      </c>
      <c r="J95">
        <f xml:space="preserve"> $AC$3/G95 + $AC$6/A95 * Performance!$E$12 + Performance!$E$23/Constraints!$AC$6 * Constraints!A95</f>
        <v>0.19532889049231025</v>
      </c>
      <c r="K95">
        <f xml:space="preserve"> $AC$3/H95 + $AC$6/A95 * Performance!$E$12 + Performance!$E$23/Constraints!$AC$6 * Constraints!A95</f>
        <v>0.76108991040557328</v>
      </c>
      <c r="L95">
        <f xml:space="preserve"> $AC$3/I95 + $AC$6/A95 * Performance!$E$12 + Performance!$E$23/Constraints!$AC$6 * Constraints!A95</f>
        <v>0.73126161138556611</v>
      </c>
      <c r="M95">
        <f>SIN($AC$9 * PI()/180) + 1/Performance!$AE$5</f>
        <v>0.24073077270730886</v>
      </c>
      <c r="N95">
        <f>SIN($AC$9 * PI()/180) + 1/Performance!$AE$8</f>
        <v>0.22738716112204788</v>
      </c>
      <c r="O95" s="60">
        <f>$AC$16 * (Performance!$E$12/Constraints!A95 + Performance!$E$23 * (Constraints!$AC$13/Constraints!$AC$17)^2 * Constraints!A95)</f>
        <v>5.4948234084826336E-4</v>
      </c>
      <c r="P95">
        <f t="shared" si="7"/>
        <v>4593.8231008024859</v>
      </c>
      <c r="Q95">
        <f t="shared" si="8"/>
        <v>18.563358188181244</v>
      </c>
      <c r="R95">
        <f t="shared" si="9"/>
        <v>20.541605615601149</v>
      </c>
      <c r="S95">
        <f xml:space="preserve"> 1.667/G95 + P95/A95 * Performance!$E$12 + Performance!$E$23 / Constraints!P95 * Constraints!A95</f>
        <v>2.9767393164436378</v>
      </c>
      <c r="T95">
        <f xml:space="preserve"> 1.667/H95 + Q95/A95 * Performance!$E$12 + Performance!$E$23 / Constraints!Q95 * Constraints!A95</f>
        <v>0.3041701086406115</v>
      </c>
      <c r="U95">
        <f xml:space="preserve"> 1.667/I95 + R95/A95 * Performance!$E$12 + Performance!$E$23 / Constraints!R95 * Constraints!A95</f>
        <v>0.28661174216850505</v>
      </c>
    </row>
    <row r="96" spans="1:21" x14ac:dyDescent="0.3">
      <c r="A96" s="51">
        <v>47</v>
      </c>
      <c r="B96" s="50">
        <f>$V$4*Performance!$E$12*(1/A96)+Performance!$E$23*(1/Constraints!$V$4)*Constraints!A96</f>
        <v>0.60610731410421936</v>
      </c>
      <c r="C96" s="50">
        <f>$V$5*Performance!$E$12*(1/A96)+Performance!$E$23*(1/Constraints!$V$5)*Constraints!A96</f>
        <v>0.9444795316611907</v>
      </c>
      <c r="D96" s="52">
        <f t="shared" si="5"/>
        <v>0.27416985695484608</v>
      </c>
      <c r="E96" s="52">
        <f>$V$4*Performance!$E$12*(1/A96)+Performance!$E$23*(1/Constraints!$V$9)*Constraints!A96</f>
        <v>0.60589505457627024</v>
      </c>
      <c r="F96" s="52">
        <f xml:space="preserve"> 1.21 / (9.81 * Constraints!$N$7 * Performance!$E$15 * Constraints!$N$5 ) * Constraints!A96 + 0.605 /Performance!$E$15 * (Performance!$E$16  - Constraints!$N$6 * Performance!$E$14) + Constraints!$N$6</f>
        <v>0.27414376637691051</v>
      </c>
      <c r="G96">
        <f t="shared" si="6"/>
        <v>132.94139999999999</v>
      </c>
      <c r="H96" s="55">
        <f>SQRT(2/$V$3 * A96 * SQRT(Performance!$E$23 / (3 * Performance!$E$12)))</f>
        <v>8.4533570533214117</v>
      </c>
      <c r="I96" s="55">
        <f>SQRT(2/$V$3 * A96 * (SQRT(Performance!$E$23)/(SQRT(3*Performance!$E$12 + 4* Performance!$E$23 * Performance!$E$11^2) - SQRT(Performance!$E$23)*Performance!$E$11)))</f>
        <v>8.8923824769352446</v>
      </c>
      <c r="J96">
        <f xml:space="preserve"> $AC$3/G96 + $AC$6/A96 * Performance!$E$12 + Performance!$E$23/Constraints!$AC$6 * Constraints!A96</f>
        <v>0.19666155915036124</v>
      </c>
      <c r="K96">
        <f xml:space="preserve"> $AC$3/H96 + $AC$6/A96 * Performance!$E$12 + Performance!$E$23/Constraints!$AC$6 * Constraints!A96</f>
        <v>0.75939392001424011</v>
      </c>
      <c r="L96">
        <f xml:space="preserve"> $AC$3/I96 + $AC$6/A96 * Performance!$E$12 + Performance!$E$23/Constraints!$AC$6 * Constraints!A96</f>
        <v>0.72972470638997977</v>
      </c>
      <c r="M96">
        <f>SIN($AC$9 * PI()/180) + 1/Performance!$AE$5</f>
        <v>0.24073077270730886</v>
      </c>
      <c r="N96">
        <f>SIN($AC$9 * PI()/180) + 1/Performance!$AE$8</f>
        <v>0.22738716112204788</v>
      </c>
      <c r="O96" s="60">
        <f>$AC$16 * (Performance!$E$12/Constraints!A96 + Performance!$E$23 * (Constraints!$AC$13/Constraints!$AC$17)^2 * Constraints!A96)</f>
        <v>5.4408654973055952E-4</v>
      </c>
      <c r="P96">
        <f t="shared" si="7"/>
        <v>4640.4865630164823</v>
      </c>
      <c r="Q96">
        <f t="shared" si="8"/>
        <v>18.762964190204706</v>
      </c>
      <c r="R96">
        <f t="shared" si="9"/>
        <v>20.762483095338794</v>
      </c>
      <c r="S96">
        <f xml:space="preserve"> 1.667/G96 + P96/A96 * Performance!$E$12 + Performance!$E$23 / Constraints!P96 * Constraints!A96</f>
        <v>2.974931874847738</v>
      </c>
      <c r="T96">
        <f xml:space="preserve"> 1.667/H96 + Q96/A96 * Performance!$E$12 + Performance!$E$23 / Constraints!Q96 * Constraints!A96</f>
        <v>0.30311272968224823</v>
      </c>
      <c r="U96">
        <f xml:space="preserve"> 1.667/I96 + R96/A96 * Performance!$E$12 + Performance!$E$23 / Constraints!R96 * Constraints!A96</f>
        <v>0.28560656702012416</v>
      </c>
    </row>
    <row r="97" spans="1:21" x14ac:dyDescent="0.3">
      <c r="A97" s="51">
        <v>47.5</v>
      </c>
      <c r="B97" s="50">
        <f>$V$4*Performance!$E$12*(1/A97)+Performance!$E$23*(1/Constraints!$V$4)*Constraints!A97</f>
        <v>0.59976664259793377</v>
      </c>
      <c r="C97" s="50">
        <f>$V$5*Performance!$E$12*(1/A97)+Performance!$E$23*(1/Constraints!$V$5)*Constraints!A97</f>
        <v>0.93456288400010268</v>
      </c>
      <c r="D97" s="52">
        <f t="shared" si="5"/>
        <v>0.27444214266713168</v>
      </c>
      <c r="E97" s="52">
        <f>$V$4*Performance!$E$12*(1/A97)+Performance!$E$23*(1/Constraints!$V$9)*Constraints!A97</f>
        <v>0.59955212498990007</v>
      </c>
      <c r="F97" s="52">
        <f xml:space="preserve"> 1.21 / (9.81 * Constraints!$N$7 * Performance!$E$15 * Constraints!$N$5 ) * Constraints!A97 + 0.605 /Performance!$E$15 * (Performance!$E$16  - Constraints!$N$6 * Performance!$E$14) + Constraints!$N$6</f>
        <v>0.27441577452985633</v>
      </c>
      <c r="G97">
        <f t="shared" si="6"/>
        <v>133.61150000000001</v>
      </c>
      <c r="H97" s="55">
        <f>SQRT(2/$V$3 * A97 * SQRT(Performance!$E$23 / (3 * Performance!$E$12)))</f>
        <v>8.4982027635254376</v>
      </c>
      <c r="I97" s="55">
        <f>SQRT(2/$V$3 * A97 * (SQRT(Performance!$E$23)/(SQRT(3*Performance!$E$12 + 4* Performance!$E$23 * Performance!$E$11^2) - SQRT(Performance!$E$23)*Performance!$E$11)))</f>
        <v>8.93955725082313</v>
      </c>
      <c r="J97">
        <f xml:space="preserve"> $AC$3/G97 + $AC$6/A97 * Performance!$E$12 + Performance!$E$23/Constraints!$AC$6 * Constraints!A97</f>
        <v>0.1979978561942588</v>
      </c>
      <c r="K97">
        <f xml:space="preserve"> $AC$3/H97 + $AC$6/A97 * Performance!$E$12 + Performance!$E$23/Constraints!$AC$6 * Constraints!A97</f>
        <v>0.75775062863081466</v>
      </c>
      <c r="L97">
        <f xml:space="preserve"> $AC$3/I97 + $AC$6/A97 * Performance!$E$12 + Performance!$E$23/Constraints!$AC$6 * Constraints!A97</f>
        <v>0.72823798187053712</v>
      </c>
      <c r="M97">
        <f>SIN($AC$9 * PI()/180) + 1/Performance!$AE$5</f>
        <v>0.24073077270730886</v>
      </c>
      <c r="N97">
        <f>SIN($AC$9 * PI()/180) + 1/Performance!$AE$8</f>
        <v>0.22738716112204788</v>
      </c>
      <c r="O97" s="60">
        <f>$AC$16 * (Performance!$E$12/Constraints!A97 + Performance!$E$23 * (Constraints!$AC$13/Constraints!$AC$17)^2 * Constraints!A97)</f>
        <v>5.3880911390863893E-4</v>
      </c>
      <c r="P97">
        <f t="shared" si="7"/>
        <v>4687.385829820756</v>
      </c>
      <c r="Q97">
        <f t="shared" si="8"/>
        <v>18.962570192228153</v>
      </c>
      <c r="R97">
        <f t="shared" si="9"/>
        <v>20.983360575076436</v>
      </c>
      <c r="S97">
        <f xml:space="preserve"> 1.667/G97 + P97/A97 * Performance!$E$12 + Performance!$E$23 / Constraints!P97 * Constraints!A97</f>
        <v>2.9733106948220294</v>
      </c>
      <c r="T97">
        <f xml:space="preserve"> 1.667/H97 + Q97/A97 * Performance!$E$12 + Performance!$E$23 / Constraints!Q97 * Constraints!A97</f>
        <v>0.30207209042824834</v>
      </c>
      <c r="U97">
        <f xml:space="preserve"> 1.667/I97 + R97/A97 * Performance!$E$12 + Performance!$E$23 / Constraints!R97 * Constraints!A97</f>
        <v>0.28461730512089967</v>
      </c>
    </row>
    <row r="98" spans="1:21" x14ac:dyDescent="0.3">
      <c r="A98" s="51">
        <v>48</v>
      </c>
      <c r="B98" s="50">
        <f>$V$4*Performance!$E$12*(1/A98)+Performance!$E$23*(1/Constraints!$V$4)*Constraints!A98</f>
        <v>0.5935584810603094</v>
      </c>
      <c r="C98" s="50">
        <f>$V$5*Performance!$E$12*(1/A98)+Performance!$E$23*(1/Constraints!$V$5)*Constraints!A98</f>
        <v>0.92485309749551858</v>
      </c>
      <c r="D98" s="52">
        <f t="shared" si="5"/>
        <v>0.27471442837941729</v>
      </c>
      <c r="E98" s="52">
        <f>$V$4*Performance!$E$12*(1/A98)+Performance!$E$23*(1/Constraints!$V$9)*Constraints!A98</f>
        <v>0.59334170537219111</v>
      </c>
      <c r="F98" s="52">
        <f xml:space="preserve"> 1.21 / (9.81 * Constraints!$N$7 * Performance!$E$15 * Constraints!$N$5 ) * Constraints!A98 + 0.605 /Performance!$E$15 * (Performance!$E$16  - Constraints!$N$6 * Performance!$E$14) + Constraints!$N$6</f>
        <v>0.2746877826828022</v>
      </c>
      <c r="G98">
        <f t="shared" si="6"/>
        <v>134.2816</v>
      </c>
      <c r="H98" s="55">
        <f>SQRT(2/$V$3 * A98 * SQRT(Performance!$E$23 / (3 * Performance!$E$12)))</f>
        <v>8.5428130582990018</v>
      </c>
      <c r="I98" s="55">
        <f>SQRT(2/$V$3 * A98 * (SQRT(Performance!$E$23)/(SQRT(3*Performance!$E$12 + 4* Performance!$E$23 * Performance!$E$11^2) - SQRT(Performance!$E$23)*Performance!$E$11)))</f>
        <v>8.9864843829711187</v>
      </c>
      <c r="J98">
        <f xml:space="preserve"> $AC$3/G98 + $AC$6/A98 * Performance!$E$12 + Performance!$E$23/Constraints!$AC$6 * Constraints!A98</f>
        <v>0.19933769984784699</v>
      </c>
      <c r="K98">
        <f xml:space="preserve"> $AC$3/H98 + $AC$6/A98 * Performance!$E$12 + Performance!$E$23/Constraints!$AC$6 * Constraints!A98</f>
        <v>0.75615865161096618</v>
      </c>
      <c r="L98">
        <f xml:space="preserve"> $AC$3/I98 + $AC$6/A98 * Performance!$E$12 + Performance!$E$23/Constraints!$AC$6 * Constraints!A98</f>
        <v>0.72680011894197682</v>
      </c>
      <c r="M98">
        <f>SIN($AC$9 * PI()/180) + 1/Performance!$AE$5</f>
        <v>0.24073077270730886</v>
      </c>
      <c r="N98">
        <f>SIN($AC$9 * PI()/180) + 1/Performance!$AE$8</f>
        <v>0.22738716112204788</v>
      </c>
      <c r="O98" s="60">
        <f>$AC$16 * (Performance!$E$12/Constraints!A98 + Performance!$E$23 * (Constraints!$AC$13/Constraints!$AC$17)^2 * Constraints!A98)</f>
        <v>5.336463347795084E-4</v>
      </c>
      <c r="P98">
        <f t="shared" si="7"/>
        <v>4734.5209012153036</v>
      </c>
      <c r="Q98">
        <f t="shared" si="8"/>
        <v>19.162176194251614</v>
      </c>
      <c r="R98">
        <f t="shared" si="9"/>
        <v>21.204238054814084</v>
      </c>
      <c r="S98">
        <f xml:space="preserve"> 1.667/G98 + P98/A98 * Performance!$E$12 + Performance!$E$23 / Constraints!P98 * Constraints!A98</f>
        <v>2.9718699659995491</v>
      </c>
      <c r="T98">
        <f xml:space="preserve"> 1.667/H98 + Q98/A98 * Performance!$E$12 + Performance!$E$23 / Constraints!Q98 * Constraints!A98</f>
        <v>0.30104775380356763</v>
      </c>
      <c r="U98">
        <f xml:space="preserve"> 1.667/I98 + R98/A98 * Performance!$E$12 + Performance!$E$23 / Constraints!R98 * Constraints!A98</f>
        <v>0.28364354097460043</v>
      </c>
    </row>
    <row r="99" spans="1:21" x14ac:dyDescent="0.3">
      <c r="A99" s="51">
        <v>48.5</v>
      </c>
      <c r="B99" s="50">
        <f>$V$4*Performance!$E$12*(1/A99)+Performance!$E$23*(1/Constraints!$V$4)*Constraints!A99</f>
        <v>0.58747873124489292</v>
      </c>
      <c r="C99" s="50">
        <f>$V$5*Performance!$E$12*(1/A99)+Performance!$E$23*(1/Constraints!$V$5)*Constraints!A99</f>
        <v>0.91534377437971148</v>
      </c>
      <c r="D99" s="52">
        <f t="shared" si="5"/>
        <v>0.27498671409170289</v>
      </c>
      <c r="E99" s="52">
        <f>$V$4*Performance!$E$12*(1/A99)+Performance!$E$23*(1/Constraints!$V$9)*Constraints!A99</f>
        <v>0.58725969747669005</v>
      </c>
      <c r="F99" s="52">
        <f xml:space="preserve"> 1.21 / (9.81 * Constraints!$N$7 * Performance!$E$15 * Constraints!$N$5 ) * Constraints!A99 + 0.605 /Performance!$E$15 * (Performance!$E$16  - Constraints!$N$6 * Performance!$E$14) + Constraints!$N$6</f>
        <v>0.27495979083574806</v>
      </c>
      <c r="G99">
        <f t="shared" si="6"/>
        <v>134.95170000000002</v>
      </c>
      <c r="H99" s="55">
        <f>SQRT(2/$V$3 * A99 * SQRT(Performance!$E$23 / (3 * Performance!$E$12)))</f>
        <v>8.587191606578747</v>
      </c>
      <c r="I99" s="55">
        <f>SQRT(2/$V$3 * A99 * (SQRT(Performance!$E$23)/(SQRT(3*Performance!$E$12 + 4* Performance!$E$23 * Performance!$E$11^2) - SQRT(Performance!$E$23)*Performance!$E$11)))</f>
        <v>9.0331677328622231</v>
      </c>
      <c r="J99">
        <f xml:space="preserve"> $AC$3/G99 + $AC$6/A99 * Performance!$E$12 + Performance!$E$23/Constraints!$AC$6 * Constraints!A99</f>
        <v>0.20068101108580191</v>
      </c>
      <c r="K99">
        <f xml:space="preserve"> $AC$3/H99 + $AC$6/A99 * Performance!$E$12 + Performance!$E$23/Constraints!$AC$6 * Constraints!A99</f>
        <v>0.75461665466860639</v>
      </c>
      <c r="L99">
        <f xml:space="preserve"> $AC$3/I99 + $AC$6/A99 * Performance!$E$12 + Performance!$E$23/Constraints!$AC$6 * Constraints!A99</f>
        <v>0.72540984669835029</v>
      </c>
      <c r="M99">
        <f>SIN($AC$9 * PI()/180) + 1/Performance!$AE$5</f>
        <v>0.24073077270730886</v>
      </c>
      <c r="N99">
        <f>SIN($AC$9 * PI()/180) + 1/Performance!$AE$8</f>
        <v>0.22738716112204788</v>
      </c>
      <c r="O99" s="60">
        <f>$AC$16 * (Performance!$E$12/Constraints!A99 + Performance!$E$23 * (Constraints!$AC$13/Constraints!$AC$17)^2 * Constraints!A99)</f>
        <v>5.2859466625988555E-4</v>
      </c>
      <c r="P99">
        <f t="shared" si="7"/>
        <v>4781.8917772001259</v>
      </c>
      <c r="Q99">
        <f t="shared" si="8"/>
        <v>19.361782196275069</v>
      </c>
      <c r="R99">
        <f t="shared" si="9"/>
        <v>21.425115534551733</v>
      </c>
      <c r="S99">
        <f xml:space="preserve"> 1.667/G99 + P99/A99 * Performance!$E$12 + Performance!$E$23 / Constraints!P99 * Constraints!A99</f>
        <v>2.9706041174202493</v>
      </c>
      <c r="T99">
        <f xml:space="preserve"> 1.667/H99 + Q99/A99 * Performance!$E$12 + Performance!$E$23 / Constraints!Q99 * Constraints!A99</f>
        <v>0.30003929854498534</v>
      </c>
      <c r="U99">
        <f xml:space="preserve"> 1.667/I99 + R99/A99 * Performance!$E$12 + Performance!$E$23 / Constraints!R99 * Constraints!A99</f>
        <v>0.28268487411617327</v>
      </c>
    </row>
    <row r="100" spans="1:21" x14ac:dyDescent="0.3">
      <c r="A100" s="51">
        <v>49</v>
      </c>
      <c r="B100" s="50">
        <f>$V$4*Performance!$E$12*(1/A100)+Performance!$E$23*(1/Constraints!$V$4)*Constraints!A100</f>
        <v>0.58152346218059614</v>
      </c>
      <c r="C100" s="50">
        <f>$V$5*Performance!$E$12*(1/A100)+Performance!$E$23*(1/Constraints!$V$5)*Constraints!A100</f>
        <v>0.90602877801833093</v>
      </c>
      <c r="D100" s="52">
        <f t="shared" si="5"/>
        <v>0.27525899980398849</v>
      </c>
      <c r="E100" s="52">
        <f>$V$4*Performance!$E$12*(1/A100)+Performance!$E$23*(1/Constraints!$V$9)*Constraints!A100</f>
        <v>0.5813021703323088</v>
      </c>
      <c r="F100" s="52">
        <f xml:space="preserve"> 1.21 / (9.81 * Constraints!$N$7 * Performance!$E$15 * Constraints!$N$5 ) * Constraints!A100 + 0.605 /Performance!$E$15 * (Performance!$E$16  - Constraints!$N$6 * Performance!$E$14) + Constraints!$N$6</f>
        <v>0.27523179898869393</v>
      </c>
      <c r="G100">
        <f t="shared" si="6"/>
        <v>135.62180000000001</v>
      </c>
      <c r="H100" s="55">
        <f>SQRT(2/$V$3 * A100 * SQRT(Performance!$E$23 / (3 * Performance!$E$12)))</f>
        <v>8.6313419829797624</v>
      </c>
      <c r="I100" s="55">
        <f>SQRT(2/$V$3 * A100 * (SQRT(Performance!$E$23)/(SQRT(3*Performance!$E$12 + 4* Performance!$E$23 * Performance!$E$11^2) - SQRT(Performance!$E$23)*Performance!$E$11)))</f>
        <v>9.0796110607593015</v>
      </c>
      <c r="J100">
        <f xml:space="preserve"> $AC$3/G100 + $AC$6/A100 * Performance!$E$12 + Performance!$E$23/Constraints!$AC$6 * Constraints!A100</f>
        <v>0.20202771350847756</v>
      </c>
      <c r="K100">
        <f xml:space="preserve"> $AC$3/H100 + $AC$6/A100 * Performance!$E$12 + Performance!$E$23/Constraints!$AC$6 * Constraints!A100</f>
        <v>0.75312335154671795</v>
      </c>
      <c r="L100">
        <f xml:space="preserve"> $AC$3/I100 + $AC$6/A100 * Performance!$E$12 + Performance!$E$23/Constraints!$AC$6 * Constraints!A100</f>
        <v>0.7240659399933691</v>
      </c>
      <c r="M100">
        <f>SIN($AC$9 * PI()/180) + 1/Performance!$AE$5</f>
        <v>0.24073077270730886</v>
      </c>
      <c r="N100">
        <f>SIN($AC$9 * PI()/180) + 1/Performance!$AE$8</f>
        <v>0.22738716112204788</v>
      </c>
      <c r="O100" s="60">
        <f>$AC$16 * (Performance!$E$12/Constraints!A100 + Performance!$E$23 * (Constraints!$AC$13/Constraints!$AC$17)^2 * Constraints!A100)</f>
        <v>5.2365070700458179E-4</v>
      </c>
      <c r="P100">
        <f t="shared" si="7"/>
        <v>4829.498457775223</v>
      </c>
      <c r="Q100">
        <f t="shared" si="8"/>
        <v>19.56138819829852</v>
      </c>
      <c r="R100">
        <f t="shared" si="9"/>
        <v>21.645993014289377</v>
      </c>
      <c r="S100">
        <f xml:space="preserve"> 1.667/G100 + P100/A100 * Performance!$E$12 + Performance!$E$23 / Constraints!P100 * Constraints!A100</f>
        <v>2.9695078053209736</v>
      </c>
      <c r="T100">
        <f xml:space="preserve"> 1.667/H100 + Q100/A100 * Performance!$E$12 + Performance!$E$23 / Constraints!Q100 * Constraints!A100</f>
        <v>0.2990463184731752</v>
      </c>
      <c r="U100">
        <f xml:space="preserve"> 1.667/I100 + R100/A100 * Performance!$E$12 + Performance!$E$23 / Constraints!R100 * Constraints!A100</f>
        <v>0.28174091841975379</v>
      </c>
    </row>
    <row r="101" spans="1:21" x14ac:dyDescent="0.3">
      <c r="A101" s="51">
        <v>49.5</v>
      </c>
      <c r="B101" s="50">
        <f>$V$4*Performance!$E$12*(1/A101)+Performance!$E$23*(1/Constraints!$V$4)*Constraints!A101</f>
        <v>0.57568890172344611</v>
      </c>
      <c r="C101" s="50">
        <f>$V$5*Performance!$E$12*(1/A101)+Performance!$E$23*(1/Constraints!$V$5)*Constraints!A101</f>
        <v>0.89690221972184925</v>
      </c>
      <c r="D101" s="52">
        <f t="shared" si="5"/>
        <v>0.27553128551627409</v>
      </c>
      <c r="E101" s="52">
        <f>$V$4*Performance!$E$12*(1/A101)+Performance!$E$23*(1/Constraints!$V$9)*Constraints!A101</f>
        <v>0.57546535179507419</v>
      </c>
      <c r="F101" s="52">
        <f xml:space="preserve"> 1.21 / (9.81 * Constraints!$N$7 * Performance!$E$15 * Constraints!$N$5 ) * Constraints!A101 + 0.605 /Performance!$E$15 * (Performance!$E$16  - Constraints!$N$6 * Performance!$E$14) + Constraints!$N$6</f>
        <v>0.27550380714163974</v>
      </c>
      <c r="G101">
        <f t="shared" si="6"/>
        <v>136.2919</v>
      </c>
      <c r="H101" s="55">
        <f>SQRT(2/$V$3 * A101 * SQRT(Performance!$E$23 / (3 * Performance!$E$12)))</f>
        <v>8.675267671155833</v>
      </c>
      <c r="I101" s="55">
        <f>SQRT(2/$V$3 * A101 * (SQRT(Performance!$E$23)/(SQRT(3*Performance!$E$12 + 4* Performance!$E$23 * Performance!$E$11^2) - SQRT(Performance!$E$23)*Performance!$E$11)))</f>
        <v>9.1258180312398327</v>
      </c>
      <c r="J101">
        <f xml:space="preserve"> $AC$3/G101 + $AC$6/A101 * Performance!$E$12 + Performance!$E$23/Constraints!$AC$6 * Constraints!A101</f>
        <v>0.20337773322389313</v>
      </c>
      <c r="K101">
        <f xml:space="preserve"> $AC$3/H101 + $AC$6/A101 * Performance!$E$12 + Performance!$E$23/Constraints!$AC$6 * Constraints!A101</f>
        <v>0.75167750181845849</v>
      </c>
      <c r="L101">
        <f xml:space="preserve"> $AC$3/I101 + $AC$6/A101 * Performance!$E$12 + Performance!$E$23/Constraints!$AC$6 * Constraints!A101</f>
        <v>0.72276721734492777</v>
      </c>
      <c r="M101">
        <f>SIN($AC$9 * PI()/180) + 1/Performance!$AE$5</f>
        <v>0.24073077270730886</v>
      </c>
      <c r="N101">
        <f>SIN($AC$9 * PI()/180) + 1/Performance!$AE$8</f>
        <v>0.22738716112204788</v>
      </c>
      <c r="O101" s="60">
        <f>$AC$16 * (Performance!$E$12/Constraints!A101 + Performance!$E$23 * (Constraints!$AC$13/Constraints!$AC$17)^2 * Constraints!A101)</f>
        <v>5.1881119309649614E-4</v>
      </c>
      <c r="P101">
        <f t="shared" si="7"/>
        <v>4877.3409429405938</v>
      </c>
      <c r="Q101">
        <f t="shared" si="8"/>
        <v>19.760994200321974</v>
      </c>
      <c r="R101">
        <f t="shared" si="9"/>
        <v>21.866870494027026</v>
      </c>
      <c r="S101">
        <f xml:space="preserve"> 1.667/G101 + P101/A101 * Performance!$E$12 + Performance!$E$23 / Constraints!P101 * Constraints!A101</f>
        <v>2.9685759016653228</v>
      </c>
      <c r="T101">
        <f xml:space="preserve"> 1.667/H101 + Q101/A101 * Performance!$E$12 + Performance!$E$23 / Constraints!Q101 * Constraints!A101</f>
        <v>0.29806842180532234</v>
      </c>
      <c r="U101">
        <f xml:space="preserve"> 1.667/I101 + R101/A101 * Performance!$E$12 + Performance!$E$23 / Constraints!R101 * Constraints!A101</f>
        <v>0.28081130144521915</v>
      </c>
    </row>
    <row r="102" spans="1:21" x14ac:dyDescent="0.3">
      <c r="A102" s="51">
        <v>50</v>
      </c>
      <c r="B102" s="50">
        <f>$V$4*Performance!$E$12*(1/A102)+Performance!$E$23*(1/Constraints!$V$4)*Constraints!A102</f>
        <v>0.56997142861522798</v>
      </c>
      <c r="C102" s="50">
        <f>$V$5*Performance!$E$12*(1/A102)+Performance!$E$23*(1/Constraints!$V$5)*Constraints!A102</f>
        <v>0.887958446348319</v>
      </c>
      <c r="D102" s="52">
        <f t="shared" si="5"/>
        <v>0.2758035712285597</v>
      </c>
      <c r="E102" s="52">
        <f>$V$4*Performance!$E$12*(1/A102)+Performance!$E$23*(1/Constraints!$V$9)*Constraints!A102</f>
        <v>0.56974562060677147</v>
      </c>
      <c r="F102" s="52">
        <f xml:space="preserve"> 1.21 / (9.81 * Constraints!$N$7 * Performance!$E$15 * Constraints!$N$5 ) * Constraints!A102 + 0.605 /Performance!$E$15 * (Performance!$E$16  - Constraints!$N$6 * Performance!$E$14) + Constraints!$N$6</f>
        <v>0.27577581529458561</v>
      </c>
      <c r="G102">
        <f t="shared" si="6"/>
        <v>136.96199999999999</v>
      </c>
      <c r="H102" s="55">
        <f>SQRT(2/$V$3 * A102 * SQRT(Performance!$E$23 / (3 * Performance!$E$12)))</f>
        <v>8.7189720670073303</v>
      </c>
      <c r="I102" s="55">
        <f>SQRT(2/$V$3 * A102 * (SQRT(Performance!$E$23)/(SQRT(3*Performance!$E$12 + 4* Performance!$E$23 * Performance!$E$11^2) - SQRT(Performance!$E$23)*Performance!$E$11)))</f>
        <v>9.171792216570406</v>
      </c>
      <c r="J102">
        <f xml:space="preserve"> $AC$3/G102 + $AC$6/A102 * Performance!$E$12 + Performance!$E$23/Constraints!$AC$6 * Constraints!A102</f>
        <v>0.20473099873637665</v>
      </c>
      <c r="K102">
        <f xml:space="preserve"> $AC$3/H102 + $AC$6/A102 * Performance!$E$12 + Performance!$E$23/Constraints!$AC$6 * Constraints!A102</f>
        <v>0.75027790881001688</v>
      </c>
      <c r="L102">
        <f xml:space="preserve"> $AC$3/I102 + $AC$6/A102 * Performance!$E$12 + Performance!$E$23/Constraints!$AC$6 * Constraints!A102</f>
        <v>0.72151253895567502</v>
      </c>
      <c r="M102">
        <f>SIN($AC$9 * PI()/180) + 1/Performance!$AE$5</f>
        <v>0.24073077270730886</v>
      </c>
      <c r="N102">
        <f>SIN($AC$9 * PI()/180) + 1/Performance!$AE$8</f>
        <v>0.22738716112204788</v>
      </c>
      <c r="O102" s="60">
        <f>$AC$16 * (Performance!$E$12/Constraints!A102 + Performance!$E$23 * (Constraints!$AC$13/Constraints!$AC$17)^2 * Constraints!A102)</f>
        <v>5.1407299117521219E-4</v>
      </c>
      <c r="P102">
        <f t="shared" si="7"/>
        <v>4925.4192326962402</v>
      </c>
      <c r="Q102">
        <f t="shared" si="8"/>
        <v>19.960600202345422</v>
      </c>
      <c r="R102">
        <f t="shared" si="9"/>
        <v>22.087747973764674</v>
      </c>
      <c r="S102">
        <f xml:space="preserve"> 1.667/G102 + P102/A102 * Performance!$E$12 + Performance!$E$23 / Constraints!P102 * Constraints!A102</f>
        <v>2.9678034833615894</v>
      </c>
      <c r="T102">
        <f xml:space="preserve"> 1.667/H102 + Q102/A102 * Performance!$E$12 + Performance!$E$23 / Constraints!Q102 * Constraints!A102</f>
        <v>0.29710523050564097</v>
      </c>
      <c r="U102">
        <f xml:space="preserve"> 1.667/I102 + R102/A102 * Performance!$E$12 + Performance!$E$23 / Constraints!R102 * Constraints!A102</f>
        <v>0.27989566382077163</v>
      </c>
    </row>
    <row r="103" spans="1:21" x14ac:dyDescent="0.3">
      <c r="A103" s="51">
        <v>50.5</v>
      </c>
      <c r="B103" s="50">
        <f>$V$4*Performance!$E$12*(1/A103)+Performance!$E$23*(1/Constraints!$V$4)*Constraints!A103</f>
        <v>0.56436756501389462</v>
      </c>
      <c r="C103" s="50">
        <f>$V$5*Performance!$E$12*(1/A103)+Performance!$E$23*(1/Constraints!$V$5)*Constraints!A103</f>
        <v>0.87919202864260326</v>
      </c>
      <c r="D103" s="52">
        <f t="shared" si="5"/>
        <v>0.2760758569408453</v>
      </c>
      <c r="E103" s="52">
        <f>$V$4*Performance!$E$12*(1/A103)+Performance!$E$23*(1/Constraints!$V$9)*Constraints!A103</f>
        <v>0.56413949892535342</v>
      </c>
      <c r="F103" s="52">
        <f xml:space="preserve"> 1.21 / (9.81 * Constraints!$N$7 * Performance!$E$15 * Constraints!$N$5 ) * Constraints!A103 + 0.605 /Performance!$E$15 * (Performance!$E$16  - Constraints!$N$6 * Performance!$E$14) + Constraints!$N$6</f>
        <v>0.27604782344753148</v>
      </c>
      <c r="G103">
        <f t="shared" si="6"/>
        <v>137.63209999999998</v>
      </c>
      <c r="H103" s="55">
        <f>SQRT(2/$V$3 * A103 * SQRT(Performance!$E$23 / (3 * Performance!$E$12)))</f>
        <v>8.7624584817450994</v>
      </c>
      <c r="I103" s="55">
        <f>SQRT(2/$V$3 * A103 * (SQRT(Performance!$E$23)/(SQRT(3*Performance!$E$12 + 4* Performance!$E$23 * Performance!$E$11^2) - SQRT(Performance!$E$23)*Performance!$E$11)))</f>
        <v>9.217537099929725</v>
      </c>
      <c r="J103">
        <f xml:space="preserve"> $AC$3/G103 + $AC$6/A103 * Performance!$E$12 + Performance!$E$23/Constraints!$AC$6 * Constraints!A103</f>
        <v>0.20608744084141833</v>
      </c>
      <c r="K103">
        <f xml:space="preserve"> $AC$3/H103 + $AC$6/A103 * Performance!$E$12 + Performance!$E$23/Constraints!$AC$6 * Constraints!A103</f>
        <v>0.74892341763733383</v>
      </c>
      <c r="L103">
        <f xml:space="preserve"> $AC$3/I103 + $AC$6/A103 * Performance!$E$12 + Performance!$E$23/Constraints!$AC$6 * Constraints!A103</f>
        <v>0.72030080484211845</v>
      </c>
      <c r="M103">
        <f>SIN($AC$9 * PI()/180) + 1/Performance!$AE$5</f>
        <v>0.24073077270730886</v>
      </c>
      <c r="N103">
        <f>SIN($AC$9 * PI()/180) + 1/Performance!$AE$8</f>
        <v>0.22738716112204788</v>
      </c>
      <c r="O103" s="60">
        <f>$AC$16 * (Performance!$E$12/Constraints!A103 + Performance!$E$23 * (Constraints!$AC$13/Constraints!$AC$17)^2 * Constraints!A103)</f>
        <v>5.0943309197379533E-4</v>
      </c>
      <c r="P103">
        <f t="shared" si="7"/>
        <v>4973.7333270421614</v>
      </c>
      <c r="Q103">
        <f t="shared" si="8"/>
        <v>20.16020620436888</v>
      </c>
      <c r="R103">
        <f t="shared" si="9"/>
        <v>22.308625453502319</v>
      </c>
      <c r="S103">
        <f xml:space="preserve"> 1.667/G103 + P103/A103 * Performance!$E$12 + Performance!$E$23 / Constraints!P103 * Constraints!A103</f>
        <v>2.9671858221210998</v>
      </c>
      <c r="T103">
        <f xml:space="preserve"> 1.667/H103 + Q103/A103 * Performance!$E$12 + Performance!$E$23 / Constraints!Q103 * Constraints!A103</f>
        <v>0.296156379671349</v>
      </c>
      <c r="U103">
        <f xml:space="preserve"> 1.667/I103 + R103/A103 * Performance!$E$12 + Performance!$E$23 / Constraints!R103 * Constraints!A103</f>
        <v>0.27899365865922843</v>
      </c>
    </row>
    <row r="104" spans="1:21" x14ac:dyDescent="0.3">
      <c r="A104" s="51">
        <v>51</v>
      </c>
      <c r="B104" s="50">
        <f>$V$4*Performance!$E$12*(1/A104)+Performance!$E$23*(1/Constraints!$V$4)*Constraints!A104</f>
        <v>0.55887396946336099</v>
      </c>
      <c r="C104" s="50">
        <f>$V$5*Performance!$E$12*(1/A104)+Performance!$E$23*(1/Constraints!$V$5)*Constraints!A104</f>
        <v>0.87059775026153086</v>
      </c>
      <c r="D104" s="52">
        <f t="shared" si="5"/>
        <v>0.2763481426531309</v>
      </c>
      <c r="E104" s="52">
        <f>$V$4*Performance!$E$12*(1/A104)+Performance!$E$23*(1/Constraints!$V$9)*Constraints!A104</f>
        <v>0.5586436452947352</v>
      </c>
      <c r="F104" s="52">
        <f xml:space="preserve"> 1.21 / (9.81 * Constraints!$N$7 * Performance!$E$15 * Constraints!$N$5 ) * Constraints!A104 + 0.605 /Performance!$E$15 * (Performance!$E$16  - Constraints!$N$6 * Performance!$E$14) + Constraints!$N$6</f>
        <v>0.27631983160047735</v>
      </c>
      <c r="G104">
        <f t="shared" si="6"/>
        <v>138.3022</v>
      </c>
      <c r="H104" s="55">
        <f>SQRT(2/$V$3 * A104 * SQRT(Performance!$E$23 / (3 * Performance!$E$12)))</f>
        <v>8.8057301448181562</v>
      </c>
      <c r="I104" s="55">
        <f>SQRT(2/$V$3 * A104 * (SQRT(Performance!$E$23)/(SQRT(3*Performance!$E$12 + 4* Performance!$E$23 * Performance!$E$11^2) - SQRT(Performance!$E$23)*Performance!$E$11)))</f>
        <v>9.2630560784883684</v>
      </c>
      <c r="J104">
        <f xml:space="preserve"> $AC$3/G104 + $AC$6/A104 * Performance!$E$12 + Performance!$E$23/Constraints!$AC$6 * Constraints!A104</f>
        <v>0.20744699252632087</v>
      </c>
      <c r="K104">
        <f xml:space="preserve"> $AC$3/H104 + $AC$6/A104 * Performance!$E$12 + Performance!$E$23/Constraints!$AC$6 * Constraints!A104</f>
        <v>0.74761291334939217</v>
      </c>
      <c r="L104">
        <f xml:space="preserve"> $AC$3/I104 + $AC$6/A104 * Performance!$E$12 + Performance!$E$23/Constraints!$AC$6 * Constraints!A104</f>
        <v>0.71913095306530039</v>
      </c>
      <c r="M104">
        <f>SIN($AC$9 * PI()/180) + 1/Performance!$AE$5</f>
        <v>0.24073077270730886</v>
      </c>
      <c r="N104">
        <f>SIN($AC$9 * PI()/180) + 1/Performance!$AE$8</f>
        <v>0.22738716112204788</v>
      </c>
      <c r="O104" s="60">
        <f>$AC$16 * (Performance!$E$12/Constraints!A104 + Performance!$E$23 * (Constraints!$AC$13/Constraints!$AC$17)^2 * Constraints!A104)</f>
        <v>5.048886042357787E-4</v>
      </c>
      <c r="P104">
        <f t="shared" si="7"/>
        <v>5022.283225978359</v>
      </c>
      <c r="Q104">
        <f t="shared" si="8"/>
        <v>20.359812206392338</v>
      </c>
      <c r="R104">
        <f t="shared" si="9"/>
        <v>22.529502933239968</v>
      </c>
      <c r="S104">
        <f xml:space="preserve"> 1.667/G104 + P104/A104 * Performance!$E$12 + Performance!$E$23 / Constraints!P104 * Constraints!A104</f>
        <v>2.9667183749130088</v>
      </c>
      <c r="T104">
        <f xml:space="preserve"> 1.667/H104 + Q104/A104 * Performance!$E$12 + Performance!$E$23 / Constraints!Q104 * Constraints!A104</f>
        <v>0.29522151695183418</v>
      </c>
      <c r="U104">
        <f xml:space="preserve"> 1.667/I104 + R104/A104 * Performance!$E$12 + Performance!$E$23 / Constraints!R104 * Constraints!A104</f>
        <v>0.27810495100586385</v>
      </c>
    </row>
    <row r="105" spans="1:21" x14ac:dyDescent="0.3">
      <c r="A105" s="51">
        <v>51.5</v>
      </c>
      <c r="B105" s="50">
        <f>$V$4*Performance!$E$12*(1/A105)+Performance!$E$23*(1/Constraints!$V$4)*Constraints!A105</f>
        <v>0.5534874302728271</v>
      </c>
      <c r="C105" s="50">
        <f>$V$5*Performance!$E$12*(1/A105)+Performance!$E$23*(1/Constraints!$V$5)*Constraints!A105</f>
        <v>0.86217059743836477</v>
      </c>
      <c r="D105" s="52">
        <f t="shared" si="5"/>
        <v>0.27662042836541645</v>
      </c>
      <c r="E105" s="52">
        <f>$V$4*Performance!$E$12*(1/A105)+Performance!$E$23*(1/Constraints!$V$9)*Constraints!A105</f>
        <v>0.55325484802411684</v>
      </c>
      <c r="F105" s="52">
        <f xml:space="preserve"> 1.21 / (9.81 * Constraints!$N$7 * Performance!$E$15 * Constraints!$N$5 ) * Constraints!A105 + 0.605 /Performance!$E$15 * (Performance!$E$16  - Constraints!$N$6 * Performance!$E$14) + Constraints!$N$6</f>
        <v>0.27659183975342316</v>
      </c>
      <c r="G105">
        <f t="shared" si="6"/>
        <v>138.97230000000002</v>
      </c>
      <c r="H105" s="55">
        <f>SQRT(2/$V$3 * A105 * SQRT(Performance!$E$23 / (3 * Performance!$E$12)))</f>
        <v>8.8487902067125379</v>
      </c>
      <c r="I105" s="55">
        <f>SQRT(2/$V$3 * A105 * (SQRT(Performance!$E$23)/(SQRT(3*Performance!$E$12 + 4* Performance!$E$23 * Performance!$E$11^2) - SQRT(Performance!$E$23)*Performance!$E$11)))</f>
        <v>9.3083524663529857</v>
      </c>
      <c r="J105">
        <f xml:space="preserve"> $AC$3/G105 + $AC$6/A105 * Performance!$E$12 + Performance!$E$23/Constraints!$AC$6 * Constraints!A105</f>
        <v>0.20880958887626552</v>
      </c>
      <c r="K105">
        <f xml:space="preserve"> $AC$3/H105 + $AC$6/A105 * Performance!$E$12 + Performance!$E$23/Constraints!$AC$6 * Constraints!A105</f>
        <v>0.74634531917130076</v>
      </c>
      <c r="L105">
        <f xml:space="preserve"> $AC$3/I105 + $AC$6/A105 * Performance!$E$12 + Performance!$E$23/Constraints!$AC$6 * Constraints!A105</f>
        <v>0.71800195805659328</v>
      </c>
      <c r="M105">
        <f>SIN($AC$9 * PI()/180) + 1/Performance!$AE$5</f>
        <v>0.24073077270730886</v>
      </c>
      <c r="N105">
        <f>SIN($AC$9 * PI()/180) + 1/Performance!$AE$8</f>
        <v>0.22738716112204788</v>
      </c>
      <c r="O105" s="60">
        <f>$AC$16 * (Performance!$E$12/Constraints!A105 + Performance!$E$23 * (Constraints!$AC$13/Constraints!$AC$17)^2 * Constraints!A105)</f>
        <v>5.0043674898650047E-4</v>
      </c>
      <c r="P105">
        <f t="shared" si="7"/>
        <v>5071.0689295048314</v>
      </c>
      <c r="Q105">
        <f t="shared" si="8"/>
        <v>20.559418208415789</v>
      </c>
      <c r="R105">
        <f t="shared" si="9"/>
        <v>22.750380412977609</v>
      </c>
      <c r="S105">
        <f xml:space="preserve"> 1.667/G105 + P105/A105 * Performance!$E$12 + Performance!$E$23 / Constraints!P105 * Constraints!A105</f>
        <v>2.9663967749750118</v>
      </c>
      <c r="T105">
        <f xml:space="preserve"> 1.667/H105 + Q105/A105 * Performance!$E$12 + Performance!$E$23 / Constraints!Q105 * Constraints!A105</f>
        <v>0.29430030199891188</v>
      </c>
      <c r="U105">
        <f xml:space="preserve"> 1.667/I105 + R105/A105 * Performance!$E$12 + Performance!$E$23 / Constraints!R105 * Constraints!A105</f>
        <v>0.27722921731580841</v>
      </c>
    </row>
    <row r="106" spans="1:21" x14ac:dyDescent="0.3">
      <c r="A106" s="51">
        <v>52</v>
      </c>
      <c r="B106" s="50">
        <f>$V$4*Performance!$E$12*(1/A106)+Performance!$E$23*(1/Constraints!$V$4)*Constraints!A106</f>
        <v>0.5482048592780624</v>
      </c>
      <c r="C106" s="50">
        <f>$V$5*Performance!$E$12*(1/A106)+Performance!$E$23*(1/Constraints!$V$5)*Constraints!A106</f>
        <v>0.85390574924355012</v>
      </c>
      <c r="D106" s="52">
        <f t="shared" si="5"/>
        <v>0.27689271407770205</v>
      </c>
      <c r="E106" s="52">
        <f>$V$4*Performance!$E$12*(1/A106)+Performance!$E$23*(1/Constraints!$V$9)*Constraints!A106</f>
        <v>0.54797001894926756</v>
      </c>
      <c r="F106" s="52">
        <f xml:space="preserve"> 1.21 / (9.81 * Constraints!$N$7 * Performance!$E$15 * Constraints!$N$5 ) * Constraints!A106 + 0.605 /Performance!$E$15 * (Performance!$E$16  - Constraints!$N$6 * Performance!$E$14) + Constraints!$N$6</f>
        <v>0.27686384790636903</v>
      </c>
      <c r="G106">
        <f t="shared" si="6"/>
        <v>139.64240000000001</v>
      </c>
      <c r="H106" s="55">
        <f>SQRT(2/$V$3 * A106 * SQRT(Performance!$E$23 / (3 * Performance!$E$12)))</f>
        <v>8.8916417416281597</v>
      </c>
      <c r="I106" s="55">
        <f>SQRT(2/$V$3 * A106 * (SQRT(Performance!$E$23)/(SQRT(3*Performance!$E$12 + 4* Performance!$E$23 * Performance!$E$11^2) - SQRT(Performance!$E$23)*Performance!$E$11)))</f>
        <v>9.3534294973821837</v>
      </c>
      <c r="J106">
        <f xml:space="preserve"> $AC$3/G106 + $AC$6/A106 * Performance!$E$12 + Performance!$E$23/Constraints!$AC$6 * Constraints!A106</f>
        <v>0.21017516698544242</v>
      </c>
      <c r="K106">
        <f xml:space="preserve"> $AC$3/H106 + $AC$6/A106 * Performance!$E$12 + Performance!$E$23/Constraints!$AC$6 * Constraints!A106</f>
        <v>0.74511959484090262</v>
      </c>
      <c r="L106">
        <f xml:space="preserve"> $AC$3/I106 + $AC$6/A106 * Performance!$E$12 + Performance!$E$23/Constraints!$AC$6 * Constraints!A106</f>
        <v>0.71691282903263298</v>
      </c>
      <c r="M106">
        <f>SIN($AC$9 * PI()/180) + 1/Performance!$AE$5</f>
        <v>0.24073077270730886</v>
      </c>
      <c r="N106">
        <f>SIN($AC$9 * PI()/180) + 1/Performance!$AE$8</f>
        <v>0.22738716112204788</v>
      </c>
      <c r="O106" s="60">
        <f>$AC$16 * (Performance!$E$12/Constraints!A106 + Performance!$E$23 * (Constraints!$AC$13/Constraints!$AC$17)^2 * Constraints!A106)</f>
        <v>4.9607485413493899E-4</v>
      </c>
      <c r="P106">
        <f t="shared" si="7"/>
        <v>5120.0904376215767</v>
      </c>
      <c r="Q106">
        <f t="shared" si="8"/>
        <v>20.759024210439243</v>
      </c>
      <c r="R106">
        <f t="shared" si="9"/>
        <v>22.971257892715254</v>
      </c>
      <c r="S106">
        <f xml:space="preserve"> 1.667/G106 + P106/A106 * Performance!$E$12 + Performance!$E$23 / Constraints!P106 * Constraints!A106</f>
        <v>2.9662168233425708</v>
      </c>
      <c r="T106">
        <f xml:space="preserve"> 1.667/H106 + Q106/A106 * Performance!$E$12 + Performance!$E$23 / Constraints!Q106 * Constraints!A106</f>
        <v>0.29339240594622618</v>
      </c>
      <c r="U106">
        <f xml:space="preserve"> 1.667/I106 + R106/A106 * Performance!$E$12 + Performance!$E$23 / Constraints!R106 * Constraints!A106</f>
        <v>0.27636614495915263</v>
      </c>
    </row>
    <row r="107" spans="1:21" x14ac:dyDescent="0.3">
      <c r="A107" s="51">
        <v>52.5</v>
      </c>
      <c r="B107" s="50">
        <f>$V$4*Performance!$E$12*(1/A107)+Performance!$E$23*(1/Constraints!$V$4)*Constraints!A107</f>
        <v>0.54302328595918747</v>
      </c>
      <c r="C107" s="50">
        <f>$V$5*Performance!$E$12*(1/A107)+Performance!$E$23*(1/Constraints!$V$5)*Constraints!A107</f>
        <v>0.84579856840199086</v>
      </c>
      <c r="D107" s="52">
        <f t="shared" si="5"/>
        <v>0.27716499978998765</v>
      </c>
      <c r="E107" s="52">
        <f>$V$4*Performance!$E$12*(1/A107)+Performance!$E$23*(1/Constraints!$V$9)*Constraints!A107</f>
        <v>0.54278618755030805</v>
      </c>
      <c r="F107" s="52">
        <f xml:space="preserve"> 1.21 / (9.81 * Constraints!$N$7 * Performance!$E$15 * Constraints!$N$5 ) * Constraints!A107 + 0.605 /Performance!$E$15 * (Performance!$E$16  - Constraints!$N$6 * Performance!$E$14) + Constraints!$N$6</f>
        <v>0.2771358560593149</v>
      </c>
      <c r="G107">
        <f t="shared" si="6"/>
        <v>140.3125</v>
      </c>
      <c r="H107" s="55">
        <f>SQRT(2/$V$3 * A107 * SQRT(Performance!$E$23 / (3 * Performance!$E$12)))</f>
        <v>8.9342877500401112</v>
      </c>
      <c r="I107" s="55">
        <f>SQRT(2/$V$3 * A107 * (SQRT(Performance!$E$23)/(SQRT(3*Performance!$E$12 + 4* Performance!$E$23 * Performance!$E$11^2) - SQRT(Performance!$E$23)*Performance!$E$11)))</f>
        <v>9.3982903278808401</v>
      </c>
      <c r="J107">
        <f xml:space="preserve"> $AC$3/G107 + $AC$6/A107 * Performance!$E$12 + Performance!$E$23/Constraints!$AC$6 * Constraints!A107</f>
        <v>0.21154366587291845</v>
      </c>
      <c r="K107">
        <f xml:space="preserve"> $AC$3/H107 + $AC$6/A107 * Performance!$E$12 + Performance!$E$23/Constraints!$AC$6 * Constraints!A107</f>
        <v>0.74393473503308027</v>
      </c>
      <c r="L107">
        <f xml:space="preserve"> $AC$3/I107 + $AC$6/A107 * Performance!$E$12 + Performance!$E$23/Constraints!$AC$6 * Constraints!A107</f>
        <v>0.71586260849383665</v>
      </c>
      <c r="M107">
        <f>SIN($AC$9 * PI()/180) + 1/Performance!$AE$5</f>
        <v>0.24073077270730886</v>
      </c>
      <c r="N107">
        <f>SIN($AC$9 * PI()/180) + 1/Performance!$AE$8</f>
        <v>0.22738716112204788</v>
      </c>
      <c r="O107" s="60">
        <f>$AC$16 * (Performance!$E$12/Constraints!A107 + Performance!$E$23 * (Constraints!$AC$13/Constraints!$AC$17)^2 * Constraints!A107)</f>
        <v>4.9180034938401675E-4</v>
      </c>
      <c r="P107">
        <f t="shared" si="7"/>
        <v>5169.3477503285976</v>
      </c>
      <c r="Q107">
        <f t="shared" si="8"/>
        <v>20.958630212462698</v>
      </c>
      <c r="R107">
        <f t="shared" si="9"/>
        <v>23.192135372452903</v>
      </c>
      <c r="S107">
        <f xml:space="preserve"> 1.667/G107 + P107/A107 * Performance!$E$12 + Performance!$E$23 / Constraints!P107 * Constraints!A107</f>
        <v>2.9661744808620814</v>
      </c>
      <c r="T107">
        <f xml:space="preserve"> 1.667/H107 + Q107/A107 * Performance!$E$12 + Performance!$E$23 / Constraints!Q107 * Constraints!A107</f>
        <v>0.29249751091598702</v>
      </c>
      <c r="U107">
        <f xml:space="preserve"> 1.667/I107 + R107/A107 * Performance!$E$12 + Performance!$E$23 / Constraints!R107 * Constraints!A107</f>
        <v>0.27551543175203674</v>
      </c>
    </row>
    <row r="108" spans="1:21" x14ac:dyDescent="0.3">
      <c r="A108" s="51">
        <v>53</v>
      </c>
      <c r="B108" s="50">
        <f>$V$4*Performance!$E$12*(1/A108)+Performance!$E$23*(1/Constraints!$V$4)*Constraints!A108</f>
        <v>0.53793985189141302</v>
      </c>
      <c r="C108" s="50">
        <f>$V$5*Performance!$E$12*(1/A108)+Performance!$E$23*(1/Constraints!$V$5)*Constraints!A108</f>
        <v>0.83784459263010425</v>
      </c>
      <c r="D108" s="52">
        <f t="shared" si="5"/>
        <v>0.27743728550227326</v>
      </c>
      <c r="E108" s="52">
        <f>$V$4*Performance!$E$12*(1/A108)+Performance!$E$23*(1/Constraints!$V$9)*Constraints!A108</f>
        <v>0.53770049540244902</v>
      </c>
      <c r="F108" s="52">
        <f xml:space="preserve"> 1.21 / (9.81 * Constraints!$N$7 * Performance!$E$15 * Constraints!$N$5 ) * Constraints!A108 + 0.605 /Performance!$E$15 * (Performance!$E$16  - Constraints!$N$6 * Performance!$E$14) + Constraints!$N$6</f>
        <v>0.27740786421226077</v>
      </c>
      <c r="G108">
        <f t="shared" si="6"/>
        <v>140.98259999999999</v>
      </c>
      <c r="H108" s="55">
        <f>SQRT(2/$V$3 * A108 * SQRT(Performance!$E$23 / (3 * Performance!$E$12)))</f>
        <v>8.9767311611504415</v>
      </c>
      <c r="I108" s="55">
        <f>SQRT(2/$V$3 * A108 * (SQRT(Performance!$E$23)/(SQRT(3*Performance!$E$12 + 4* Performance!$E$23 * Performance!$E$11^2) - SQRT(Performance!$E$23)*Performance!$E$11)))</f>
        <v>9.4429380391792233</v>
      </c>
      <c r="J108">
        <f xml:space="preserve"> $AC$3/G108 + $AC$6/A108 * Performance!$E$12 + Performance!$E$23/Constraints!$AC$6 * Constraints!A108</f>
        <v>0.21291502640294183</v>
      </c>
      <c r="K108">
        <f xml:space="preserve"> $AC$3/H108 + $AC$6/A108 * Performance!$E$12 + Performance!$E$23/Constraints!$AC$6 * Constraints!A108</f>
        <v>0.74278976786634598</v>
      </c>
      <c r="L108">
        <f xml:space="preserve"> $AC$3/I108 + $AC$6/A108 * Performance!$E$12 + Performance!$E$23/Constraints!$AC$6 * Constraints!A108</f>
        <v>0.71485037080134606</v>
      </c>
      <c r="M108">
        <f>SIN($AC$9 * PI()/180) + 1/Performance!$AE$5</f>
        <v>0.24073077270730886</v>
      </c>
      <c r="N108">
        <f>SIN($AC$9 * PI()/180) + 1/Performance!$AE$8</f>
        <v>0.22738716112204788</v>
      </c>
      <c r="O108" s="60">
        <f>$AC$16 * (Performance!$E$12/Constraints!A108 + Performance!$E$23 * (Constraints!$AC$13/Constraints!$AC$17)^2 * Constraints!A108)</f>
        <v>4.8761076142899887E-4</v>
      </c>
      <c r="P108">
        <f t="shared" si="7"/>
        <v>5218.8408676258932</v>
      </c>
      <c r="Q108">
        <f t="shared" si="8"/>
        <v>21.158236214486156</v>
      </c>
      <c r="R108">
        <f t="shared" si="9"/>
        <v>23.413012852190548</v>
      </c>
      <c r="S108">
        <f xml:space="preserve"> 1.667/G108 + P108/A108 * Performance!$E$12 + Performance!$E$23 / Constraints!P108 * Constraints!A108</f>
        <v>2.9662658606560264</v>
      </c>
      <c r="T108">
        <f xml:space="preserve"> 1.667/H108 + Q108/A108 * Performance!$E$12 + Performance!$E$23 / Constraints!Q108 * Constraints!A108</f>
        <v>0.2916153095513615</v>
      </c>
      <c r="U108">
        <f xml:space="preserve"> 1.667/I108 + R108/A108 * Performance!$E$12 + Performance!$E$23 / Constraints!R108 * Constraints!A108</f>
        <v>0.2746767855121286</v>
      </c>
    </row>
    <row r="109" spans="1:21" x14ac:dyDescent="0.3">
      <c r="A109" s="51">
        <v>53.5</v>
      </c>
      <c r="B109" s="50">
        <f>$V$4*Performance!$E$12*(1/A109)+Performance!$E$23*(1/Constraints!$V$4)*Constraints!A109</f>
        <v>0.53295180550695131</v>
      </c>
      <c r="C109" s="50">
        <f>$V$5*Performance!$E$12*(1/A109)+Performance!$E$23*(1/Constraints!$V$5)*Constraints!A109</f>
        <v>0.83003952645864743</v>
      </c>
      <c r="D109" s="52">
        <f t="shared" si="5"/>
        <v>0.27770957121455886</v>
      </c>
      <c r="E109" s="52">
        <f>$V$4*Performance!$E$12*(1/A109)+Performance!$E$23*(1/Constraints!$V$9)*Constraints!A109</f>
        <v>0.53271019093790284</v>
      </c>
      <c r="F109" s="52">
        <f xml:space="preserve"> 1.21 / (9.81 * Constraints!$N$7 * Performance!$E$15 * Constraints!$N$5 ) * Constraints!A109 + 0.605 /Performance!$E$15 * (Performance!$E$16  - Constraints!$N$6 * Performance!$E$14) + Constraints!$N$6</f>
        <v>0.27767987236520664</v>
      </c>
      <c r="G109">
        <f t="shared" si="6"/>
        <v>141.65269999999998</v>
      </c>
      <c r="H109" s="55">
        <f>SQRT(2/$V$3 * A109 * SQRT(Performance!$E$23 / (3 * Performance!$E$12)))</f>
        <v>9.0189748352360919</v>
      </c>
      <c r="I109" s="55">
        <f>SQRT(2/$V$3 * A109 * (SQRT(Performance!$E$23)/(SQRT(3*Performance!$E$12 + 4* Performance!$E$23 * Performance!$E$11^2) - SQRT(Performance!$E$23)*Performance!$E$11)))</f>
        <v>9.4873756401028722</v>
      </c>
      <c r="J109">
        <f xml:space="preserve"> $AC$3/G109 + $AC$6/A109 * Performance!$E$12 + Performance!$E$23/Constraints!$AC$6 * Constraints!A109</f>
        <v>0.21428919120940307</v>
      </c>
      <c r="K109">
        <f xml:space="preserve"> $AC$3/H109 + $AC$6/A109 * Performance!$E$12 + Performance!$E$23/Constraints!$AC$6 * Constraints!A109</f>
        <v>0.7416837534866898</v>
      </c>
      <c r="L109">
        <f xml:space="preserve"> $AC$3/I109 + $AC$6/A109 * Performance!$E$12 + Performance!$E$23/Constraints!$AC$6 * Constraints!A109</f>
        <v>0.71387522082760335</v>
      </c>
      <c r="M109">
        <f>SIN($AC$9 * PI()/180) + 1/Performance!$AE$5</f>
        <v>0.24073077270730886</v>
      </c>
      <c r="N109">
        <f>SIN($AC$9 * PI()/180) + 1/Performance!$AE$8</f>
        <v>0.22738716112204788</v>
      </c>
      <c r="O109" s="60">
        <f>$AC$16 * (Performance!$E$12/Constraints!A109 + Performance!$E$23 * (Constraints!$AC$13/Constraints!$AC$17)^2 * Constraints!A109)</f>
        <v>4.8350370942514014E-4</v>
      </c>
      <c r="P109">
        <f t="shared" si="7"/>
        <v>5268.5697895134635</v>
      </c>
      <c r="Q109">
        <f t="shared" si="8"/>
        <v>21.35784221650961</v>
      </c>
      <c r="R109">
        <f t="shared" si="9"/>
        <v>23.6338903319282</v>
      </c>
      <c r="S109">
        <f xml:space="preserve"> 1.667/G109 + P109/A109 * Performance!$E$12 + Performance!$E$23 / Constraints!P109 * Constraints!A109</f>
        <v>2.9664872210105546</v>
      </c>
      <c r="T109">
        <f xml:space="preserve"> 1.667/H109 + Q109/A109 * Performance!$E$12 + Performance!$E$23 / Constraints!Q109 * Constraints!A109</f>
        <v>0.29074550457295867</v>
      </c>
      <c r="U109">
        <f xml:space="preserve"> 1.667/I109 + R109/A109 * Performance!$E$12 + Performance!$E$23 / Constraints!R109 * Constraints!A109</f>
        <v>0.27384992363700489</v>
      </c>
    </row>
    <row r="110" spans="1:21" x14ac:dyDescent="0.3">
      <c r="A110" s="51">
        <v>54</v>
      </c>
      <c r="B110" s="50">
        <f>$V$4*Performance!$E$12*(1/A110)+Performance!$E$23*(1/Constraints!$V$4)*Constraints!A110</f>
        <v>0.52805649714793257</v>
      </c>
      <c r="C110" s="50">
        <f>$V$5*Performance!$E$12*(1/A110)+Performance!$E$23*(1/Constraints!$V$5)*Constraints!A110</f>
        <v>0.82237923350983044</v>
      </c>
      <c r="D110" s="52">
        <f t="shared" si="5"/>
        <v>0.27798185692684446</v>
      </c>
      <c r="E110" s="52">
        <f>$V$4*Performance!$E$12*(1/A110)+Performance!$E$23*(1/Constraints!$V$9)*Constraints!A110</f>
        <v>0.52781262449879951</v>
      </c>
      <c r="F110" s="52">
        <f xml:space="preserve"> 1.21 / (9.81 * Constraints!$N$7 * Performance!$E$15 * Constraints!$N$5 ) * Constraints!A110 + 0.605 /Performance!$E$15 * (Performance!$E$16  - Constraints!$N$6 * Performance!$E$14) + Constraints!$N$6</f>
        <v>0.27795188051815245</v>
      </c>
      <c r="G110">
        <f t="shared" si="6"/>
        <v>142.3228</v>
      </c>
      <c r="H110" s="55">
        <f>SQRT(2/$V$3 * A110 * SQRT(Performance!$E$23 / (3 * Performance!$E$12)))</f>
        <v>9.0610215658983186</v>
      </c>
      <c r="I110" s="55">
        <f>SQRT(2/$V$3 * A110 * (SQRT(Performance!$E$23)/(SQRT(3*Performance!$E$12 + 4* Performance!$E$23 * Performance!$E$11^2) - SQRT(Performance!$E$23)*Performance!$E$11)))</f>
        <v>9.531606069338828</v>
      </c>
      <c r="J110">
        <f xml:space="preserve"> $AC$3/G110 + $AC$6/A110 * Performance!$E$12 + Performance!$E$23/Constraints!$AC$6 * Constraints!A110</f>
        <v>0.21566610462419389</v>
      </c>
      <c r="K110">
        <f xml:space="preserve"> $AC$3/H110 + $AC$6/A110 * Performance!$E$12 + Performance!$E$23/Constraints!$AC$6 * Constraints!A110</f>
        <v>0.74061578272400641</v>
      </c>
      <c r="L110">
        <f xml:space="preserve"> $AC$3/I110 + $AC$6/A110 * Performance!$E$12 + Performance!$E$23/Constraints!$AC$6 * Constraints!A110</f>
        <v>0.7129362926761007</v>
      </c>
      <c r="M110">
        <f>SIN($AC$9 * PI()/180) + 1/Performance!$AE$5</f>
        <v>0.24073077270730886</v>
      </c>
      <c r="N110">
        <f>SIN($AC$9 * PI()/180) + 1/Performance!$AE$8</f>
        <v>0.22738716112204788</v>
      </c>
      <c r="O110" s="60">
        <f>$AC$16 * (Performance!$E$12/Constraints!A110 + Performance!$E$23 * (Constraints!$AC$13/Constraints!$AC$17)^2 * Constraints!A110)</f>
        <v>4.7947690070713068E-4</v>
      </c>
      <c r="P110">
        <f t="shared" si="7"/>
        <v>5318.5345159913113</v>
      </c>
      <c r="Q110">
        <f t="shared" si="8"/>
        <v>21.557448218533057</v>
      </c>
      <c r="R110">
        <f t="shared" si="9"/>
        <v>23.854767811665841</v>
      </c>
      <c r="S110">
        <f xml:space="preserve"> 1.667/G110 + P110/A110 * Performance!$E$12 + Performance!$E$23 / Constraints!P110 * Constraints!A110</f>
        <v>2.9668349586581031</v>
      </c>
      <c r="T110">
        <f xml:space="preserve"> 1.667/H110 + Q110/A110 * Performance!$E$12 + Performance!$E$23 / Constraints!Q110 * Constraints!A110</f>
        <v>0.28988780835795319</v>
      </c>
      <c r="U110">
        <f xml:space="preserve"> 1.667/I110 + R110/A110 * Performance!$E$12 + Performance!$E$23 / Constraints!R110 * Constraints!A110</f>
        <v>0.27303457270405418</v>
      </c>
    </row>
    <row r="111" spans="1:21" x14ac:dyDescent="0.3">
      <c r="A111" s="51">
        <v>54.5</v>
      </c>
      <c r="B111" s="50">
        <f>$V$4*Performance!$E$12*(1/A111)+Performance!$E$23*(1/Constraints!$V$4)*Constraints!A111</f>
        <v>0.52325137439163827</v>
      </c>
      <c r="C111" s="50">
        <f>$V$5*Performance!$E$12*(1/A111)+Performance!$E$23*(1/Constraints!$V$5)*Constraints!A111</f>
        <v>0.81485972919954419</v>
      </c>
      <c r="D111" s="52">
        <f t="shared" si="5"/>
        <v>0.27825414263913006</v>
      </c>
      <c r="E111" s="52">
        <f>$V$4*Performance!$E$12*(1/A111)+Performance!$E$23*(1/Constraints!$V$9)*Constraints!A111</f>
        <v>0.52300524366242063</v>
      </c>
      <c r="F111" s="52">
        <f xml:space="preserve"> 1.21 / (9.81 * Constraints!$N$7 * Performance!$E$15 * Constraints!$N$5 ) * Constraints!A111 + 0.605 /Performance!$E$15 * (Performance!$E$16  - Constraints!$N$6 * Performance!$E$14) + Constraints!$N$6</f>
        <v>0.27822388867109832</v>
      </c>
      <c r="G111">
        <f t="shared" si="6"/>
        <v>142.99290000000002</v>
      </c>
      <c r="H111" s="55">
        <f>SQRT(2/$V$3 * A111 * SQRT(Performance!$E$23 / (3 * Performance!$E$12)))</f>
        <v>9.102874082218591</v>
      </c>
      <c r="I111" s="55">
        <f>SQRT(2/$V$3 * A111 * (SQRT(Performance!$E$23)/(SQRT(3*Performance!$E$12 + 4* Performance!$E$23 * Performance!$E$11^2) - SQRT(Performance!$E$23)*Performance!$E$11)))</f>
        <v>9.5756321977035128</v>
      </c>
      <c r="J111">
        <f xml:space="preserve"> $AC$3/G111 + $AC$6/A111 * Performance!$E$12 + Performance!$E$23/Constraints!$AC$6 * Constraints!A111</f>
        <v>0.2170457126092229</v>
      </c>
      <c r="K111">
        <f xml:space="preserve"> $AC$3/H111 + $AC$6/A111 * Performance!$E$12 + Performance!$E$23/Constraints!$AC$6 * Constraints!A111</f>
        <v>0.73958497581674809</v>
      </c>
      <c r="L111">
        <f xml:space="preserve"> $AC$3/I111 + $AC$6/A111 * Performance!$E$12 + Performance!$E$23/Constraints!$AC$6 * Constraints!A111</f>
        <v>0.71203274846615128</v>
      </c>
      <c r="M111">
        <f>SIN($AC$9 * PI()/180) + 1/Performance!$AE$5</f>
        <v>0.24073077270730886</v>
      </c>
      <c r="N111">
        <f>SIN($AC$9 * PI()/180) + 1/Performance!$AE$8</f>
        <v>0.22738716112204788</v>
      </c>
      <c r="O111" s="60">
        <f>$AC$16 * (Performance!$E$12/Constraints!A111 + Performance!$E$23 * (Constraints!$AC$13/Constraints!$AC$17)^2 * Constraints!A111)</f>
        <v>4.7552812674416721E-4</v>
      </c>
      <c r="P111">
        <f t="shared" si="7"/>
        <v>5368.7350470594329</v>
      </c>
      <c r="Q111">
        <f t="shared" si="8"/>
        <v>21.757054220556512</v>
      </c>
      <c r="R111">
        <f t="shared" si="9"/>
        <v>24.075645291403493</v>
      </c>
      <c r="S111">
        <f xml:space="preserve"> 1.667/G111 + P111/A111 * Performance!$E$12 + Performance!$E$23 / Constraints!P111 * Constraints!A111</f>
        <v>2.9673056024296955</v>
      </c>
      <c r="T111">
        <f xml:space="preserve"> 1.667/H111 + Q111/A111 * Performance!$E$12 + Performance!$E$23 / Constraints!Q111 * Constraints!A111</f>
        <v>0.28904194254049542</v>
      </c>
      <c r="U111">
        <f xml:space="preserve"> 1.667/I111 + R111/A111 * Performance!$E$12 + Performance!$E$23 / Constraints!R111 * Constraints!A111</f>
        <v>0.27223046809061485</v>
      </c>
    </row>
    <row r="112" spans="1:21" x14ac:dyDescent="0.3">
      <c r="A112" s="51">
        <v>55</v>
      </c>
      <c r="B112" s="50">
        <f>$V$4*Performance!$E$12*(1/A112)+Performance!$E$23*(1/Constraints!$V$4)*Constraints!A112</f>
        <v>0.51853397763072095</v>
      </c>
      <c r="C112" s="50">
        <f>$V$5*Performance!$E$12*(1/A112)+Performance!$E$23*(1/Constraints!$V$5)*Constraints!A112</f>
        <v>0.80747717383764661</v>
      </c>
      <c r="D112" s="52">
        <f t="shared" si="5"/>
        <v>0.27852642835141567</v>
      </c>
      <c r="E112" s="52">
        <f>$V$4*Performance!$E$12*(1/A112)+Performance!$E$23*(1/Constraints!$V$9)*Constraints!A112</f>
        <v>0.51828558882141873</v>
      </c>
      <c r="F112" s="52">
        <f xml:space="preserve"> 1.21 / (9.81 * Constraints!$N$7 * Performance!$E$15 * Constraints!$N$5 ) * Constraints!A112 + 0.605 /Performance!$E$15 * (Performance!$E$16  - Constraints!$N$6 * Performance!$E$14) + Constraints!$N$6</f>
        <v>0.27849589682404419</v>
      </c>
      <c r="G112">
        <f t="shared" si="6"/>
        <v>143.66300000000001</v>
      </c>
      <c r="H112" s="55">
        <f>SQRT(2/$V$3 * A112 * SQRT(Performance!$E$23 / (3 * Performance!$E$12)))</f>
        <v>9.1445350508256844</v>
      </c>
      <c r="I112" s="55">
        <f>SQRT(2/$V$3 * A112 * (SQRT(Performance!$E$23)/(SQRT(3*Performance!$E$12 + 4* Performance!$E$23 * Performance!$E$11^2) - SQRT(Performance!$E$23)*Performance!$E$11)))</f>
        <v>9.6194568303171675</v>
      </c>
      <c r="J112">
        <f xml:space="preserve"> $AC$3/G112 + $AC$6/A112 * Performance!$E$12 + Performance!$E$23/Constraints!$AC$6 * Constraints!A112</f>
        <v>0.21842796269186476</v>
      </c>
      <c r="K112">
        <f xml:space="preserve"> $AC$3/H112 + $AC$6/A112 * Performance!$E$12 + Performance!$E$23/Constraints!$AC$6 * Constraints!A112</f>
        <v>0.73859048120074533</v>
      </c>
      <c r="L112">
        <f xml:space="preserve"> $AC$3/I112 + $AC$6/A112 * Performance!$E$12 + Performance!$E$23/Constraints!$AC$6 * Constraints!A112</f>
        <v>0.71116377717881751</v>
      </c>
      <c r="M112">
        <f>SIN($AC$9 * PI()/180) + 1/Performance!$AE$5</f>
        <v>0.24073077270730886</v>
      </c>
      <c r="N112">
        <f>SIN($AC$9 * PI()/180) + 1/Performance!$AE$8</f>
        <v>0.22738716112204788</v>
      </c>
      <c r="O112" s="60">
        <f>$AC$16 * (Performance!$E$12/Constraints!A112 + Performance!$E$23 * (Constraints!$AC$13/Constraints!$AC$17)^2 * Constraints!A112)</f>
        <v>4.7165525931565767E-4</v>
      </c>
      <c r="P112">
        <f t="shared" si="7"/>
        <v>5419.1713827178282</v>
      </c>
      <c r="Q112">
        <f t="shared" si="8"/>
        <v>21.95666022257997</v>
      </c>
      <c r="R112">
        <f t="shared" si="9"/>
        <v>24.296522771141134</v>
      </c>
      <c r="S112">
        <f xml:space="preserve"> 1.667/G112 + P112/A112 * Performance!$E$12 + Performance!$E$23 / Constraints!P112 * Constraints!A112</f>
        <v>2.9678958072534067</v>
      </c>
      <c r="T112">
        <f xml:space="preserve"> 1.667/H112 + Q112/A112 * Performance!$E$12 + Performance!$E$23 / Constraints!Q112 * Constraints!A112</f>
        <v>0.28820763763214696</v>
      </c>
      <c r="U112">
        <f xml:space="preserve"> 1.667/I112 + R112/A112 * Performance!$E$12 + Performance!$E$23 / Constraints!R112 * Constraints!A112</f>
        <v>0.27143735361315052</v>
      </c>
    </row>
    <row r="113" spans="1:21" x14ac:dyDescent="0.3">
      <c r="A113" s="51">
        <v>55.5</v>
      </c>
      <c r="B113" s="50">
        <f>$V$4*Performance!$E$12*(1/A113)+Performance!$E$23*(1/Constraints!$V$4)*Constraints!A113</f>
        <v>0.51390193589233313</v>
      </c>
      <c r="C113" s="50">
        <f>$V$5*Performance!$E$12*(1/A113)+Performance!$E$23*(1/Constraints!$V$5)*Constraints!A113</f>
        <v>0.80022786610120855</v>
      </c>
      <c r="D113" s="52">
        <f t="shared" si="5"/>
        <v>0.27879871406370127</v>
      </c>
      <c r="E113" s="52">
        <f>$V$4*Performance!$E$12*(1/A113)+Performance!$E$23*(1/Constraints!$V$9)*Constraints!A113</f>
        <v>0.51365128900294643</v>
      </c>
      <c r="F113" s="52">
        <f xml:space="preserve"> 1.21 / (9.81 * Constraints!$N$7 * Performance!$E$15 * Constraints!$N$5 ) * Constraints!A113 + 0.605 /Performance!$E$15 * (Performance!$E$16  - Constraints!$N$6 * Performance!$E$14) + Constraints!$N$6</f>
        <v>0.27876790497699006</v>
      </c>
      <c r="G113">
        <f t="shared" si="6"/>
        <v>144.3331</v>
      </c>
      <c r="H113" s="55">
        <f>SQRT(2/$V$3 * A113 * SQRT(Performance!$E$23 / (3 * Performance!$E$12)))</f>
        <v>9.1860070778784007</v>
      </c>
      <c r="I113" s="55">
        <f>SQRT(2/$V$3 * A113 * (SQRT(Performance!$E$23)/(SQRT(3*Performance!$E$12 + 4* Performance!$E$23 * Performance!$E$11^2) - SQRT(Performance!$E$23)*Performance!$E$11)))</f>
        <v>9.6630827086895543</v>
      </c>
      <c r="J113">
        <f xml:space="preserve"> $AC$3/G113 + $AC$6/A113 * Performance!$E$12 + Performance!$E$23/Constraints!$AC$6 * Constraints!A113</f>
        <v>0.21981280390363542</v>
      </c>
      <c r="K113">
        <f xml:space="preserve"> $AC$3/H113 + $AC$6/A113 * Performance!$E$12 + Performance!$E$23/Constraints!$AC$6 * Constraints!A113</f>
        <v>0.73763147435841914</v>
      </c>
      <c r="L113">
        <f xml:space="preserve"> $AC$3/I113 + $AC$6/A113 * Performance!$E$12 + Performance!$E$23/Constraints!$AC$6 * Constraints!A113</f>
        <v>0.71032859356039291</v>
      </c>
      <c r="M113">
        <f>SIN($AC$9 * PI()/180) + 1/Performance!$AE$5</f>
        <v>0.24073077270730886</v>
      </c>
      <c r="N113">
        <f>SIN($AC$9 * PI()/180) + 1/Performance!$AE$8</f>
        <v>0.22738716112204788</v>
      </c>
      <c r="O113" s="60">
        <f>$AC$16 * (Performance!$E$12/Constraints!A113 + Performance!$E$23 * (Constraints!$AC$13/Constraints!$AC$17)^2 * Constraints!A113)</f>
        <v>4.6785624689364382E-4</v>
      </c>
      <c r="P113">
        <f t="shared" si="7"/>
        <v>5469.8435229664974</v>
      </c>
      <c r="Q113">
        <f t="shared" si="8"/>
        <v>22.156266224603431</v>
      </c>
      <c r="R113">
        <f t="shared" si="9"/>
        <v>24.51740025087879</v>
      </c>
      <c r="S113">
        <f xml:space="preserve"> 1.667/G113 + P113/A113 * Performance!$E$12 + Performance!$E$23 / Constraints!P113 * Constraints!A113</f>
        <v>2.9686023484771469</v>
      </c>
      <c r="T113">
        <f xml:space="preserve"> 1.667/H113 + Q113/A113 * Performance!$E$12 + Performance!$E$23 / Constraints!Q113 * Constraints!A113</f>
        <v>0.28738463266116648</v>
      </c>
      <c r="U113">
        <f xml:space="preserve"> 1.667/I113 + R113/A113 * Performance!$E$12 + Performance!$E$23 / Constraints!R113 * Constraints!A113</f>
        <v>0.270654981184344</v>
      </c>
    </row>
    <row r="114" spans="1:21" x14ac:dyDescent="0.3">
      <c r="A114" s="51">
        <v>56</v>
      </c>
      <c r="B114" s="50">
        <f>$V$4*Performance!$E$12*(1/A114)+Performance!$E$23*(1/Constraints!$V$4)*Constraints!A114</f>
        <v>0.509352962881228</v>
      </c>
      <c r="C114" s="50">
        <f>$V$5*Performance!$E$12*(1/A114)+Performance!$E$23*(1/Constraints!$V$5)*Constraints!A114</f>
        <v>0.79310823685740506</v>
      </c>
      <c r="D114" s="52">
        <f t="shared" si="5"/>
        <v>0.27907099977598682</v>
      </c>
      <c r="E114" s="52">
        <f>$V$4*Performance!$E$12*(1/A114)+Performance!$E$23*(1/Constraints!$V$9)*Constraints!A114</f>
        <v>0.50910005791175672</v>
      </c>
      <c r="F114" s="52">
        <f xml:space="preserve"> 1.21 / (9.81 * Constraints!$N$7 * Performance!$E$15 * Constraints!$N$5 ) * Constraints!A114 + 0.605 /Performance!$E$15 * (Performance!$E$16  - Constraints!$N$6 * Performance!$E$14) + Constraints!$N$6</f>
        <v>0.27903991312993592</v>
      </c>
      <c r="G114">
        <f t="shared" si="6"/>
        <v>145.00319999999999</v>
      </c>
      <c r="H114" s="55">
        <f>SQRT(2/$V$3 * A114 * SQRT(Performance!$E$23 / (3 * Performance!$E$12)))</f>
        <v>9.2272927109680758</v>
      </c>
      <c r="I114" s="55">
        <f>SQRT(2/$V$3 * A114 * (SQRT(Performance!$E$23)/(SQRT(3*Performance!$E$12 + 4* Performance!$E$23 * Performance!$E$11^2) - SQRT(Performance!$E$23)*Performance!$E$11)))</f>
        <v>9.7065125127212628</v>
      </c>
      <c r="J114">
        <f xml:space="preserve"> $AC$3/G114 + $AC$6/A114 * Performance!$E$12 + Performance!$E$23/Constraints!$AC$6 * Constraints!A114</f>
        <v>0.22120018672189967</v>
      </c>
      <c r="K114">
        <f xml:space="preserve"> $AC$3/H114 + $AC$6/A114 * Performance!$E$12 + Performance!$E$23/Constraints!$AC$6 * Constraints!A114</f>
        <v>0.73670715672485643</v>
      </c>
      <c r="L114">
        <f xml:space="preserve"> $AC$3/I114 + $AC$6/A114 * Performance!$E$12 + Performance!$E$23/Constraints!$AC$6 * Constraints!A114</f>
        <v>0.7095264370800769</v>
      </c>
      <c r="M114">
        <f>SIN($AC$9 * PI()/180) + 1/Performance!$AE$5</f>
        <v>0.24073077270730886</v>
      </c>
      <c r="N114">
        <f>SIN($AC$9 * PI()/180) + 1/Performance!$AE$8</f>
        <v>0.22738716112204788</v>
      </c>
      <c r="O114" s="60">
        <f>$AC$16 * (Performance!$E$12/Constraints!A114 + Performance!$E$23 * (Constraints!$AC$13/Constraints!$AC$17)^2 * Constraints!A114)</f>
        <v>4.6412911121902311E-4</v>
      </c>
      <c r="P114">
        <f t="shared" si="7"/>
        <v>5520.7514678054422</v>
      </c>
      <c r="Q114">
        <f t="shared" si="8"/>
        <v>22.355872226626879</v>
      </c>
      <c r="R114">
        <f t="shared" si="9"/>
        <v>24.738277730616431</v>
      </c>
      <c r="S114">
        <f xml:space="preserve"> 1.667/G114 + P114/A114 * Performance!$E$12 + Performance!$E$23 / Constraints!P114 * Constraints!A114</f>
        <v>2.9694221164955095</v>
      </c>
      <c r="T114">
        <f xml:space="preserve"> 1.667/H114 + Q114/A114 * Performance!$E$12 + Performance!$E$23 / Constraints!Q114 * Constraints!A114</f>
        <v>0.28657267482954896</v>
      </c>
      <c r="U114">
        <f xml:space="preserve"> 1.667/I114 + R114/A114 * Performance!$E$12 + Performance!$E$23 / Constraints!R114 * Constraints!A114</f>
        <v>0.26988311048706948</v>
      </c>
    </row>
    <row r="115" spans="1:21" x14ac:dyDescent="0.3">
      <c r="A115" s="51">
        <v>56.5</v>
      </c>
      <c r="B115" s="50">
        <f>$V$4*Performance!$E$12*(1/A115)+Performance!$E$23*(1/Constraints!$V$4)*Constraints!A115</f>
        <v>0.50488485323296484</v>
      </c>
      <c r="C115" s="50">
        <f>$V$5*Performance!$E$12*(1/A115)+Performance!$E$23*(1/Constraints!$V$5)*Constraints!A115</f>
        <v>0.78611484331439641</v>
      </c>
      <c r="D115" s="52">
        <f t="shared" si="5"/>
        <v>0.27934328548827242</v>
      </c>
      <c r="E115" s="52">
        <f>$V$4*Performance!$E$12*(1/A115)+Performance!$E$23*(1/Constraints!$V$9)*Constraints!A115</f>
        <v>0.50462969018340897</v>
      </c>
      <c r="F115" s="52">
        <f xml:space="preserve"> 1.21 / (9.81 * Constraints!$N$7 * Performance!$E$15 * Constraints!$N$5 ) * Constraints!A115 + 0.605 /Performance!$E$15 * (Performance!$E$16  - Constraints!$N$6 * Performance!$E$14) + Constraints!$N$6</f>
        <v>0.27931192128288174</v>
      </c>
      <c r="G115">
        <f t="shared" si="6"/>
        <v>145.67329999999998</v>
      </c>
      <c r="H115" s="55">
        <f>SQRT(2/$V$3 * A115 * SQRT(Performance!$E$23 / (3 * Performance!$E$12)))</f>
        <v>9.2683944409448351</v>
      </c>
      <c r="I115" s="55">
        <f>SQRT(2/$V$3 * A115 * (SQRT(Performance!$E$23)/(SQRT(3*Performance!$E$12 + 4* Performance!$E$23 * Performance!$E$11^2) - SQRT(Performance!$E$23)*Performance!$E$11)))</f>
        <v>9.7497488626248145</v>
      </c>
      <c r="J115">
        <f xml:space="preserve"> $AC$3/G115 + $AC$6/A115 * Performance!$E$12 + Performance!$E$23/Constraints!$AC$6 * Constraints!A115</f>
        <v>0.22259006301443207</v>
      </c>
      <c r="K115">
        <f xml:space="preserve"> $AC$3/H115 + $AC$6/A115 * Performance!$E$12 + Performance!$E$23/Constraints!$AC$6 * Constraints!A115</f>
        <v>0.73581675464745699</v>
      </c>
      <c r="L115">
        <f xml:space="preserve"> $AC$3/I115 + $AC$6/A115 * Performance!$E$12 + Performance!$E$23/Constraints!$AC$6 * Constraints!A115</f>
        <v>0.70875657093870537</v>
      </c>
      <c r="M115">
        <f>SIN($AC$9 * PI()/180) + 1/Performance!$AE$5</f>
        <v>0.24073077270730886</v>
      </c>
      <c r="N115">
        <f>SIN($AC$9 * PI()/180) + 1/Performance!$AE$8</f>
        <v>0.22738716112204788</v>
      </c>
      <c r="O115" s="60">
        <f>$AC$16 * (Performance!$E$12/Constraints!A115 + Performance!$E$23 * (Constraints!$AC$13/Constraints!$AC$17)^2 * Constraints!A115)</f>
        <v>4.6047194405956371E-4</v>
      </c>
      <c r="P115">
        <f t="shared" si="7"/>
        <v>5571.8952172346617</v>
      </c>
      <c r="Q115">
        <f t="shared" si="8"/>
        <v>22.555478228650333</v>
      </c>
      <c r="R115">
        <f t="shared" si="9"/>
        <v>24.95915521035408</v>
      </c>
      <c r="S115">
        <f xml:space="preserve"> 1.667/G115 + P115/A115 * Performance!$E$12 + Performance!$E$23 / Constraints!P115 * Constraints!A115</f>
        <v>2.9703521116618483</v>
      </c>
      <c r="T115">
        <f xml:space="preserve"> 1.667/H115 + Q115/A115 * Performance!$E$12 + Performance!$E$23 / Constraints!Q115 * Constraints!A115</f>
        <v>0.28577151918679489</v>
      </c>
      <c r="U115">
        <f xml:space="preserve"> 1.667/I115 + R115/A115 * Performance!$E$12 + Performance!$E$23 / Constraints!R115 * Constraints!A115</f>
        <v>0.26912150866426787</v>
      </c>
    </row>
    <row r="116" spans="1:21" x14ac:dyDescent="0.3">
      <c r="A116" s="51">
        <v>57</v>
      </c>
      <c r="B116" s="50">
        <f>$V$4*Performance!$E$12*(1/A116)+Performance!$E$23*(1/Constraints!$V$4)*Constraints!A116</f>
        <v>0.50049547896431079</v>
      </c>
      <c r="C116" s="50">
        <f>$V$5*Performance!$E$12*(1/A116)+Performance!$E$23*(1/Constraints!$V$5)*Constraints!A116</f>
        <v>0.77924436348005621</v>
      </c>
      <c r="D116" s="52">
        <f t="shared" si="5"/>
        <v>0.27961557120055802</v>
      </c>
      <c r="E116" s="52">
        <f>$V$4*Performance!$E$12*(1/A116)+Performance!$E$23*(1/Constraints!$V$9)*Constraints!A116</f>
        <v>0.50023805783467024</v>
      </c>
      <c r="F116" s="52">
        <f xml:space="preserve"> 1.21 / (9.81 * Constraints!$N$7 * Performance!$E$15 * Constraints!$N$5 ) * Constraints!A116 + 0.605 /Performance!$E$15 * (Performance!$E$16  - Constraints!$N$6 * Performance!$E$14) + Constraints!$N$6</f>
        <v>0.27958392943582761</v>
      </c>
      <c r="G116">
        <f t="shared" si="6"/>
        <v>146.3434</v>
      </c>
      <c r="H116" s="55">
        <f>SQRT(2/$V$3 * A116 * SQRT(Performance!$E$23 / (3 * Performance!$E$12)))</f>
        <v>9.309314703671248</v>
      </c>
      <c r="I116" s="55">
        <f>SQRT(2/$V$3 * A116 * (SQRT(Performance!$E$23)/(SQRT(3*Performance!$E$12 + 4* Performance!$E$23 * Performance!$E$11^2) - SQRT(Performance!$E$23)*Performance!$E$11)))</f>
        <v>9.7927943207693939</v>
      </c>
      <c r="J116">
        <f xml:space="preserve"> $AC$3/G116 + $AC$6/A116 * Performance!$E$12 + Performance!$E$23/Constraints!$AC$6 * Constraints!A116</f>
        <v>0.22398238598666267</v>
      </c>
      <c r="K116">
        <f xml:space="preserve"> $AC$3/H116 + $AC$6/A116 * Performance!$E$12 + Performance!$E$23/Constraints!$AC$6 * Constraints!A116</f>
        <v>0.73495951839608709</v>
      </c>
      <c r="L116">
        <f xml:space="preserve"> $AC$3/I116 + $AC$6/A116 * Performance!$E$12 + Performance!$E$23/Constraints!$AC$6 * Constraints!A116</f>
        <v>0.70801828112561083</v>
      </c>
      <c r="M116">
        <f>SIN($AC$9 * PI()/180) + 1/Performance!$AE$5</f>
        <v>0.24073077270730886</v>
      </c>
      <c r="N116">
        <f>SIN($AC$9 * PI()/180) + 1/Performance!$AE$8</f>
        <v>0.22738716112204788</v>
      </c>
      <c r="O116" s="60">
        <f>$AC$16 * (Performance!$E$12/Constraints!A116 + Performance!$E$23 * (Constraints!$AC$13/Constraints!$AC$17)^2 * Constraints!A116)</f>
        <v>4.5688290413855106E-4</v>
      </c>
      <c r="P116">
        <f t="shared" si="7"/>
        <v>5623.2747712541595</v>
      </c>
      <c r="Q116">
        <f t="shared" si="8"/>
        <v>22.755084230673795</v>
      </c>
      <c r="R116">
        <f t="shared" si="9"/>
        <v>25.180032690091728</v>
      </c>
      <c r="S116">
        <f xml:space="preserve"> 1.667/G116 + P116/A116 * Performance!$E$12 + Performance!$E$23 / Constraints!P116 * Constraints!A116</f>
        <v>2.9713894394680698</v>
      </c>
      <c r="T116">
        <f xml:space="preserve"> 1.667/H116 + Q116/A116 * Performance!$E$12 + Performance!$E$23 / Constraints!Q116 * Constraints!A116</f>
        <v>0.28498092831945437</v>
      </c>
      <c r="U116">
        <f xml:space="preserve"> 1.667/I116 + R116/A116 * Performance!$E$12 + Performance!$E$23 / Constraints!R116 * Constraints!A116</f>
        <v>0.26836995002381814</v>
      </c>
    </row>
    <row r="117" spans="1:21" x14ac:dyDescent="0.3">
      <c r="A117" s="51">
        <v>57.5</v>
      </c>
      <c r="B117" s="50">
        <f>$V$4*Performance!$E$12*(1/A117)+Performance!$E$23*(1/Constraints!$V$4)*Constraints!A117</f>
        <v>0.49618278610884115</v>
      </c>
      <c r="C117" s="50">
        <f>$V$5*Performance!$E$12*(1/A117)+Performance!$E$23*(1/Constraints!$V$5)*Constraints!A117</f>
        <v>0.77249359090981073</v>
      </c>
      <c r="D117" s="52">
        <f t="shared" si="5"/>
        <v>0.27988785691284362</v>
      </c>
      <c r="E117" s="52">
        <f>$V$4*Performance!$E$12*(1/A117)+Performance!$E$23*(1/Constraints!$V$9)*Constraints!A117</f>
        <v>0.49592310689911612</v>
      </c>
      <c r="F117" s="52">
        <f xml:space="preserve"> 1.21 / (9.81 * Constraints!$N$7 * Performance!$E$15 * Constraints!$N$5 ) * Constraints!A117 + 0.605 /Performance!$E$15 * (Performance!$E$16  - Constraints!$N$6 * Performance!$E$14) + Constraints!$N$6</f>
        <v>0.27985593758877347</v>
      </c>
      <c r="G117">
        <f t="shared" si="6"/>
        <v>147.01350000000002</v>
      </c>
      <c r="H117" s="55">
        <f>SQRT(2/$V$3 * A117 * SQRT(Performance!$E$23 / (3 * Performance!$E$12)))</f>
        <v>9.3500558817069219</v>
      </c>
      <c r="I117" s="55">
        <f>SQRT(2/$V$3 * A117 * (SQRT(Performance!$E$23)/(SQRT(3*Performance!$E$12 + 4* Performance!$E$23 * Performance!$E$11^2) - SQRT(Performance!$E$23)*Performance!$E$11)))</f>
        <v>9.8356513934529364</v>
      </c>
      <c r="J117">
        <f xml:space="preserve"> $AC$3/G117 + $AC$6/A117 * Performance!$E$12 + Performance!$E$23/Constraints!$AC$6 * Constraints!A117</f>
        <v>0.22537711013145265</v>
      </c>
      <c r="K117">
        <f xml:space="preserve"> $AC$3/H117 + $AC$6/A117 * Performance!$E$12 + Performance!$E$23/Constraints!$AC$6 * Constraints!A117</f>
        <v>0.73413472122085888</v>
      </c>
      <c r="L117">
        <f xml:space="preserve"> $AC$3/I117 + $AC$6/A117 * Performance!$E$12 + Performance!$E$23/Constraints!$AC$6 * Constraints!A117</f>
        <v>0.70731087552087413</v>
      </c>
      <c r="M117">
        <f>SIN($AC$9 * PI()/180) + 1/Performance!$AE$5</f>
        <v>0.24073077270730886</v>
      </c>
      <c r="N117">
        <f>SIN($AC$9 * PI()/180) + 1/Performance!$AE$8</f>
        <v>0.22738716112204788</v>
      </c>
      <c r="O117" s="60">
        <f>$AC$16 * (Performance!$E$12/Constraints!A117 + Performance!$E$23 * (Constraints!$AC$13/Constraints!$AC$17)^2 * Constraints!A117)</f>
        <v>4.5336021422367773E-4</v>
      </c>
      <c r="P117">
        <f t="shared" si="7"/>
        <v>5674.8901298639303</v>
      </c>
      <c r="Q117">
        <f t="shared" si="8"/>
        <v>22.954690232697242</v>
      </c>
      <c r="R117">
        <f t="shared" si="9"/>
        <v>25.400910169829373</v>
      </c>
      <c r="S117">
        <f xml:space="preserve"> 1.667/G117 + P117/A117 * Performance!$E$12 + Performance!$E$23 / Constraints!P117 * Constraints!A117</f>
        <v>2.9725313059758425</v>
      </c>
      <c r="T117">
        <f xml:space="preserve"> 1.667/H117 + Q117/A117 * Performance!$E$12 + Performance!$E$23 / Constraints!Q117 * Constraints!A117</f>
        <v>0.28420067205555111</v>
      </c>
      <c r="U117">
        <f xml:space="preserve"> 1.667/I117 + R117/A117 * Performance!$E$12 + Performance!$E$23 / Constraints!R117 * Constraints!A117</f>
        <v>0.26762821575755447</v>
      </c>
    </row>
    <row r="118" spans="1:21" x14ac:dyDescent="0.3">
      <c r="A118" s="51">
        <v>58</v>
      </c>
      <c r="B118" s="50">
        <f>$V$4*Performance!$E$12*(1/A118)+Performance!$E$23*(1/Constraints!$V$4)*Constraints!A118</f>
        <v>0.4919447915265599</v>
      </c>
      <c r="C118" s="50">
        <f>$V$5*Performance!$E$12*(1/A118)+Performance!$E$23*(1/Constraints!$V$5)*Constraints!A118</f>
        <v>0.76585942972614007</v>
      </c>
      <c r="D118" s="52">
        <f t="shared" si="5"/>
        <v>0.28016014262512923</v>
      </c>
      <c r="E118" s="52">
        <f>$V$4*Performance!$E$12*(1/A118)+Performance!$E$23*(1/Constraints!$V$9)*Constraints!A118</f>
        <v>0.49168285423675029</v>
      </c>
      <c r="F118" s="52">
        <f xml:space="preserve"> 1.21 / (9.81 * Constraints!$N$7 * Performance!$E$15 * Constraints!$N$5 ) * Constraints!A118 + 0.605 /Performance!$E$15 * (Performance!$E$16  - Constraints!$N$6 * Performance!$E$14) + Constraints!$N$6</f>
        <v>0.28012794574171934</v>
      </c>
      <c r="G118">
        <f t="shared" si="6"/>
        <v>147.68360000000001</v>
      </c>
      <c r="H118" s="55">
        <f>SQRT(2/$V$3 * A118 * SQRT(Performance!$E$23 / (3 * Performance!$E$12)))</f>
        <v>9.3906203059273334</v>
      </c>
      <c r="I118" s="55">
        <f>SQRT(2/$V$3 * A118 * (SQRT(Performance!$E$23)/(SQRT(3*Performance!$E$12 + 4* Performance!$E$23 * Performance!$E$11^2) - SQRT(Performance!$E$23)*Performance!$E$11)))</f>
        <v>9.8783225326050221</v>
      </c>
      <c r="J118">
        <f xml:space="preserve"> $AC$3/G118 + $AC$6/A118 * Performance!$E$12 + Performance!$E$23/Constraints!$AC$6 * Constraints!A118</f>
        <v>0.22677419118125311</v>
      </c>
      <c r="K118">
        <f xml:space="preserve"> $AC$3/H118 + $AC$6/A118 * Performance!$E$12 + Performance!$E$23/Constraints!$AC$6 * Constraints!A118</f>
        <v>0.73334165845485721</v>
      </c>
      <c r="L118">
        <f xml:space="preserve"> $AC$3/I118 + $AC$6/A118 * Performance!$E$12 + Performance!$E$23/Constraints!$AC$6 * Constraints!A118</f>
        <v>0.70663368304040741</v>
      </c>
      <c r="M118">
        <f>SIN($AC$9 * PI()/180) + 1/Performance!$AE$5</f>
        <v>0.24073077270730886</v>
      </c>
      <c r="N118">
        <f>SIN($AC$9 * PI()/180) + 1/Performance!$AE$8</f>
        <v>0.22738716112204788</v>
      </c>
      <c r="O118" s="60">
        <f>$AC$16 * (Performance!$E$12/Constraints!A118 + Performance!$E$23 * (Constraints!$AC$13/Constraints!$AC$17)^2 * Constraints!A118)</f>
        <v>4.4990215836650921E-4</v>
      </c>
      <c r="P118">
        <f t="shared" si="7"/>
        <v>5726.7412930639748</v>
      </c>
      <c r="Q118">
        <f t="shared" si="8"/>
        <v>23.1542962347207</v>
      </c>
      <c r="R118">
        <f t="shared" si="9"/>
        <v>25.621787649567018</v>
      </c>
      <c r="S118">
        <f xml:space="preserve"> 1.667/G118 + P118/A118 * Performance!$E$12 + Performance!$E$23 / Constraints!P118 * Constraints!A118</f>
        <v>2.9737750134840715</v>
      </c>
      <c r="T118">
        <f xml:space="preserve"> 1.667/H118 + Q118/A118 * Performance!$E$12 + Performance!$E$23 / Constraints!Q118 * Constraints!A118</f>
        <v>0.28343052718305112</v>
      </c>
      <c r="U118">
        <f xml:space="preserve"> 1.667/I118 + R118/A118 * Performance!$E$12 + Performance!$E$23 / Constraints!R118 * Constraints!A118</f>
        <v>0.26689609367363459</v>
      </c>
    </row>
    <row r="119" spans="1:21" x14ac:dyDescent="0.3">
      <c r="A119" s="51">
        <v>58.5</v>
      </c>
      <c r="B119" s="50">
        <f>$V$4*Performance!$E$12*(1/A119)+Performance!$E$23*(1/Constraints!$V$4)*Constraints!A119</f>
        <v>0.48777957987712894</v>
      </c>
      <c r="C119" s="50">
        <f>$V$5*Performance!$E$12*(1/A119)+Performance!$E$23*(1/Constraints!$V$5)*Constraints!A119</f>
        <v>0.75933888989349119</v>
      </c>
      <c r="D119" s="52">
        <f t="shared" si="5"/>
        <v>0.28043242833741483</v>
      </c>
      <c r="E119" s="52">
        <f>$V$4*Performance!$E$12*(1/A119)+Performance!$E$23*(1/Constraints!$V$9)*Constraints!A119</f>
        <v>0.48751538450723475</v>
      </c>
      <c r="F119" s="52">
        <f xml:space="preserve"> 1.21 / (9.81 * Constraints!$N$7 * Performance!$E$15 * Constraints!$N$5 ) * Constraints!A119 + 0.605 /Performance!$E$15 * (Performance!$E$16  - Constraints!$N$6 * Performance!$E$14) + Constraints!$N$6</f>
        <v>0.28039995389466515</v>
      </c>
      <c r="G119">
        <f t="shared" si="6"/>
        <v>148.3537</v>
      </c>
      <c r="H119" s="55">
        <f>SQRT(2/$V$3 * A119 * SQRT(Performance!$E$23 / (3 * Performance!$E$12)))</f>
        <v>9.4310102570799543</v>
      </c>
      <c r="I119" s="55">
        <f>SQRT(2/$V$3 * A119 * (SQRT(Performance!$E$23)/(SQRT(3*Performance!$E$12 + 4* Performance!$E$23 * Performance!$E$11^2) - SQRT(Performance!$E$23)*Performance!$E$11)))</f>
        <v>9.9208101374238353</v>
      </c>
      <c r="J119">
        <f xml:space="preserve"> $AC$3/G119 + $AC$6/A119 * Performance!$E$12 + Performance!$E$23/Constraints!$AC$6 * Constraints!A119</f>
        <v>0.22817358606251198</v>
      </c>
      <c r="K119">
        <f xml:space="preserve"> $AC$3/H119 + $AC$6/A119 * Performance!$E$12 + Performance!$E$23/Constraints!$AC$6 * Constraints!A119</f>
        <v>0.73257964665930286</v>
      </c>
      <c r="L119">
        <f xml:space="preserve"> $AC$3/I119 + $AC$6/A119 * Performance!$E$12 + Performance!$E$23/Constraints!$AC$6 * Constraints!A119</f>
        <v>0.7059860528214783</v>
      </c>
      <c r="M119">
        <f>SIN($AC$9 * PI()/180) + 1/Performance!$AE$5</f>
        <v>0.24073077270730886</v>
      </c>
      <c r="N119">
        <f>SIN($AC$9 * PI()/180) + 1/Performance!$AE$8</f>
        <v>0.22738716112204788</v>
      </c>
      <c r="O119" s="60">
        <f>$AC$16 * (Performance!$E$12/Constraints!A119 + Performance!$E$23 * (Constraints!$AC$13/Constraints!$AC$17)^2 * Constraints!A119)</f>
        <v>4.4650707928351455E-4</v>
      </c>
      <c r="P119">
        <f t="shared" si="7"/>
        <v>5778.8282608542941</v>
      </c>
      <c r="Q119">
        <f t="shared" si="8"/>
        <v>23.353902236744151</v>
      </c>
      <c r="R119">
        <f t="shared" si="9"/>
        <v>25.842665129304667</v>
      </c>
      <c r="S119">
        <f xml:space="preserve"> 1.667/G119 + P119/A119 * Performance!$E$12 + Performance!$E$23 / Constraints!P119 * Constraints!A119</f>
        <v>2.9751179564184831</v>
      </c>
      <c r="T119">
        <f xml:space="preserve"> 1.667/H119 + Q119/A119 * Performance!$E$12 + Performance!$E$23 / Constraints!Q119 * Constraints!A119</f>
        <v>0.28267027718159565</v>
      </c>
      <c r="U119">
        <f xml:space="preserve"> 1.667/I119 + R119/A119 * Performance!$E$12 + Performance!$E$23 / Constraints!R119 * Constraints!A119</f>
        <v>0.26617337794151663</v>
      </c>
    </row>
    <row r="120" spans="1:21" x14ac:dyDescent="0.3">
      <c r="A120" s="51">
        <v>59</v>
      </c>
      <c r="B120" s="50">
        <f>$V$4*Performance!$E$12*(1/A120)+Performance!$E$23*(1/Constraints!$V$4)*Constraints!A120</f>
        <v>0.483685300747001</v>
      </c>
      <c r="C120" s="50">
        <f>$V$5*Performance!$E$12*(1/A120)+Performance!$E$23*(1/Constraints!$V$5)*Constraints!A120</f>
        <v>0.75292908273344805</v>
      </c>
      <c r="D120" s="52">
        <f t="shared" si="5"/>
        <v>0.28070471404970043</v>
      </c>
      <c r="E120" s="52">
        <f>$V$4*Performance!$E$12*(1/A120)+Performance!$E$23*(1/Constraints!$V$9)*Constraints!A120</f>
        <v>0.48341884729702223</v>
      </c>
      <c r="F120" s="52">
        <f xml:space="preserve"> 1.21 / (9.81 * Constraints!$N$7 * Performance!$E$15 * Constraints!$N$5 ) * Constraints!A120 + 0.605 /Performance!$E$15 * (Performance!$E$16  - Constraints!$N$6 * Performance!$E$14) + Constraints!$N$6</f>
        <v>0.28067196204761102</v>
      </c>
      <c r="G120">
        <f t="shared" si="6"/>
        <v>149.02379999999999</v>
      </c>
      <c r="H120" s="55">
        <f>SQRT(2/$V$3 * A120 * SQRT(Performance!$E$23 / (3 * Performance!$E$12)))</f>
        <v>9.4712279672806847</v>
      </c>
      <c r="I120" s="55">
        <f>SQRT(2/$V$3 * A120 * (SQRT(Performance!$E$23)/(SQRT(3*Performance!$E$12 + 4* Performance!$E$23 * Performance!$E$11^2) - SQRT(Performance!$E$23)*Performance!$E$11)))</f>
        <v>9.9631165559502985</v>
      </c>
      <c r="J120">
        <f xml:space="preserve"> $AC$3/G120 + $AC$6/A120 * Performance!$E$12 + Performance!$E$23/Constraints!$AC$6 * Constraints!A120</f>
        <v>0.22957525285220157</v>
      </c>
      <c r="K120">
        <f xml:space="preserve"> $AC$3/H120 + $AC$6/A120 * Performance!$E$12 + Performance!$E$23/Constraints!$AC$6 * Constraints!A120</f>
        <v>0.73184802280879757</v>
      </c>
      <c r="L120">
        <f xml:space="preserve"> $AC$3/I120 + $AC$6/A120 * Performance!$E$12 + Performance!$E$23/Constraints!$AC$6 * Constraints!A120</f>
        <v>0.70536735344643287</v>
      </c>
      <c r="M120">
        <f>SIN($AC$9 * PI()/180) + 1/Performance!$AE$5</f>
        <v>0.24073077270730886</v>
      </c>
      <c r="N120">
        <f>SIN($AC$9 * PI()/180) + 1/Performance!$AE$8</f>
        <v>0.22738716112204788</v>
      </c>
      <c r="O120" s="60">
        <f>$AC$16 * (Performance!$E$12/Constraints!A120 + Performance!$E$23 * (Constraints!$AC$13/Constraints!$AC$17)^2 * Constraints!A120)</f>
        <v>4.4317337587026546E-4</v>
      </c>
      <c r="P120">
        <f t="shared" si="7"/>
        <v>5831.1510332348889</v>
      </c>
      <c r="Q120">
        <f t="shared" si="8"/>
        <v>23.553508238767598</v>
      </c>
      <c r="R120">
        <f t="shared" si="9"/>
        <v>26.063542609042312</v>
      </c>
      <c r="S120">
        <f xml:space="preserve"> 1.667/G120 + P120/A120 * Performance!$E$12 + Performance!$E$23 / Constraints!P120 * Constraints!A120</f>
        <v>2.9765576174301511</v>
      </c>
      <c r="T120">
        <f xml:space="preserve"> 1.667/H120 + Q120/A120 * Performance!$E$12 + Performance!$E$23 / Constraints!Q120 * Constraints!A120</f>
        <v>0.28191971196676346</v>
      </c>
      <c r="U120">
        <f xml:space="preserve"> 1.667/I120 + R120/A120 * Performance!$E$12 + Performance!$E$23 / Constraints!R120 * Constraints!A120</f>
        <v>0.26545986884884809</v>
      </c>
    </row>
    <row r="121" spans="1:21" x14ac:dyDescent="0.3">
      <c r="A121" s="51">
        <v>59.5</v>
      </c>
      <c r="B121" s="50">
        <f>$V$4*Performance!$E$12*(1/A121)+Performance!$E$23*(1/Constraints!$V$4)*Constraints!A121</f>
        <v>0.47966016592140387</v>
      </c>
      <c r="C121" s="50">
        <f>$V$5*Performance!$E$12*(1/A121)+Performance!$E$23*(1/Constraints!$V$5)*Constraints!A121</f>
        <v>0.74662721666602916</v>
      </c>
      <c r="D121" s="52">
        <f t="shared" si="5"/>
        <v>0.28097699976198603</v>
      </c>
      <c r="E121" s="52">
        <f>$V$4*Performance!$E$12*(1/A121)+Performance!$E$23*(1/Constraints!$V$9)*Constraints!A121</f>
        <v>0.47939145439134057</v>
      </c>
      <c r="F121" s="52">
        <f xml:space="preserve"> 1.21 / (9.81 * Constraints!$N$7 * Performance!$E$15 * Constraints!$N$5 ) * Constraints!A121 + 0.605 /Performance!$E$15 * (Performance!$E$16  - Constraints!$N$6 * Performance!$E$14) + Constraints!$N$6</f>
        <v>0.28094397020055689</v>
      </c>
      <c r="G121">
        <f t="shared" si="6"/>
        <v>149.69389999999999</v>
      </c>
      <c r="H121" s="55">
        <f>SQRT(2/$V$3 * A121 * SQRT(Performance!$E$23 / (3 * Performance!$E$12)))</f>
        <v>9.5112756214533274</v>
      </c>
      <c r="I121" s="55">
        <f>SQRT(2/$V$3 * A121 * (SQRT(Performance!$E$23)/(SQRT(3*Performance!$E$12 + 4* Performance!$E$23 * Performance!$E$11^2) - SQRT(Performance!$E$23)*Performance!$E$11)))</f>
        <v>10.005244086582314</v>
      </c>
      <c r="J121">
        <f xml:space="preserve"> $AC$3/G121 + $AC$6/A121 * Performance!$E$12 + Performance!$E$23/Constraints!$AC$6 * Constraints!A121</f>
        <v>0.23097915073634862</v>
      </c>
      <c r="K121">
        <f xml:space="preserve"> $AC$3/H121 + $AC$6/A121 * Performance!$E$12 + Performance!$E$23/Constraints!$AC$6 * Constraints!A121</f>
        <v>0.73114614351445217</v>
      </c>
      <c r="L121">
        <f xml:space="preserve"> $AC$3/I121 + $AC$6/A121 * Performance!$E$12 + Performance!$E$23/Constraints!$AC$6 * Constraints!A121</f>
        <v>0.70477697220251634</v>
      </c>
      <c r="M121">
        <f>SIN($AC$9 * PI()/180) + 1/Performance!$AE$5</f>
        <v>0.24073077270730886</v>
      </c>
      <c r="N121">
        <f>SIN($AC$9 * PI()/180) + 1/Performance!$AE$8</f>
        <v>0.22738716112204788</v>
      </c>
      <c r="O121" s="60">
        <f>$AC$16 * (Performance!$E$12/Constraints!A121 + Performance!$E$23 * (Constraints!$AC$13/Constraints!$AC$17)^2 * Constraints!A121)</f>
        <v>4.3989950084097015E-4</v>
      </c>
      <c r="P121">
        <f t="shared" si="7"/>
        <v>5883.7096102057576</v>
      </c>
      <c r="Q121">
        <f t="shared" si="8"/>
        <v>23.75311424079106</v>
      </c>
      <c r="R121">
        <f t="shared" si="9"/>
        <v>26.28442008877996</v>
      </c>
      <c r="S121">
        <f xml:space="preserve"> 1.667/G121 + P121/A121 * Performance!$E$12 + Performance!$E$23 / Constraints!P121 * Constraints!A121</f>
        <v>2.9780915636906879</v>
      </c>
      <c r="T121">
        <f xml:space="preserve"> 1.667/H121 + Q121/A121 * Performance!$E$12 + Performance!$E$23 / Constraints!Q121 * Constraints!A121</f>
        <v>0.28117862764617851</v>
      </c>
      <c r="U121">
        <f xml:space="preserve"> 1.667/I121 + R121/A121 * Performance!$E$12 + Performance!$E$23 / Constraints!R121 * Constraints!A121</f>
        <v>0.26475537256961457</v>
      </c>
    </row>
    <row r="122" spans="1:21" x14ac:dyDescent="0.3">
      <c r="A122" s="51">
        <v>60</v>
      </c>
      <c r="B122" s="50">
        <f>$V$4*Performance!$E$12*(1/A122)+Performance!$E$23*(1/Constraints!$V$4)*Constraints!A122</f>
        <v>0.47570244679272433</v>
      </c>
      <c r="C122" s="50">
        <f>$V$5*Performance!$E$12*(1/A122)+Performance!$E$23*(1/Constraints!$V$5)*Constraints!A122</f>
        <v>0.74043059316391913</v>
      </c>
      <c r="D122" s="52">
        <f t="shared" si="5"/>
        <v>0.28124928547427164</v>
      </c>
      <c r="E122" s="52">
        <f>$V$4*Performance!$E$12*(1/A122)+Performance!$E$23*(1/Constraints!$V$9)*Constraints!A122</f>
        <v>0.47543147718257645</v>
      </c>
      <c r="F122" s="52">
        <f xml:space="preserve"> 1.21 / (9.81 * Constraints!$N$7 * Performance!$E$15 * Constraints!$N$5 ) * Constraints!A122 + 0.605 /Performance!$E$15 * (Performance!$E$16  - Constraints!$N$6 * Performance!$E$14) + Constraints!$N$6</f>
        <v>0.28121597835350276</v>
      </c>
      <c r="G122">
        <f t="shared" si="6"/>
        <v>150.364</v>
      </c>
      <c r="H122" s="55">
        <f>SQRT(2/$V$3 * A122 * SQRT(Performance!$E$23 / (3 * Performance!$E$12)))</f>
        <v>9.5511553587147198</v>
      </c>
      <c r="I122" s="55">
        <f>SQRT(2/$V$3 * A122 * (SQRT(Performance!$E$23)/(SQRT(3*Performance!$E$12 + 4* Performance!$E$23 * Performance!$E$11^2) - SQRT(Performance!$E$23)*Performance!$E$11)))</f>
        <v>10.047194979531838</v>
      </c>
      <c r="J122">
        <f xml:space="preserve"> $AC$3/G122 + $AC$6/A122 * Performance!$E$12 + Performance!$E$23/Constraints!$AC$6 * Constraints!A122</f>
        <v>0.23238523997045527</v>
      </c>
      <c r="K122">
        <f xml:space="preserve"> $AC$3/H122 + $AC$6/A122 * Performance!$E$12 + Performance!$E$23/Constraints!$AC$6 * Constraints!A122</f>
        <v>0.73047338428283359</v>
      </c>
      <c r="L122">
        <f xml:space="preserve"> $AC$3/I122 + $AC$6/A122 * Performance!$E$12 + Performance!$E$23/Constraints!$AC$6 * Constraints!A122</f>
        <v>0.70421431437583015</v>
      </c>
      <c r="M122">
        <f>SIN($AC$9 * PI()/180) + 1/Performance!$AE$5</f>
        <v>0.24073077270730886</v>
      </c>
      <c r="N122">
        <f>SIN($AC$9 * PI()/180) + 1/Performance!$AE$8</f>
        <v>0.22738716112204788</v>
      </c>
      <c r="O122" s="60">
        <f>$AC$16 * (Performance!$E$12/Constraints!A122 + Performance!$E$23 * (Constraints!$AC$13/Constraints!$AC$17)^2 * Constraints!A122)</f>
        <v>4.366839584860298E-4</v>
      </c>
      <c r="P122">
        <f t="shared" si="7"/>
        <v>5936.5039917669037</v>
      </c>
      <c r="Q122">
        <f t="shared" si="8"/>
        <v>23.952720242814511</v>
      </c>
      <c r="R122">
        <f t="shared" si="9"/>
        <v>26.505297568517605</v>
      </c>
      <c r="S122">
        <f xml:space="preserve"> 1.667/G122 + P122/A122 * Performance!$E$12 + Performance!$E$23 / Constraints!P122 * Constraints!A122</f>
        <v>2.9797174433726177</v>
      </c>
      <c r="T122">
        <f xml:space="preserve"> 1.667/H122 + Q122/A122 * Performance!$E$12 + Performance!$E$23 / Constraints!Q122 * Constraints!A122</f>
        <v>0.28044682628682038</v>
      </c>
      <c r="U122">
        <f xml:space="preserve"> 1.667/I122 + R122/A122 * Performance!$E$12 + Performance!$E$23 / Constraints!R122 * Constraints!A122</f>
        <v>0.2640597009429379</v>
      </c>
    </row>
    <row r="123" spans="1:21" x14ac:dyDescent="0.3">
      <c r="A123" s="51">
        <v>60.5</v>
      </c>
      <c r="B123" s="50">
        <f>$V$4*Performance!$E$12*(1/A123)+Performance!$E$23*(1/Constraints!$V$4)*Constraints!A123</f>
        <v>0.47181047189740244</v>
      </c>
      <c r="C123" s="50">
        <f>$V$5*Performance!$E$12*(1/A123)+Performance!$E$23*(1/Constraints!$V$5)*Constraints!A123</f>
        <v>0.73433660290731662</v>
      </c>
      <c r="D123" s="52">
        <f t="shared" si="5"/>
        <v>0.28152157118655724</v>
      </c>
      <c r="E123" s="52">
        <f>$V$4*Performance!$E$12*(1/A123)+Performance!$E$23*(1/Constraints!$V$9)*Constraints!A123</f>
        <v>0.47153724420717003</v>
      </c>
      <c r="F123" s="52">
        <f xml:space="preserve"> 1.21 / (9.81 * Constraints!$N$7 * Performance!$E$15 * Constraints!$N$5 ) * Constraints!A123 + 0.605 /Performance!$E$15 * (Performance!$E$16  - Constraints!$N$6 * Performance!$E$14) + Constraints!$N$6</f>
        <v>0.28148798650644857</v>
      </c>
      <c r="G123">
        <f t="shared" si="6"/>
        <v>151.0341</v>
      </c>
      <c r="H123" s="55">
        <f>SQRT(2/$V$3 * A123 * SQRT(Performance!$E$23 / (3 * Performance!$E$12)))</f>
        <v>9.5908692737080639</v>
      </c>
      <c r="I123" s="55">
        <f>SQRT(2/$V$3 * A123 * (SQRT(Performance!$E$23)/(SQRT(3*Performance!$E$12 + 4* Performance!$E$23 * Performance!$E$11^2) - SQRT(Performance!$E$23)*Performance!$E$11)))</f>
        <v>10.088971438227446</v>
      </c>
      <c r="J123">
        <f xml:space="preserve"> $AC$3/G123 + $AC$6/A123 * Performance!$E$12 + Performance!$E$23/Constraints!$AC$6 * Constraints!A123</f>
        <v>0.23379348184170803</v>
      </c>
      <c r="K123">
        <f xml:space="preserve"> $AC$3/H123 + $AC$6/A123 * Performance!$E$12 + Performance!$E$23/Constraints!$AC$6 * Constraints!A123</f>
        <v>0.7298291388087943</v>
      </c>
      <c r="L123">
        <f xml:space="preserve"> $AC$3/I123 + $AC$6/A123 * Performance!$E$12 + Performance!$E$23/Constraints!$AC$6 * Constraints!A123</f>
        <v>0.70367880257757465</v>
      </c>
      <c r="M123">
        <f>SIN($AC$9 * PI()/180) + 1/Performance!$AE$5</f>
        <v>0.24073077270730886</v>
      </c>
      <c r="N123">
        <f>SIN($AC$9 * PI()/180) + 1/Performance!$AE$8</f>
        <v>0.22738716112204788</v>
      </c>
      <c r="O123" s="60">
        <f>$AC$16 * (Performance!$E$12/Constraints!A123 + Performance!$E$23 * (Constraints!$AC$13/Constraints!$AC$17)^2 * Constraints!A123)</f>
        <v>4.3352530254079101E-4</v>
      </c>
      <c r="P123">
        <f t="shared" si="7"/>
        <v>5989.5341779183227</v>
      </c>
      <c r="Q123">
        <f t="shared" si="8"/>
        <v>24.152326244837965</v>
      </c>
      <c r="R123">
        <f t="shared" si="9"/>
        <v>26.726175048255254</v>
      </c>
      <c r="S123">
        <f xml:space="preserve"> 1.667/G123 + P123/A123 * Performance!$E$12 + Performance!$E$23 / Constraints!P123 * Constraints!A123</f>
        <v>2.9814329823042165</v>
      </c>
      <c r="T123">
        <f xml:space="preserve"> 1.667/H123 + Q123/A123 * Performance!$E$12 + Performance!$E$23 / Constraints!Q123 * Constraints!A123</f>
        <v>0.27972411569293226</v>
      </c>
      <c r="U123">
        <f xml:space="preserve"> 1.667/I123 + R123/A123 * Performance!$E$12 + Performance!$E$23 / Constraints!R123 * Constraints!A123</f>
        <v>0.26337267126194963</v>
      </c>
    </row>
    <row r="124" spans="1:21" x14ac:dyDescent="0.3">
      <c r="A124" s="51">
        <v>61</v>
      </c>
      <c r="B124" s="50">
        <f>$V$4*Performance!$E$12*(1/A124)+Performance!$E$23*(1/Constraints!$V$4)*Constraints!A124</f>
        <v>0.46798262457396211</v>
      </c>
      <c r="C124" s="50">
        <f>$V$5*Performance!$E$12*(1/A124)+Performance!$E$23*(1/Constraints!$V$5)*Constraints!A124</f>
        <v>0.72834272212788953</v>
      </c>
      <c r="D124" s="52">
        <f t="shared" si="5"/>
        <v>0.28179385689884284</v>
      </c>
      <c r="E124" s="52">
        <f>$V$4*Performance!$E$12*(1/A124)+Performance!$E$23*(1/Constraints!$V$9)*Constraints!A124</f>
        <v>0.46770713880364512</v>
      </c>
      <c r="F124" s="52">
        <f xml:space="preserve"> 1.21 / (9.81 * Constraints!$N$7 * Performance!$E$15 * Constraints!$N$5 ) * Constraints!A124 + 0.605 /Performance!$E$15 * (Performance!$E$16  - Constraints!$N$6 * Performance!$E$14) + Constraints!$N$6</f>
        <v>0.28175999465939444</v>
      </c>
      <c r="G124">
        <f t="shared" si="6"/>
        <v>151.70420000000001</v>
      </c>
      <c r="H124" s="55">
        <f>SQRT(2/$V$3 * A124 * SQRT(Performance!$E$23 / (3 * Performance!$E$12)))</f>
        <v>9.6304194178867419</v>
      </c>
      <c r="I124" s="55">
        <f>SQRT(2/$V$3 * A124 * (SQRT(Performance!$E$23)/(SQRT(3*Performance!$E$12 + 4* Performance!$E$23 * Performance!$E$11^2) - SQRT(Performance!$E$23)*Performance!$E$11)))</f>
        <v>10.13057562066483</v>
      </c>
      <c r="J124">
        <f xml:space="preserve"> $AC$3/G124 + $AC$6/A124 * Performance!$E$12 + Performance!$E$23/Constraints!$AC$6 * Constraints!A124</f>
        <v>0.23520383863287653</v>
      </c>
      <c r="K124">
        <f xml:space="preserve"> $AC$3/H124 + $AC$6/A124 * Performance!$E$12 + Performance!$E$23/Constraints!$AC$6 * Constraints!A124</f>
        <v>0.72921281830037166</v>
      </c>
      <c r="L124">
        <f xml:space="preserve"> $AC$3/I124 + $AC$6/A124 * Performance!$E$12 + Performance!$E$23/Constraints!$AC$6 * Constraints!A124</f>
        <v>0.70316987610085357</v>
      </c>
      <c r="M124">
        <f>SIN($AC$9 * PI()/180) + 1/Performance!$AE$5</f>
        <v>0.24073077270730886</v>
      </c>
      <c r="N124">
        <f>SIN($AC$9 * PI()/180) + 1/Performance!$AE$8</f>
        <v>0.22738716112204788</v>
      </c>
      <c r="O124" s="60">
        <f>$AC$16 * (Performance!$E$12/Constraints!A124 + Performance!$E$23 * (Constraints!$AC$13/Constraints!$AC$17)^2 * Constraints!A124)</f>
        <v>4.3042213415911342E-4</v>
      </c>
      <c r="P124">
        <f t="shared" si="7"/>
        <v>6042.8001686600182</v>
      </c>
      <c r="Q124">
        <f t="shared" si="8"/>
        <v>24.351932246861427</v>
      </c>
      <c r="R124">
        <f t="shared" si="9"/>
        <v>26.947052527992902</v>
      </c>
      <c r="S124">
        <f xml:space="preserve"> 1.667/G124 + P124/A124 * Performance!$E$12 + Performance!$E$23 / Constraints!P124 * Constraints!A124</f>
        <v>2.9832359807888351</v>
      </c>
      <c r="T124">
        <f xml:space="preserve"> 1.667/H124 + Q124/A124 * Performance!$E$12 + Performance!$E$23 / Constraints!Q124 * Constraints!A124</f>
        <v>0.27901030919396291</v>
      </c>
      <c r="U124">
        <f xml:space="preserve"> 1.667/I124 + R124/A124 * Performance!$E$12 + Performance!$E$23 / Constraints!R124 * Constraints!A124</f>
        <v>0.26269410607220212</v>
      </c>
    </row>
    <row r="125" spans="1:21" x14ac:dyDescent="0.3">
      <c r="A125" s="51">
        <v>61.5</v>
      </c>
      <c r="B125" s="50">
        <f>$V$4*Performance!$E$12*(1/A125)+Performance!$E$23*(1/Constraints!$V$4)*Constraints!A125</f>
        <v>0.46421734073528431</v>
      </c>
      <c r="C125" s="50">
        <f>$V$5*Performance!$E$12*(1/A125)+Performance!$E$23*(1/Constraints!$V$5)*Constraints!A125</f>
        <v>0.72244650913107267</v>
      </c>
      <c r="D125" s="52">
        <f t="shared" si="5"/>
        <v>0.28206614261112839</v>
      </c>
      <c r="E125" s="52">
        <f>$V$4*Performance!$E$12*(1/A125)+Performance!$E$23*(1/Constraints!$V$9)*Constraints!A125</f>
        <v>0.46393959688488279</v>
      </c>
      <c r="F125" s="52">
        <f xml:space="preserve"> 1.21 / (9.81 * Constraints!$N$7 * Performance!$E$15 * Constraints!$N$5 ) * Constraints!A125 + 0.605 /Performance!$E$15 * (Performance!$E$16  - Constraints!$N$6 * Performance!$E$14) + Constraints!$N$6</f>
        <v>0.28203200281234031</v>
      </c>
      <c r="G125">
        <f t="shared" si="6"/>
        <v>152.37430000000001</v>
      </c>
      <c r="H125" s="55">
        <f>SQRT(2/$V$3 * A125 * SQRT(Performance!$E$23 / (3 * Performance!$E$12)))</f>
        <v>9.6698078007508776</v>
      </c>
      <c r="I125" s="55">
        <f>SQRT(2/$V$3 * A125 * (SQRT(Performance!$E$23)/(SQRT(3*Performance!$E$12 + 4* Performance!$E$23 * Performance!$E$11^2) - SQRT(Performance!$E$23)*Performance!$E$11)))</f>
        <v>10.172009640707584</v>
      </c>
      <c r="J125">
        <f xml:space="preserve"> $AC$3/G125 + $AC$6/A125 * Performance!$E$12 + Performance!$E$23/Constraints!$AC$6 * Constraints!A125</f>
        <v>0.23661627358781195</v>
      </c>
      <c r="K125">
        <f xml:space="preserve"> $AC$3/H125 + $AC$6/A125 * Performance!$E$12 + Performance!$E$23/Constraints!$AC$6 * Constraints!A125</f>
        <v>0.72862385083404968</v>
      </c>
      <c r="L125">
        <f xml:space="preserve"> $AC$3/I125 + $AC$6/A125 * Performance!$E$12 + Performance!$E$23/Constraints!$AC$6 * Constraints!A125</f>
        <v>0.70268699030641169</v>
      </c>
      <c r="M125">
        <f>SIN($AC$9 * PI()/180) + 1/Performance!$AE$5</f>
        <v>0.24073077270730886</v>
      </c>
      <c r="N125">
        <f>SIN($AC$9 * PI()/180) + 1/Performance!$AE$8</f>
        <v>0.22738716112204788</v>
      </c>
      <c r="O125" s="60">
        <f>$AC$16 * (Performance!$E$12/Constraints!A125 + Performance!$E$23 * (Constraints!$AC$13/Constraints!$AC$17)^2 * Constraints!A125)</f>
        <v>4.2737309998578836E-4</v>
      </c>
      <c r="P125">
        <f t="shared" si="7"/>
        <v>6096.3019639919876</v>
      </c>
      <c r="Q125">
        <f t="shared" si="8"/>
        <v>24.551538248884874</v>
      </c>
      <c r="R125">
        <f t="shared" si="9"/>
        <v>27.167930007730551</v>
      </c>
      <c r="S125">
        <f xml:space="preserve"> 1.667/G125 + P125/A125 * Performance!$E$12 + Performance!$E$23 / Constraints!P125 * Constraints!A125</f>
        <v>2.9851243105793088</v>
      </c>
      <c r="T125">
        <f xml:space="preserve"> 1.667/H125 + Q125/A125 * Performance!$E$12 + Performance!$E$23 / Constraints!Q125 * Constraints!A125</f>
        <v>0.27830522544201053</v>
      </c>
      <c r="U125">
        <f xml:space="preserve"> 1.667/I125 + R125/A125 * Performance!$E$12 + Performance!$E$23 / Constraints!R125 * Constraints!A125</f>
        <v>0.26202383297911269</v>
      </c>
    </row>
    <row r="126" spans="1:21" x14ac:dyDescent="0.3">
      <c r="A126" s="51">
        <v>62</v>
      </c>
      <c r="B126" s="50">
        <f>$V$4*Performance!$E$12*(1/A126)+Performance!$E$23*(1/Constraints!$V$4)*Constraints!A126</f>
        <v>0.46051310674867318</v>
      </c>
      <c r="C126" s="50">
        <f>$V$5*Performance!$E$12*(1/A126)+Performance!$E$23*(1/Constraints!$V$5)*Constraints!A126</f>
        <v>0.71664560098664143</v>
      </c>
      <c r="D126" s="52">
        <f t="shared" si="5"/>
        <v>0.28233842832341399</v>
      </c>
      <c r="E126" s="52">
        <f>$V$4*Performance!$E$12*(1/A126)+Performance!$E$23*(1/Constraints!$V$9)*Constraints!A126</f>
        <v>0.46023310481818702</v>
      </c>
      <c r="F126" s="52">
        <f xml:space="preserve"> 1.21 / (9.81 * Constraints!$N$7 * Performance!$E$15 * Constraints!$N$5 ) * Constraints!A126 + 0.605 /Performance!$E$15 * (Performance!$E$16  - Constraints!$N$6 * Performance!$E$14) + Constraints!$N$6</f>
        <v>0.28230401096528618</v>
      </c>
      <c r="G126">
        <f t="shared" si="6"/>
        <v>153.0444</v>
      </c>
      <c r="H126" s="55">
        <f>SQRT(2/$V$3 * A126 * SQRT(Performance!$E$23 / (3 * Performance!$E$12)))</f>
        <v>9.7090363910387651</v>
      </c>
      <c r="I126" s="55">
        <f>SQRT(2/$V$3 * A126 * (SQRT(Performance!$E$23)/(SQRT(3*Performance!$E$12 + 4* Performance!$E$23 * Performance!$E$11^2) - SQRT(Performance!$E$23)*Performance!$E$11)))</f>
        <v>10.213275569340496</v>
      </c>
      <c r="J126">
        <f xml:space="preserve"> $AC$3/G126 + $AC$6/A126 * Performance!$E$12 + Performance!$E$23/Constraints!$AC$6 * Constraints!A126</f>
        <v>0.23803075087845907</v>
      </c>
      <c r="K126">
        <f xml:space="preserve"> $AC$3/H126 + $AC$6/A126 * Performance!$E$12 + Performance!$E$23/Constraints!$AC$6 * Constraints!A126</f>
        <v>0.72806168073878641</v>
      </c>
      <c r="L126">
        <f xml:space="preserve"> $AC$3/I126 + $AC$6/A126 * Performance!$E$12 + Performance!$E$23/Constraints!$AC$6 * Constraints!A126</f>
        <v>0.7022296160357816</v>
      </c>
      <c r="M126">
        <f>SIN($AC$9 * PI()/180) + 1/Performance!$AE$5</f>
        <v>0.24073077270730886</v>
      </c>
      <c r="N126">
        <f>SIN($AC$9 * PI()/180) + 1/Performance!$AE$8</f>
        <v>0.22738716112204788</v>
      </c>
      <c r="O126" s="60">
        <f>$AC$16 * (Performance!$E$12/Constraints!A126 + Performance!$E$23 * (Constraints!$AC$13/Constraints!$AC$17)^2 * Constraints!A126)</f>
        <v>4.2437689032222661E-4</v>
      </c>
      <c r="P126">
        <f t="shared" si="7"/>
        <v>6150.0395639142307</v>
      </c>
      <c r="Q126">
        <f t="shared" si="8"/>
        <v>24.751144250908322</v>
      </c>
      <c r="R126">
        <f t="shared" si="9"/>
        <v>27.388807487468192</v>
      </c>
      <c r="S126">
        <f xml:space="preserve"> 1.667/G126 + P126/A126 * Performance!$E$12 + Performance!$E$23 / Constraints!P126 * Constraints!A126</f>
        <v>2.9870959119987308</v>
      </c>
      <c r="T126">
        <f xml:space="preserve"> 1.667/H126 + Q126/A126 * Performance!$E$12 + Performance!$E$23 / Constraints!Q126 * Constraints!A126</f>
        <v>0.27760868821826812</v>
      </c>
      <c r="U126">
        <f xml:space="preserve"> 1.667/I126 + R126/A126 * Performance!$E$12 + Performance!$E$23 / Constraints!R126 * Constraints!A126</f>
        <v>0.26136168446396546</v>
      </c>
    </row>
    <row r="127" spans="1:21" x14ac:dyDescent="0.3">
      <c r="A127" s="51">
        <v>62.5</v>
      </c>
      <c r="B127" s="50">
        <f>$V$4*Performance!$E$12*(1/A127)+Performance!$E$23*(1/Constraints!$V$4)*Constraints!A127</f>
        <v>0.45686845741767912</v>
      </c>
      <c r="C127" s="50">
        <f>$V$5*Performance!$E$12*(1/A127)+Performance!$E$23*(1/Constraints!$V$5)*Constraints!A127</f>
        <v>0.7109377103781388</v>
      </c>
      <c r="D127" s="52">
        <f t="shared" si="5"/>
        <v>0.2826107140356996</v>
      </c>
      <c r="E127" s="52">
        <f>$V$4*Performance!$E$12*(1/A127)+Performance!$E$23*(1/Constraints!$V$9)*Constraints!A127</f>
        <v>0.45658619740710837</v>
      </c>
      <c r="F127" s="52">
        <f xml:space="preserve"> 1.21 / (9.81 * Constraints!$N$7 * Performance!$E$15 * Constraints!$N$5 ) * Constraints!A127 + 0.605 /Performance!$E$15 * (Performance!$E$16  - Constraints!$N$6 * Performance!$E$14) + Constraints!$N$6</f>
        <v>0.28257601911823205</v>
      </c>
      <c r="G127">
        <f t="shared" si="6"/>
        <v>153.71449999999999</v>
      </c>
      <c r="H127" s="55">
        <f>SQRT(2/$V$3 * A127 * SQRT(Performance!$E$23 / (3 * Performance!$E$12)))</f>
        <v>9.7481071178751222</v>
      </c>
      <c r="I127" s="55">
        <f>SQRT(2/$V$3 * A127 * (SQRT(Performance!$E$23)/(SQRT(3*Performance!$E$12 + 4* Performance!$E$23 * Performance!$E$11^2) - SQRT(Performance!$E$23)*Performance!$E$11)))</f>
        <v>10.254375435877451</v>
      </c>
      <c r="J127">
        <f xml:space="preserve"> $AC$3/G127 + $AC$6/A127 * Performance!$E$12 + Performance!$E$23/Constraints!$AC$6 * Constraints!A127</f>
        <v>0.23944723557330233</v>
      </c>
      <c r="K127">
        <f xml:space="preserve"> $AC$3/H127 + $AC$6/A127 * Performance!$E$12 + Performance!$E$23/Constraints!$AC$6 * Constraints!A127</f>
        <v>0.72752576800729951</v>
      </c>
      <c r="L127">
        <f xml:space="preserve"> $AC$3/I127 + $AC$6/A127 * Performance!$E$12 + Performance!$E$23/Constraints!$AC$6 * Constraints!A127</f>
        <v>0.70179723905040703</v>
      </c>
      <c r="M127">
        <f>SIN($AC$9 * PI()/180) + 1/Performance!$AE$5</f>
        <v>0.24073077270730886</v>
      </c>
      <c r="N127">
        <f>SIN($AC$9 * PI()/180) + 1/Performance!$AE$8</f>
        <v>0.22738716112204788</v>
      </c>
      <c r="O127" s="60">
        <f>$AC$16 * (Performance!$E$12/Constraints!A127 + Performance!$E$23 * (Constraints!$AC$13/Constraints!$AC$17)^2 * Constraints!A127)</f>
        <v>4.214322373801938E-4</v>
      </c>
      <c r="P127">
        <f t="shared" si="7"/>
        <v>6204.0129684267495</v>
      </c>
      <c r="Q127">
        <f t="shared" si="8"/>
        <v>24.950750252931783</v>
      </c>
      <c r="R127">
        <f t="shared" si="9"/>
        <v>27.609684967205844</v>
      </c>
      <c r="S127">
        <f xml:space="preserve"> 1.667/G127 + P127/A127 * Performance!$E$12 + Performance!$E$23 / Constraints!P127 * Constraints!A127</f>
        <v>2.989148791199383</v>
      </c>
      <c r="T127">
        <f xml:space="preserve"> 1.667/H127 + Q127/A127 * Performance!$E$12 + Performance!$E$23 / Constraints!Q127 * Constraints!A127</f>
        <v>0.27692052624800401</v>
      </c>
      <c r="U127">
        <f xml:space="preserve"> 1.667/I127 + R127/A127 * Performance!$E$12 + Performance!$E$23 / Constraints!R127 * Constraints!A127</f>
        <v>0.26070749770802598</v>
      </c>
    </row>
    <row r="128" spans="1:21" x14ac:dyDescent="0.3">
      <c r="A128" s="51">
        <v>63</v>
      </c>
      <c r="B128" s="50">
        <f>$V$4*Performance!$E$12*(1/A128)+Performance!$E$23*(1/Constraints!$V$4)*Constraints!A128</f>
        <v>0.45328197406002546</v>
      </c>
      <c r="C128" s="50">
        <f>$V$5*Performance!$E$12*(1/A128)+Performance!$E$23*(1/Constraints!$V$5)*Constraints!A128</f>
        <v>0.7053206226023282</v>
      </c>
      <c r="D128" s="52">
        <f t="shared" si="5"/>
        <v>0.2828829997479852</v>
      </c>
      <c r="E128" s="52">
        <f>$V$4*Performance!$E$12*(1/A128)+Performance!$E$23*(1/Constraints!$V$9)*Constraints!A128</f>
        <v>0.45299745596937019</v>
      </c>
      <c r="F128" s="52">
        <f xml:space="preserve"> 1.21 / (9.81 * Constraints!$N$7 * Performance!$E$15 * Constraints!$N$5 ) * Constraints!A128 + 0.605 /Performance!$E$15 * (Performance!$E$16  - Constraints!$N$6 * Performance!$E$14) + Constraints!$N$6</f>
        <v>0.28284802727117786</v>
      </c>
      <c r="G128">
        <f t="shared" si="6"/>
        <v>154.38460000000001</v>
      </c>
      <c r="H128" s="55">
        <f>SQRT(2/$V$3 * A128 * SQRT(Performance!$E$23 / (3 * Performance!$E$12)))</f>
        <v>9.7870218718780926</v>
      </c>
      <c r="I128" s="55">
        <f>SQRT(2/$V$3 * A128 * (SQRT(Performance!$E$23)/(SQRT(3*Performance!$E$12 + 4* Performance!$E$23 * Performance!$E$11^2) - SQRT(Performance!$E$23)*Performance!$E$11)))</f>
        <v>10.29531122912592</v>
      </c>
      <c r="J128">
        <f xml:space="preserve"> $AC$3/G128 + $AC$6/A128 * Performance!$E$12 + Performance!$E$23/Constraints!$AC$6 * Constraints!A128</f>
        <v>0.24086569360717033</v>
      </c>
      <c r="K128">
        <f xml:space="preserve"> $AC$3/H128 + $AC$6/A128 * Performance!$E$12 + Performance!$E$23/Constraints!$AC$6 * Constraints!A128</f>
        <v>0.72701558773319996</v>
      </c>
      <c r="L128">
        <f xml:space="preserve"> $AC$3/I128 + $AC$6/A128 * Performance!$E$12 + Performance!$E$23/Constraints!$AC$6 * Constraints!A128</f>
        <v>0.7013893594953946</v>
      </c>
      <c r="M128">
        <f>SIN($AC$9 * PI()/180) + 1/Performance!$AE$5</f>
        <v>0.24073077270730886</v>
      </c>
      <c r="N128">
        <f>SIN($AC$9 * PI()/180) + 1/Performance!$AE$8</f>
        <v>0.22738716112204788</v>
      </c>
      <c r="O128" s="60">
        <f>$AC$16 * (Performance!$E$12/Constraints!A128 + Performance!$E$23 * (Constraints!$AC$13/Constraints!$AC$17)^2 * Constraints!A128)</f>
        <v>4.1853791361870133E-4</v>
      </c>
      <c r="P128">
        <f t="shared" si="7"/>
        <v>6258.2221775295448</v>
      </c>
      <c r="Q128">
        <f t="shared" si="8"/>
        <v>25.150356254955238</v>
      </c>
      <c r="R128">
        <f t="shared" si="9"/>
        <v>27.830562446943485</v>
      </c>
      <c r="S128">
        <f xml:space="preserve"> 1.667/G128 + P128/A128 * Performance!$E$12 + Performance!$E$23 / Constraints!P128 * Constraints!A128</f>
        <v>2.9912810175521458</v>
      </c>
      <c r="T128">
        <f xml:space="preserve"> 1.667/H128 + Q128/A128 * Performance!$E$12 + Performance!$E$23 / Constraints!Q128 * Constraints!A128</f>
        <v>0.27624057302363386</v>
      </c>
      <c r="U128">
        <f xml:space="preserve"> 1.667/I128 + R128/A128 * Performance!$E$12 + Performance!$E$23 / Constraints!R128 * Constraints!A128</f>
        <v>0.26006111442434848</v>
      </c>
    </row>
    <row r="129" spans="1:21" x14ac:dyDescent="0.3">
      <c r="A129" s="51">
        <v>63.5</v>
      </c>
      <c r="B129" s="50">
        <f>$V$4*Performance!$E$12*(1/A129)+Performance!$E$23*(1/Constraints!$V$4)*Constraints!A129</f>
        <v>0.4497522826763421</v>
      </c>
      <c r="C129" s="50">
        <f>$V$5*Performance!$E$12*(1/A129)+Performance!$E$23*(1/Constraints!$V$5)*Constraints!A129</f>
        <v>0.69979219271040605</v>
      </c>
      <c r="D129" s="52">
        <f t="shared" si="5"/>
        <v>0.2831552854602708</v>
      </c>
      <c r="E129" s="52">
        <f>$V$4*Performance!$E$12*(1/A129)+Performance!$E$23*(1/Constraints!$V$9)*Constraints!A129</f>
        <v>0.44946550650560224</v>
      </c>
      <c r="F129" s="52">
        <f xml:space="preserve"> 1.21 / (9.81 * Constraints!$N$7 * Performance!$E$15 * Constraints!$N$5 ) * Constraints!A129 + 0.605 /Performance!$E$15 * (Performance!$E$16  - Constraints!$N$6 * Performance!$E$14) + Constraints!$N$6</f>
        <v>0.28312003542412373</v>
      </c>
      <c r="G129">
        <f t="shared" si="6"/>
        <v>155.0547</v>
      </c>
      <c r="H129" s="55">
        <f>SQRT(2/$V$3 * A129 * SQRT(Performance!$E$23 / (3 * Performance!$E$12)))</f>
        <v>9.8257825062268047</v>
      </c>
      <c r="I129" s="55">
        <f>SQRT(2/$V$3 * A129 * (SQRT(Performance!$E$23)/(SQRT(3*Performance!$E$12 + 4* Performance!$E$23 * Performance!$E$11^2) - SQRT(Performance!$E$23)*Performance!$E$11)))</f>
        <v>10.336084898509961</v>
      </c>
      <c r="J129">
        <f xml:space="preserve"> $AC$3/G129 + $AC$6/A129 * Performance!$E$12 + Performance!$E$23/Constraints!$AC$6 * Constraints!A129</f>
        <v>0.24228609175232882</v>
      </c>
      <c r="K129">
        <f xml:space="preserve"> $AC$3/H129 + $AC$6/A129 * Performance!$E$12 + Performance!$E$23/Constraints!$AC$6 * Constraints!A129</f>
        <v>0.72653062957263836</v>
      </c>
      <c r="L129">
        <f xml:space="preserve"> $AC$3/I129 + $AC$6/A129 * Performance!$E$12 + Performance!$E$23/Constraints!$AC$6 * Constraints!A129</f>
        <v>0.70100549138662605</v>
      </c>
      <c r="M129">
        <f>SIN($AC$9 * PI()/180) + 1/Performance!$AE$5</f>
        <v>0.24073077270730886</v>
      </c>
      <c r="N129">
        <f>SIN($AC$9 * PI()/180) + 1/Performance!$AE$8</f>
        <v>0.22738716112204788</v>
      </c>
      <c r="O129" s="60">
        <f>$AC$16 * (Performance!$E$12/Constraints!A129 + Performance!$E$23 * (Constraints!$AC$13/Constraints!$AC$17)^2 * Constraints!A129)</f>
        <v>4.1569273015946848E-4</v>
      </c>
      <c r="P129">
        <f t="shared" si="7"/>
        <v>6312.6671912226129</v>
      </c>
      <c r="Q129">
        <f t="shared" si="8"/>
        <v>25.349962256978696</v>
      </c>
      <c r="R129">
        <f t="shared" si="9"/>
        <v>28.051439926681134</v>
      </c>
      <c r="S129">
        <f xml:space="preserve"> 1.667/G129 + P129/A129 * Performance!$E$12 + Performance!$E$23 / Constraints!P129 * Constraints!A129</f>
        <v>2.9934907211592012</v>
      </c>
      <c r="T129">
        <f xml:space="preserve"> 1.667/H129 + Q129/A129 * Performance!$E$12 + Performance!$E$23 / Constraints!Q129 * Constraints!A129</f>
        <v>0.27556866663547014</v>
      </c>
      <c r="U129">
        <f xml:space="preserve"> 1.667/I129 + R129/A129 * Performance!$E$12 + Performance!$E$23 / Constraints!R129 * Constraints!A129</f>
        <v>0.25942238069688145</v>
      </c>
    </row>
    <row r="130" spans="1:21" x14ac:dyDescent="0.3">
      <c r="A130" s="51">
        <v>64</v>
      </c>
      <c r="B130" s="50">
        <f>$V$4*Performance!$E$12*(1/A130)+Performance!$E$23*(1/Constraints!$V$4)*Constraints!A130</f>
        <v>0.44627805220473904</v>
      </c>
      <c r="C130" s="50">
        <f>$V$5*Performance!$E$12*(1/A130)+Performance!$E$23*(1/Constraints!$V$5)*Constraints!A130</f>
        <v>0.6943503427832185</v>
      </c>
      <c r="D130" s="52">
        <f t="shared" si="5"/>
        <v>0.2834275711725564</v>
      </c>
      <c r="E130" s="52">
        <f>$V$4*Performance!$E$12*(1/A130)+Performance!$E$23*(1/Constraints!$V$9)*Constraints!A130</f>
        <v>0.44598901795391466</v>
      </c>
      <c r="F130" s="52">
        <f xml:space="preserve"> 1.21 / (9.81 * Constraints!$N$7 * Performance!$E$15 * Constraints!$N$5 ) * Constraints!A130 + 0.605 /Performance!$E$15 * (Performance!$E$16  - Constraints!$N$6 * Performance!$E$14) + Constraints!$N$6</f>
        <v>0.2833920435770696</v>
      </c>
      <c r="G130">
        <f t="shared" si="6"/>
        <v>155.72480000000002</v>
      </c>
      <c r="H130" s="55">
        <f>SQRT(2/$V$3 * A130 * SQRT(Performance!$E$23 / (3 * Performance!$E$12)))</f>
        <v>9.8643908376911575</v>
      </c>
      <c r="I130" s="55">
        <f>SQRT(2/$V$3 * A130 * (SQRT(Performance!$E$23)/(SQRT(3*Performance!$E$12 + 4* Performance!$E$23 * Performance!$E$11^2) - SQRT(Performance!$E$23)*Performance!$E$11)))</f>
        <v>10.376698355153488</v>
      </c>
      <c r="J130">
        <f xml:space="preserve"> $AC$3/G130 + $AC$6/A130 * Performance!$E$12 + Performance!$E$23/Constraints!$AC$6 * Constraints!A130</f>
        <v>0.24370839759079499</v>
      </c>
      <c r="K130">
        <f xml:space="preserve"> $AC$3/H130 + $AC$6/A130 * Performance!$E$12 + Performance!$E$23/Constraints!$AC$6 * Constraints!A130</f>
        <v>0.72607039722921884</v>
      </c>
      <c r="L130">
        <f xml:space="preserve"> $AC$3/I130 + $AC$6/A130 * Performance!$E$12 + Performance!$E$23/Constraints!$AC$6 * Constraints!A130</f>
        <v>0.70064516212003847</v>
      </c>
      <c r="M130">
        <f>SIN($AC$9 * PI()/180) + 1/Performance!$AE$5</f>
        <v>0.24073077270730886</v>
      </c>
      <c r="N130">
        <f>SIN($AC$9 * PI()/180) + 1/Performance!$AE$8</f>
        <v>0.22738716112204788</v>
      </c>
      <c r="O130" s="60">
        <f>$AC$16 * (Performance!$E$12/Constraints!A130 + Performance!$E$23 * (Constraints!$AC$13/Constraints!$AC$17)^2 * Constraints!A130)</f>
        <v>4.1289553527666119E-4</v>
      </c>
      <c r="P130">
        <f t="shared" si="7"/>
        <v>6367.3480095059576</v>
      </c>
      <c r="Q130">
        <f t="shared" si="8"/>
        <v>25.54956825900215</v>
      </c>
      <c r="R130">
        <f t="shared" si="9"/>
        <v>28.272317406418786</v>
      </c>
      <c r="S130">
        <f xml:space="preserve"> 1.667/G130 + P130/A130 * Performance!$E$12 + Performance!$E$23 / Constraints!P130 * Constraints!A130</f>
        <v>2.9957760904832949</v>
      </c>
      <c r="T130">
        <f xml:space="preserve"> 1.667/H130 + Q130/A130 * Performance!$E$12 + Performance!$E$23 / Constraints!Q130 * Constraints!A130</f>
        <v>0.27490464960975891</v>
      </c>
      <c r="U130">
        <f xml:space="preserve"> 1.667/I130 + R130/A130 * Performance!$E$12 + Performance!$E$23 / Constraints!R130 * Constraints!A130</f>
        <v>0.25879114682650073</v>
      </c>
    </row>
    <row r="131" spans="1:21" x14ac:dyDescent="0.3">
      <c r="A131" s="51">
        <v>64.5</v>
      </c>
      <c r="B131" s="50">
        <f>$V$4*Performance!$E$12*(1/A131)+Performance!$E$23*(1/Constraints!$V$4)*Constraints!A131</f>
        <v>0.44285799285656319</v>
      </c>
      <c r="C131" s="50">
        <f>$V$5*Performance!$E$12*(1/A131)+Performance!$E$23*(1/Constraints!$V$5)*Constraints!A131</f>
        <v>0.68899305933321375</v>
      </c>
      <c r="D131" s="52">
        <f t="shared" si="5"/>
        <v>0.28369985688484201</v>
      </c>
      <c r="E131" s="52">
        <f>$V$4*Performance!$E$12*(1/A131)+Performance!$E$23*(1/Constraints!$V$9)*Constraints!A131</f>
        <v>0.44256670052565422</v>
      </c>
      <c r="F131" s="52">
        <f xml:space="preserve"> 1.21 / (9.81 * Constraints!$N$7 * Performance!$E$15 * Constraints!$N$5 ) * Constraints!A131 + 0.605 /Performance!$E$15 * (Performance!$E$16  - Constraints!$N$6 * Performance!$E$14) + Constraints!$N$6</f>
        <v>0.28366405173001547</v>
      </c>
      <c r="G131">
        <f t="shared" si="6"/>
        <v>156.39490000000001</v>
      </c>
      <c r="H131" s="55">
        <f>SQRT(2/$V$3 * A131 * SQRT(Performance!$E$23 / (3 * Performance!$E$12)))</f>
        <v>9.9028486476254791</v>
      </c>
      <c r="I131" s="55">
        <f>SQRT(2/$V$3 * A131 * (SQRT(Performance!$E$23)/(SQRT(3*Performance!$E$12 + 4* Performance!$E$23 * Performance!$E$11^2) - SQRT(Performance!$E$23)*Performance!$E$11)))</f>
        <v>10.417153472925534</v>
      </c>
      <c r="J131">
        <f xml:space="preserve"> $AC$3/G131 + $AC$6/A131 * Performance!$E$12 + Performance!$E$23/Constraints!$AC$6 * Constraints!A131</f>
        <v>0.24513257948781159</v>
      </c>
      <c r="K131">
        <f xml:space="preserve"> $AC$3/H131 + $AC$6/A131 * Performance!$E$12 + Performance!$E$23/Constraints!$AC$6 * Constraints!A131</f>
        <v>0.72563440796099687</v>
      </c>
      <c r="L131">
        <f xml:space="preserve"> $AC$3/I131 + $AC$6/A131 * Performance!$E$12 + Performance!$E$23/Constraints!$AC$6 * Constraints!A131</f>
        <v>0.70030791200194975</v>
      </c>
      <c r="M131">
        <f>SIN($AC$9 * PI()/180) + 1/Performance!$AE$5</f>
        <v>0.24073077270730886</v>
      </c>
      <c r="N131">
        <f>SIN($AC$9 * PI()/180) + 1/Performance!$AE$8</f>
        <v>0.22738716112204788</v>
      </c>
      <c r="O131" s="60">
        <f>$AC$16 * (Performance!$E$12/Constraints!A131 + Performance!$E$23 * (Constraints!$AC$13/Constraints!$AC$17)^2 * Constraints!A131)</f>
        <v>4.1014521295687419E-4</v>
      </c>
      <c r="P131">
        <f t="shared" si="7"/>
        <v>6422.2646323795771</v>
      </c>
      <c r="Q131">
        <f t="shared" si="8"/>
        <v>25.749174261025601</v>
      </c>
      <c r="R131">
        <f t="shared" si="9"/>
        <v>28.493194886156431</v>
      </c>
      <c r="S131">
        <f xml:space="preserve"> 1.667/G131 + P131/A131 * Performance!$E$12 + Performance!$E$23 / Constraints!P131 * Constraints!A131</f>
        <v>2.9981353700872164</v>
      </c>
      <c r="T131">
        <f xml:space="preserve"> 1.667/H131 + Q131/A131 * Performance!$E$12 + Performance!$E$23 / Constraints!Q131 * Constraints!A131</f>
        <v>0.27424836875363534</v>
      </c>
      <c r="U131">
        <f xml:space="preserve"> 1.667/I131 + R131/A131 * Performance!$E$12 + Performance!$E$23 / Constraints!R131 * Constraints!A131</f>
        <v>0.25816726718361965</v>
      </c>
    </row>
    <row r="132" spans="1:21" x14ac:dyDescent="0.3">
      <c r="A132" s="51">
        <v>65</v>
      </c>
      <c r="B132" s="50">
        <f>$V$4*Performance!$E$12*(1/A132)+Performance!$E$23*(1/Constraints!$V$4)*Constraints!A132</f>
        <v>0.43949085452896636</v>
      </c>
      <c r="C132" s="50">
        <f>$V$5*Performance!$E$12*(1/A132)+Performance!$E$23*(1/Constraints!$V$5)*Constraints!A132</f>
        <v>0.68371839082630304</v>
      </c>
      <c r="D132" s="52">
        <f t="shared" si="5"/>
        <v>0.28397214259712761</v>
      </c>
      <c r="E132" s="52">
        <f>$V$4*Performance!$E$12*(1/A132)+Performance!$E$23*(1/Constraints!$V$9)*Constraints!A132</f>
        <v>0.43919730411797286</v>
      </c>
      <c r="F132" s="52">
        <f xml:space="preserve"> 1.21 / (9.81 * Constraints!$N$7 * Performance!$E$15 * Constraints!$N$5 ) * Constraints!A132 + 0.605 /Performance!$E$15 * (Performance!$E$16  - Constraints!$N$6 * Performance!$E$14) + Constraints!$N$6</f>
        <v>0.28393605988296133</v>
      </c>
      <c r="G132">
        <f t="shared" si="6"/>
        <v>157.065</v>
      </c>
      <c r="H132" s="55">
        <f>SQRT(2/$V$3 * A132 * SQRT(Performance!$E$23 / (3 * Performance!$E$12)))</f>
        <v>9.9411576829275941</v>
      </c>
      <c r="I132" s="55">
        <f>SQRT(2/$V$3 * A132 * (SQRT(Performance!$E$23)/(SQRT(3*Performance!$E$12 + 4* Performance!$E$23 * Performance!$E$11^2) - SQRT(Performance!$E$23)*Performance!$E$11)))</f>
        <v>10.457452089449127</v>
      </c>
      <c r="J132">
        <f xml:space="preserve"> $AC$3/G132 + $AC$6/A132 * Performance!$E$12 + Performance!$E$23/Constraints!$AC$6 * Constraints!A132</f>
        <v>0.24655860656642187</v>
      </c>
      <c r="K132">
        <f xml:space="preserve"> $AC$3/H132 + $AC$6/A132 * Performance!$E$12 + Performance!$E$23/Constraints!$AC$6 * Constraints!A132</f>
        <v>0.72522219210845262</v>
      </c>
      <c r="L132">
        <f xml:space="preserve"> $AC$3/I132 + $AC$6/A132 * Performance!$E$12 + Performance!$E$23/Constraints!$AC$6 * Constraints!A132</f>
        <v>0.69999329379936959</v>
      </c>
      <c r="M132">
        <f>SIN($AC$9 * PI()/180) + 1/Performance!$AE$5</f>
        <v>0.24073077270730886</v>
      </c>
      <c r="N132">
        <f>SIN($AC$9 * PI()/180) + 1/Performance!$AE$8</f>
        <v>0.22738716112204788</v>
      </c>
      <c r="O132" s="60">
        <f>$AC$16 * (Performance!$E$12/Constraints!A132 + Performance!$E$23 * (Constraints!$AC$13/Constraints!$AC$17)^2 * Constraints!A132)</f>
        <v>4.0744068152557628E-4</v>
      </c>
      <c r="P132">
        <f t="shared" si="7"/>
        <v>6477.4170598434694</v>
      </c>
      <c r="Q132">
        <f t="shared" si="8"/>
        <v>25.948780263049059</v>
      </c>
      <c r="R132">
        <f t="shared" si="9"/>
        <v>28.714072365894076</v>
      </c>
      <c r="S132">
        <f xml:space="preserve"> 1.667/G132 + P132/A132 * Performance!$E$12 + Performance!$E$23 / Constraints!P132 * Constraints!A132</f>
        <v>3.0005668584775775</v>
      </c>
      <c r="T132">
        <f xml:space="preserve"> 1.667/H132 + Q132/A132 * Performance!$E$12 + Performance!$E$23 / Constraints!Q132 * Constraints!A132</f>
        <v>0.27359967500665117</v>
      </c>
      <c r="U132">
        <f xml:space="preserve"> 1.667/I132 + R132/A132 * Performance!$E$12 + Performance!$E$23 / Constraints!R132 * Constraints!A132</f>
        <v>0.25755060006704689</v>
      </c>
    </row>
    <row r="133" spans="1:21" x14ac:dyDescent="0.3">
      <c r="A133" s="51">
        <v>65.5</v>
      </c>
      <c r="B133" s="50">
        <f>$V$4*Performance!$E$12*(1/A133)+Performance!$E$23*(1/Constraints!$V$4)*Constraints!A133</f>
        <v>0.43617542529017944</v>
      </c>
      <c r="C133" s="50">
        <f>$V$5*Performance!$E$12*(1/A133)+Performance!$E$23*(1/Constraints!$V$5)*Constraints!A133</f>
        <v>0.67852444531722433</v>
      </c>
      <c r="D133" s="52">
        <f t="shared" si="5"/>
        <v>0.28424442830941321</v>
      </c>
      <c r="E133" s="52">
        <f>$V$4*Performance!$E$12*(1/A133)+Performance!$E$23*(1/Constraints!$V$9)*Constraints!A133</f>
        <v>0.43587961679910131</v>
      </c>
      <c r="F133" s="52">
        <f xml:space="preserve"> 1.21 / (9.81 * Constraints!$N$7 * Performance!$E$15 * Constraints!$N$5 ) * Constraints!A133 + 0.605 /Performance!$E$15 * (Performance!$E$16  - Constraints!$N$6 * Performance!$E$14) + Constraints!$N$6</f>
        <v>0.28420806803590715</v>
      </c>
      <c r="G133">
        <f t="shared" si="6"/>
        <v>157.73509999999999</v>
      </c>
      <c r="H133" s="55">
        <f>SQRT(2/$V$3 * A133 * SQRT(Performance!$E$23 / (3 * Performance!$E$12)))</f>
        <v>9.9793196569647407</v>
      </c>
      <c r="I133" s="55">
        <f>SQRT(2/$V$3 * A133 * (SQRT(Performance!$E$23)/(SQRT(3*Performance!$E$12 + 4* Performance!$E$23 * Performance!$E$11^2) - SQRT(Performance!$E$23)*Performance!$E$11)))</f>
        <v>10.497596007075302</v>
      </c>
      <c r="J133">
        <f xml:space="preserve"> $AC$3/G133 + $AC$6/A133 * Performance!$E$12 + Performance!$E$23/Constraints!$AC$6 * Constraints!A133</f>
        <v>0.24798644868308989</v>
      </c>
      <c r="K133">
        <f xml:space="preserve"> $AC$3/H133 + $AC$6/A133 * Performance!$E$12 + Performance!$E$23/Constraints!$AC$6 * Constraints!A133</f>
        <v>0.72483329264239504</v>
      </c>
      <c r="L133">
        <f xml:space="preserve"> $AC$3/I133 + $AC$6/A133 * Performance!$E$12 + Performance!$E$23/Constraints!$AC$6 * Constraints!A133</f>
        <v>0.69970087230930145</v>
      </c>
      <c r="M133">
        <f>SIN($AC$9 * PI()/180) + 1/Performance!$AE$5</f>
        <v>0.24073077270730886</v>
      </c>
      <c r="N133">
        <f>SIN($AC$9 * PI()/180) + 1/Performance!$AE$8</f>
        <v>0.22738716112204788</v>
      </c>
      <c r="O133" s="60">
        <f>$AC$16 * (Performance!$E$12/Constraints!A133 + Performance!$E$23 * (Constraints!$AC$13/Constraints!$AC$17)^2 * Constraints!A133)</f>
        <v>4.0478089233646604E-4</v>
      </c>
      <c r="P133">
        <f t="shared" si="7"/>
        <v>6532.8052918976373</v>
      </c>
      <c r="Q133">
        <f t="shared" si="8"/>
        <v>26.148386265072514</v>
      </c>
      <c r="R133">
        <f t="shared" si="9"/>
        <v>28.934949845631714</v>
      </c>
      <c r="S133">
        <f xml:space="preserve"> 1.667/G133 + P133/A133 * Performance!$E$12 + Performance!$E$23 / Constraints!P133 * Constraints!A133</f>
        <v>3.0030689060473188</v>
      </c>
      <c r="T133">
        <f xml:space="preserve"> 1.667/H133 + Q133/A133 * Performance!$E$12 + Performance!$E$23 / Constraints!Q133 * Constraints!A133</f>
        <v>0.27295842329854852</v>
      </c>
      <c r="U133">
        <f xml:space="preserve"> 1.667/I133 + R133/A133 * Performance!$E$12 + Performance!$E$23 / Constraints!R133 * Constraints!A133</f>
        <v>0.2569410075687818</v>
      </c>
    </row>
    <row r="134" spans="1:21" x14ac:dyDescent="0.3">
      <c r="A134" s="51">
        <v>66</v>
      </c>
      <c r="B134" s="50">
        <f>$V$4*Performance!$E$12*(1/A134)+Performance!$E$23*(1/Constraints!$V$4)*Constraints!A134</f>
        <v>0.43291052993363865</v>
      </c>
      <c r="C134" s="50">
        <f>$V$5*Performance!$E$12*(1/A134)+Performance!$E$23*(1/Constraints!$V$5)*Constraints!A134</f>
        <v>0.67340938819239093</v>
      </c>
      <c r="D134" s="52">
        <f t="shared" si="5"/>
        <v>0.28451671402169876</v>
      </c>
      <c r="E134" s="52">
        <f>$V$4*Performance!$E$12*(1/A134)+Performance!$E$23*(1/Constraints!$V$9)*Constraints!A134</f>
        <v>0.432612463362476</v>
      </c>
      <c r="F134" s="52">
        <f xml:space="preserve"> 1.21 / (9.81 * Constraints!$N$7 * Performance!$E$15 * Constraints!$N$5 ) * Constraints!A134 + 0.605 /Performance!$E$15 * (Performance!$E$16  - Constraints!$N$6 * Performance!$E$14) + Constraints!$N$6</f>
        <v>0.28448007618885301</v>
      </c>
      <c r="G134">
        <f t="shared" si="6"/>
        <v>158.40520000000001</v>
      </c>
      <c r="H134" s="55">
        <f>SQRT(2/$V$3 * A134 * SQRT(Performance!$E$23 / (3 * Performance!$E$12)))</f>
        <v>10.017336250467757</v>
      </c>
      <c r="I134" s="55">
        <f>SQRT(2/$V$3 * A134 * (SQRT(Performance!$E$23)/(SQRT(3*Performance!$E$12 + 4* Performance!$E$23 * Performance!$E$11^2) - SQRT(Performance!$E$23)*Performance!$E$11)))</f>
        <v>10.537586993823718</v>
      </c>
      <c r="J134">
        <f xml:space="preserve"> $AC$3/G134 + $AC$6/A134 * Performance!$E$12 + Performance!$E$23/Constraints!$AC$6 * Constraints!A134</f>
        <v>0.24941607640431485</v>
      </c>
      <c r="K134">
        <f xml:space="preserve"> $AC$3/H134 + $AC$6/A134 * Performance!$E$12 + Performance!$E$23/Constraints!$AC$6 * Constraints!A134</f>
        <v>0.72446726473080569</v>
      </c>
      <c r="L134">
        <f xml:space="preserve"> $AC$3/I134 + $AC$6/A134 * Performance!$E$12 + Performance!$E$23/Constraints!$AC$6 * Constraints!A134</f>
        <v>0.69943022394609322</v>
      </c>
      <c r="M134">
        <f>SIN($AC$9 * PI()/180) + 1/Performance!$AE$5</f>
        <v>0.24073077270730886</v>
      </c>
      <c r="N134">
        <f>SIN($AC$9 * PI()/180) + 1/Performance!$AE$8</f>
        <v>0.22738716112204788</v>
      </c>
      <c r="O134" s="60">
        <f>$AC$16 * (Performance!$E$12/Constraints!A134 + Performance!$E$23 * (Constraints!$AC$13/Constraints!$AC$17)^2 * Constraints!A134)</f>
        <v>4.0216482852040299E-4</v>
      </c>
      <c r="P134">
        <f t="shared" si="7"/>
        <v>6588.4293285420817</v>
      </c>
      <c r="Q134">
        <f t="shared" si="8"/>
        <v>26.347992267095972</v>
      </c>
      <c r="R134">
        <f t="shared" si="9"/>
        <v>29.155827325369373</v>
      </c>
      <c r="S134">
        <f xml:space="preserve"> 1.667/G134 + P134/A134 * Performance!$E$12 + Performance!$E$23 / Constraints!P134 * Constraints!A134</f>
        <v>3.0056399131116933</v>
      </c>
      <c r="T134">
        <f xml:space="preserve"> 1.667/H134 + Q134/A134 * Performance!$E$12 + Performance!$E$23 / Constraints!Q134 * Constraints!A134</f>
        <v>0.27232447241297053</v>
      </c>
      <c r="U134">
        <f xml:space="preserve"> 1.667/I134 + R134/A134 * Performance!$E$12 + Performance!$E$23 / Constraints!R134 * Constraints!A134</f>
        <v>0.25633835544445405</v>
      </c>
    </row>
    <row r="135" spans="1:21" x14ac:dyDescent="0.3">
      <c r="A135" s="51">
        <v>66.5</v>
      </c>
      <c r="B135" s="50">
        <f>$V$4*Performance!$E$12*(1/A135)+Performance!$E$23*(1/Constraints!$V$4)*Constraints!A135</f>
        <v>0.42969502859733832</v>
      </c>
      <c r="C135" s="50">
        <f>$V$5*Performance!$E$12*(1/A135)+Performance!$E$23*(1/Constraints!$V$5)*Constraints!A135</f>
        <v>0.66837144001456383</v>
      </c>
      <c r="D135" s="52">
        <f t="shared" si="5"/>
        <v>0.28478899973398436</v>
      </c>
      <c r="E135" s="52">
        <f>$V$4*Performance!$E$12*(1/A135)+Performance!$E$23*(1/Constraints!$V$9)*Constraints!A135</f>
        <v>0.42939470394609108</v>
      </c>
      <c r="F135" s="52">
        <f xml:space="preserve"> 1.21 / (9.81 * Constraints!$N$7 * Performance!$E$15 * Constraints!$N$5 ) * Constraints!A135 + 0.605 /Performance!$E$15 * (Performance!$E$16  - Constraints!$N$6 * Performance!$E$14) + Constraints!$N$6</f>
        <v>0.28475208434179888</v>
      </c>
      <c r="G135">
        <f t="shared" si="6"/>
        <v>159.0753</v>
      </c>
      <c r="H135" s="55">
        <f>SQRT(2/$V$3 * A135 * SQRT(Performance!$E$23 / (3 * Performance!$E$12)))</f>
        <v>10.055209112394827</v>
      </c>
      <c r="I135" s="55">
        <f>SQRT(2/$V$3 * A135 * (SQRT(Performance!$E$23)/(SQRT(3*Performance!$E$12 + 4* Performance!$E$23 * Performance!$E$11^2) - SQRT(Performance!$E$23)*Performance!$E$11)))</f>
        <v>10.57742678429126</v>
      </c>
      <c r="J135">
        <f xml:space="preserve"> $AC$3/G135 + $AC$6/A135 * Performance!$E$12 + Performance!$E$23/Constraints!$AC$6 * Constraints!A135</f>
        <v>0.25084746098419003</v>
      </c>
      <c r="K135">
        <f xml:space="preserve"> $AC$3/H135 + $AC$6/A135 * Performance!$E$12 + Performance!$E$23/Constraints!$AC$6 * Constraints!A135</f>
        <v>0.72412367532369859</v>
      </c>
      <c r="L135">
        <f xml:space="preserve"> $AC$3/I135 + $AC$6/A135 * Performance!$E$12 + Performance!$E$23/Constraints!$AC$6 * Constraints!A135</f>
        <v>0.69918093634595035</v>
      </c>
      <c r="M135">
        <f>SIN($AC$9 * PI()/180) + 1/Performance!$AE$5</f>
        <v>0.24073077270730886</v>
      </c>
      <c r="N135">
        <f>SIN($AC$9 * PI()/180) + 1/Performance!$AE$8</f>
        <v>0.22738716112204788</v>
      </c>
      <c r="O135" s="60">
        <f>$AC$16 * (Performance!$E$12/Constraints!A135 + Performance!$E$23 * (Constraints!$AC$13/Constraints!$AC$17)^2 * Constraints!A135)</f>
        <v>3.9959150379077698E-4</v>
      </c>
      <c r="P135">
        <f t="shared" si="7"/>
        <v>6644.2891697767991</v>
      </c>
      <c r="Q135">
        <f t="shared" si="8"/>
        <v>26.547598269119423</v>
      </c>
      <c r="R135">
        <f t="shared" si="9"/>
        <v>29.376704805107011</v>
      </c>
      <c r="S135">
        <f xml:space="preserve"> 1.667/G135 + P135/A135 * Performance!$E$12 + Performance!$E$23 / Constraints!P135 * Constraints!A135</f>
        <v>3.0082783280328229</v>
      </c>
      <c r="T135">
        <f xml:space="preserve"> 1.667/H135 + Q135/A135 * Performance!$E$12 + Performance!$E$23 / Constraints!Q135 * Constraints!A135</f>
        <v>0.271697684856819</v>
      </c>
      <c r="U135">
        <f xml:space="preserve"> 1.667/I135 + R135/A135 * Performance!$E$12 + Performance!$E$23 / Constraints!R135 * Constraints!A135</f>
        <v>0.25574251298913109</v>
      </c>
    </row>
    <row r="136" spans="1:21" x14ac:dyDescent="0.3">
      <c r="A136" s="51">
        <v>67</v>
      </c>
      <c r="B136" s="50">
        <f>$V$4*Performance!$E$12*(1/A136)+Performance!$E$23*(1/Constraints!$V$4)*Constraints!A136</f>
        <v>0.42652781544500457</v>
      </c>
      <c r="C136" s="50">
        <f>$V$5*Performance!$E$12*(1/A136)+Performance!$E$23*(1/Constraints!$V$5)*Constraints!A136</f>
        <v>0.66340887446403429</v>
      </c>
      <c r="D136" s="52">
        <f t="shared" si="5"/>
        <v>0.28506128544626996</v>
      </c>
      <c r="E136" s="52">
        <f>$V$4*Performance!$E$12*(1/A136)+Performance!$E$23*(1/Constraints!$V$9)*Constraints!A136</f>
        <v>0.4262252327136728</v>
      </c>
      <c r="F136" s="52">
        <f xml:space="preserve"> 1.21 / (9.81 * Constraints!$N$7 * Performance!$E$15 * Constraints!$N$5 ) * Constraints!A136 + 0.605 /Performance!$E$15 * (Performance!$E$16  - Constraints!$N$6 * Performance!$E$14) + Constraints!$N$6</f>
        <v>0.28502409249474475</v>
      </c>
      <c r="G136">
        <f t="shared" si="6"/>
        <v>159.74540000000002</v>
      </c>
      <c r="H136" s="55">
        <f>SQRT(2/$V$3 * A136 * SQRT(Performance!$E$23 / (3 * Performance!$E$12)))</f>
        <v>10.092939860766064</v>
      </c>
      <c r="I136" s="55">
        <f>SQRT(2/$V$3 * A136 * (SQRT(Performance!$E$23)/(SQRT(3*Performance!$E$12 + 4* Performance!$E$23 * Performance!$E$11^2) - SQRT(Performance!$E$23)*Performance!$E$11)))</f>
        <v>10.617117080529987</v>
      </c>
      <c r="J136">
        <f xml:space="preserve"> $AC$3/G136 + $AC$6/A136 * Performance!$E$12 + Performance!$E$23/Constraints!$AC$6 * Constraints!A136</f>
        <v>0.25228057434286011</v>
      </c>
      <c r="K136">
        <f xml:space="preserve"> $AC$3/H136 + $AC$6/A136 * Performance!$E$12 + Performance!$E$23/Constraints!$AC$6 * Constraints!A136</f>
        <v>0.72380210275511003</v>
      </c>
      <c r="L136">
        <f xml:space="preserve"> $AC$3/I136 + $AC$6/A136 * Performance!$E$12 + Performance!$E$23/Constraints!$AC$6 * Constraints!A136</f>
        <v>0.69895260798777425</v>
      </c>
      <c r="M136">
        <f>SIN($AC$9 * PI()/180) + 1/Performance!$AE$5</f>
        <v>0.24073077270730886</v>
      </c>
      <c r="N136">
        <f>SIN($AC$9 * PI()/180) + 1/Performance!$AE$8</f>
        <v>0.22738716112204788</v>
      </c>
      <c r="O136" s="60">
        <f>$AC$16 * (Performance!$E$12/Constraints!A136 + Performance!$E$23 * (Constraints!$AC$13/Constraints!$AC$17)^2 * Constraints!A136)</f>
        <v>3.9705996130236926E-4</v>
      </c>
      <c r="P136">
        <f t="shared" si="7"/>
        <v>6700.3848156017939</v>
      </c>
      <c r="Q136">
        <f t="shared" si="8"/>
        <v>26.747204271142873</v>
      </c>
      <c r="R136">
        <f t="shared" si="9"/>
        <v>29.597582284844663</v>
      </c>
      <c r="S136">
        <f xml:space="preserve"> 1.667/G136 + P136/A136 * Performance!$E$12 + Performance!$E$23 / Constraints!P136 * Constraints!A136</f>
        <v>3.0109826454282027</v>
      </c>
      <c r="T136">
        <f xml:space="preserve"> 1.667/H136 + Q136/A136 * Performance!$E$12 + Performance!$E$23 / Constraints!Q136 * Constraints!A136</f>
        <v>0.27107792673498399</v>
      </c>
      <c r="U136">
        <f xml:space="preserve"> 1.667/I136 + R136/A136 * Performance!$E$12 + Performance!$E$23 / Constraints!R136 * Constraints!A136</f>
        <v>0.2551533529182326</v>
      </c>
    </row>
    <row r="137" spans="1:21" x14ac:dyDescent="0.3">
      <c r="A137" s="51">
        <v>67.5</v>
      </c>
      <c r="B137" s="50">
        <f>$V$4*Performance!$E$12*(1/A137)+Performance!$E$23*(1/Constraints!$V$4)*Constraints!A137</f>
        <v>0.42340781740588251</v>
      </c>
      <c r="C137" s="50">
        <f>$V$5*Performance!$E$12*(1/A137)+Performance!$E$23*(1/Constraints!$V$5)*Constraints!A137</f>
        <v>0.65852001637130675</v>
      </c>
      <c r="D137" s="52">
        <f t="shared" si="5"/>
        <v>0.28533357115855557</v>
      </c>
      <c r="E137" s="52">
        <f>$V$4*Performance!$E$12*(1/A137)+Performance!$E$23*(1/Constraints!$V$9)*Constraints!A137</f>
        <v>0.42310297659446616</v>
      </c>
      <c r="F137" s="52">
        <f xml:space="preserve"> 1.21 / (9.81 * Constraints!$N$7 * Performance!$E$15 * Constraints!$N$5 ) * Constraints!A137 + 0.605 /Performance!$E$15 * (Performance!$E$16  - Constraints!$N$6 * Performance!$E$14) + Constraints!$N$6</f>
        <v>0.28529610064769062</v>
      </c>
      <c r="G137">
        <f t="shared" si="6"/>
        <v>160.41550000000001</v>
      </c>
      <c r="H137" s="55">
        <f>SQRT(2/$V$3 * A137 * SQRT(Performance!$E$23 / (3 * Performance!$E$12)))</f>
        <v>10.130530083470116</v>
      </c>
      <c r="I137" s="55">
        <f>SQRT(2/$V$3 * A137 * (SQRT(Performance!$E$23)/(SQRT(3*Performance!$E$12 + 4* Performance!$E$23 * Performance!$E$11^2) - SQRT(Performance!$E$23)*Performance!$E$11)))</f>
        <v>10.656659552895597</v>
      </c>
      <c r="J137">
        <f xml:space="preserve"> $AC$3/G137 + $AC$6/A137 * Performance!$E$12 + Performance!$E$23/Constraints!$AC$6 * Constraints!A137</f>
        <v>0.25371538904583424</v>
      </c>
      <c r="K137">
        <f xml:space="preserve"> $AC$3/H137 + $AC$6/A137 * Performance!$E$12 + Performance!$E$23/Constraints!$AC$6 * Constraints!A137</f>
        <v>0.72350213636139493</v>
      </c>
      <c r="L137">
        <f xml:space="preserve"> $AC$3/I137 + $AC$6/A137 * Performance!$E$12 + Performance!$E$23/Constraints!$AC$6 * Constraints!A137</f>
        <v>0.69874484782953661</v>
      </c>
      <c r="M137">
        <f>SIN($AC$9 * PI()/180) + 1/Performance!$AE$5</f>
        <v>0.24073077270730886</v>
      </c>
      <c r="N137">
        <f>SIN($AC$9 * PI()/180) + 1/Performance!$AE$8</f>
        <v>0.22738716112204788</v>
      </c>
      <c r="O137" s="60">
        <f>$AC$16 * (Performance!$E$12/Constraints!A137 + Performance!$E$23 * (Constraints!$AC$13/Constraints!$AC$17)^2 * Constraints!A137)</f>
        <v>3.9456927256093053E-4</v>
      </c>
      <c r="P137">
        <f t="shared" si="7"/>
        <v>6756.7162660170616</v>
      </c>
      <c r="Q137">
        <f t="shared" si="8"/>
        <v>26.946810273166331</v>
      </c>
      <c r="R137">
        <f t="shared" si="9"/>
        <v>29.818459764582304</v>
      </c>
      <c r="S137">
        <f xml:space="preserve"> 1.667/G137 + P137/A137 * Performance!$E$12 + Performance!$E$23 / Constraints!P137 * Constraints!A137</f>
        <v>3.0137514044587856</v>
      </c>
      <c r="T137">
        <f xml:space="preserve"> 1.667/H137 + Q137/A137 * Performance!$E$12 + Performance!$E$23 / Constraints!Q137 * Constraints!A137</f>
        <v>0.27046506763018702</v>
      </c>
      <c r="U137">
        <f xml:space="preserve"> 1.667/I137 + R137/A137 * Performance!$E$12 + Performance!$E$23 / Constraints!R137 * Constraints!A137</f>
        <v>0.25457075125330597</v>
      </c>
    </row>
    <row r="138" spans="1:21" x14ac:dyDescent="0.3">
      <c r="A138" s="51">
        <v>68</v>
      </c>
      <c r="B138" s="50">
        <f>$V$4*Performance!$E$12*(1/A138)+Performance!$E$23*(1/Constraints!$V$4)*Constraints!A138</f>
        <v>0.42033399297012186</v>
      </c>
      <c r="C138" s="50">
        <f>$V$5*Performance!$E$12*(1/A138)+Performance!$E$23*(1/Constraints!$V$5)*Constraints!A138</f>
        <v>0.65370323983657652</v>
      </c>
      <c r="D138" s="52">
        <f t="shared" si="5"/>
        <v>0.28560585687084117</v>
      </c>
      <c r="E138" s="52">
        <f>$V$4*Performance!$E$12*(1/A138)+Performance!$E$23*(1/Constraints!$V$9)*Constraints!A138</f>
        <v>0.42002689407862098</v>
      </c>
      <c r="F138" s="52">
        <f xml:space="preserve"> 1.21 / (9.81 * Constraints!$N$7 * Performance!$E$15 * Constraints!$N$5 ) * Constraints!A138 + 0.605 /Performance!$E$15 * (Performance!$E$16  - Constraints!$N$6 * Performance!$E$14) + Constraints!$N$6</f>
        <v>0.28556810880063643</v>
      </c>
      <c r="G138">
        <f t="shared" si="6"/>
        <v>161.0856</v>
      </c>
      <c r="H138" s="55">
        <f>SQRT(2/$V$3 * A138 * SQRT(Performance!$E$23 / (3 * Performance!$E$12)))</f>
        <v>10.16798133904393</v>
      </c>
      <c r="I138" s="55">
        <f>SQRT(2/$V$3 * A138 * (SQRT(Performance!$E$23)/(SQRT(3*Performance!$E$12 + 4* Performance!$E$23 * Performance!$E$11^2) - SQRT(Performance!$E$23)*Performance!$E$11)))</f>
        <v>10.696055840867716</v>
      </c>
      <c r="J138">
        <f xml:space="preserve"> $AC$3/G138 + $AC$6/A138 * Performance!$E$12 + Performance!$E$23/Constraints!$AC$6 * Constraints!A138</f>
        <v>0.25515187828411223</v>
      </c>
      <c r="K138">
        <f xml:space="preserve"> $AC$3/H138 + $AC$6/A138 * Performance!$E$12 + Performance!$E$23/Constraints!$AC$6 * Constraints!A138</f>
        <v>0.72322337611504428</v>
      </c>
      <c r="L138">
        <f xml:space="preserve"> $AC$3/I138 + $AC$6/A138 * Performance!$E$12 + Performance!$E$23/Constraints!$AC$6 * Constraints!A138</f>
        <v>0.69855727495944142</v>
      </c>
      <c r="M138">
        <f>SIN($AC$9 * PI()/180) + 1/Performance!$AE$5</f>
        <v>0.24073077270730886</v>
      </c>
      <c r="N138">
        <f>SIN($AC$9 * PI()/180) + 1/Performance!$AE$8</f>
        <v>0.22738716112204788</v>
      </c>
      <c r="O138" s="60">
        <f>$AC$16 * (Performance!$E$12/Constraints!A138 + Performance!$E$23 * (Constraints!$AC$13/Constraints!$AC$17)^2 * Constraints!A138)</f>
        <v>3.9211853638086594E-4</v>
      </c>
      <c r="P138">
        <f t="shared" si="7"/>
        <v>6813.283521022604</v>
      </c>
      <c r="Q138">
        <f t="shared" si="8"/>
        <v>27.146416275189786</v>
      </c>
      <c r="R138">
        <f t="shared" si="9"/>
        <v>30.039337244319949</v>
      </c>
      <c r="S138">
        <f xml:space="preserve"> 1.667/G138 + P138/A138 * Performance!$E$12 + Performance!$E$23 / Constraints!P138 * Constraints!A138</f>
        <v>3.0165831871925763</v>
      </c>
      <c r="T138">
        <f xml:space="preserve"> 1.667/H138 + Q138/A138 * Performance!$E$12 + Performance!$E$23 / Constraints!Q138 * Constraints!A138</f>
        <v>0.26985898048769263</v>
      </c>
      <c r="U138">
        <f xml:space="preserve"> 1.667/I138 + R138/A138 * Performance!$E$12 + Performance!$E$23 / Constraints!R138 * Constraints!A138</f>
        <v>0.25399458721242923</v>
      </c>
    </row>
    <row r="139" spans="1:21" x14ac:dyDescent="0.3">
      <c r="A139" s="51">
        <v>68.5</v>
      </c>
      <c r="B139" s="50">
        <f>$V$4*Performance!$E$12*(1/A139)+Performance!$E$23*(1/Constraints!$V$4)*Constraints!A139</f>
        <v>0.41730533103691914</v>
      </c>
      <c r="C139" s="50">
        <f>$V$5*Performance!$E$12*(1/A139)+Performance!$E$23*(1/Constraints!$V$5)*Constraints!A139</f>
        <v>0.64895696643156653</v>
      </c>
      <c r="D139" s="52">
        <f t="shared" si="5"/>
        <v>0.28587814258312677</v>
      </c>
      <c r="E139" s="52">
        <f>$V$4*Performance!$E$12*(1/A139)+Performance!$E$23*(1/Constraints!$V$9)*Constraints!A139</f>
        <v>0.41699597406533362</v>
      </c>
      <c r="F139" s="52">
        <f xml:space="preserve"> 1.21 / (9.81 * Constraints!$N$7 * Performance!$E$15 * Constraints!$N$5 ) * Constraints!A139 + 0.605 /Performance!$E$15 * (Performance!$E$16  - Constraints!$N$6 * Performance!$E$14) + Constraints!$N$6</f>
        <v>0.2858401169535823</v>
      </c>
      <c r="G139">
        <f t="shared" si="6"/>
        <v>161.75569999999999</v>
      </c>
      <c r="H139" s="55">
        <f>SQRT(2/$V$3 * A139 * SQRT(Performance!$E$23 / (3 * Performance!$E$12)))</f>
        <v>10.205295157426761</v>
      </c>
      <c r="I139" s="55">
        <f>SQRT(2/$V$3 * A139 * (SQRT(Performance!$E$23)/(SQRT(3*Performance!$E$12 + 4* Performance!$E$23 * Performance!$E$11^2) - SQRT(Performance!$E$23)*Performance!$E$11)))</f>
        <v>10.735307553843057</v>
      </c>
      <c r="J139">
        <f xml:space="preserve"> $AC$3/G139 + $AC$6/A139 * Performance!$E$12 + Performance!$E$23/Constraints!$AC$6 * Constraints!A139</f>
        <v>0.25659001585508684</v>
      </c>
      <c r="K139">
        <f xml:space="preserve"> $AC$3/H139 + $AC$6/A139 * Performance!$E$12 + Performance!$E$23/Constraints!$AC$6 * Constraints!A139</f>
        <v>0.72296543227328325</v>
      </c>
      <c r="L139">
        <f xml:space="preserve"> $AC$3/I139 + $AC$6/A139 * Performance!$E$12 + Performance!$E$23/Constraints!$AC$6 * Constraints!A139</f>
        <v>0.69838951826117135</v>
      </c>
      <c r="M139">
        <f>SIN($AC$9 * PI()/180) + 1/Performance!$AE$5</f>
        <v>0.24073077270730886</v>
      </c>
      <c r="N139">
        <f>SIN($AC$9 * PI()/180) + 1/Performance!$AE$8</f>
        <v>0.22738716112204788</v>
      </c>
      <c r="O139" s="60">
        <f>$AC$16 * (Performance!$E$12/Constraints!A139 + Performance!$E$23 * (Constraints!$AC$13/Constraints!$AC$17)^2 * Constraints!A139)</f>
        <v>3.8970687788856872E-4</v>
      </c>
      <c r="P139">
        <f t="shared" si="7"/>
        <v>6870.0865806184211</v>
      </c>
      <c r="Q139">
        <f t="shared" si="8"/>
        <v>27.346022277213233</v>
      </c>
      <c r="R139">
        <f t="shared" si="9"/>
        <v>30.260214724057597</v>
      </c>
      <c r="S139">
        <f xml:space="preserve"> 1.667/G139 + P139/A139 * Performance!$E$12 + Performance!$E$23 / Constraints!P139 * Constraints!A139</f>
        <v>3.0194766170398477</v>
      </c>
      <c r="T139">
        <f xml:space="preserve"> 1.667/H139 + Q139/A139 * Performance!$E$12 + Performance!$E$23 / Constraints!Q139 * Constraints!A139</f>
        <v>0.2692595415046562</v>
      </c>
      <c r="U139">
        <f xml:space="preserve"> 1.667/I139 + R139/A139 * Performance!$E$12 + Performance!$E$23 / Constraints!R139 * Constraints!A139</f>
        <v>0.25342474310502261</v>
      </c>
    </row>
    <row r="140" spans="1:21" x14ac:dyDescent="0.3">
      <c r="A140" s="51">
        <v>69</v>
      </c>
      <c r="B140" s="50">
        <f>$V$4*Performance!$E$12*(1/A140)+Performance!$E$23*(1/Constraints!$V$4)*Constraints!A140</f>
        <v>0.41432084981274048</v>
      </c>
      <c r="C140" s="50">
        <f>$V$5*Performance!$E$12*(1/A140)+Performance!$E$23*(1/Constraints!$V$5)*Constraints!A140</f>
        <v>0.64427966347954346</v>
      </c>
      <c r="D140" s="52">
        <f t="shared" si="5"/>
        <v>0.28615042829541237</v>
      </c>
      <c r="E140" s="52">
        <f>$V$4*Performance!$E$12*(1/A140)+Performance!$E$23*(1/Constraints!$V$9)*Constraints!A140</f>
        <v>0.41400923476107038</v>
      </c>
      <c r="F140" s="52">
        <f xml:space="preserve"> 1.21 / (9.81 * Constraints!$N$7 * Performance!$E$15 * Constraints!$N$5 ) * Constraints!A140 + 0.605 /Performance!$E$15 * (Performance!$E$16  - Constraints!$N$6 * Performance!$E$14) + Constraints!$N$6</f>
        <v>0.28611212510652817</v>
      </c>
      <c r="G140">
        <f t="shared" si="6"/>
        <v>162.42579999999998</v>
      </c>
      <c r="H140" s="55">
        <f>SQRT(2/$V$3 * A140 * SQRT(Performance!$E$23 / (3 * Performance!$E$12)))</f>
        <v>10.242473040689474</v>
      </c>
      <c r="I140" s="55">
        <f>SQRT(2/$V$3 * A140 * (SQRT(Performance!$E$23)/(SQRT(3*Performance!$E$12 + 4* Performance!$E$23 * Performance!$E$11^2) - SQRT(Performance!$E$23)*Performance!$E$11)))</f>
        <v>10.774416271902588</v>
      </c>
      <c r="J140">
        <f xml:space="preserve"> $AC$3/G140 + $AC$6/A140 * Performance!$E$12 + Performance!$E$23/Constraints!$AC$6 * Constraints!A140</f>
        <v>0.25802977614418426</v>
      </c>
      <c r="K140">
        <f xml:space="preserve"> $AC$3/H140 + $AC$6/A140 * Performance!$E$12 + Performance!$E$23/Constraints!$AC$6 * Constraints!A140</f>
        <v>0.72272792504074934</v>
      </c>
      <c r="L140">
        <f xml:space="preserve"> $AC$3/I140 + $AC$6/A140 * Performance!$E$12 + Performance!$E$23/Constraints!$AC$6 * Constraints!A140</f>
        <v>0.69824121609254997</v>
      </c>
      <c r="M140">
        <f>SIN($AC$9 * PI()/180) + 1/Performance!$AE$5</f>
        <v>0.24073077270730886</v>
      </c>
      <c r="N140">
        <f>SIN($AC$9 * PI()/180) + 1/Performance!$AE$8</f>
        <v>0.22738716112204788</v>
      </c>
      <c r="O140" s="60">
        <f>$AC$16 * (Performance!$E$12/Constraints!A140 + Performance!$E$23 * (Constraints!$AC$13/Constraints!$AC$17)^2 * Constraints!A140)</f>
        <v>3.8733344756908738E-4</v>
      </c>
      <c r="P140">
        <f t="shared" si="7"/>
        <v>6927.1254448045129</v>
      </c>
      <c r="Q140">
        <f t="shared" si="8"/>
        <v>27.545628279236695</v>
      </c>
      <c r="R140">
        <f t="shared" si="9"/>
        <v>30.481092203795253</v>
      </c>
      <c r="S140">
        <f xml:space="preserve"> 1.667/G140 + P140/A140 * Performance!$E$12 + Performance!$E$23 / Constraints!P140 * Constraints!A140</f>
        <v>3.0224303572563778</v>
      </c>
      <c r="T140">
        <f xml:space="preserve"> 1.667/H140 + Q140/A140 * Performance!$E$12 + Performance!$E$23 / Constraints!Q140 * Constraints!A140</f>
        <v>0.26866663002389013</v>
      </c>
      <c r="U140">
        <f xml:space="preserve"> 1.667/I140 + R140/A140 * Performance!$E$12 + Performance!$E$23 / Constraints!R140 * Constraints!A140</f>
        <v>0.25286110423085933</v>
      </c>
    </row>
    <row r="141" spans="1:21" x14ac:dyDescent="0.3">
      <c r="A141" s="51">
        <v>69.5</v>
      </c>
      <c r="B141" s="50">
        <f>$V$4*Performance!$E$12*(1/A141)+Performance!$E$23*(1/Constraints!$V$4)*Constraints!A141</f>
        <v>0.41137959575710326</v>
      </c>
      <c r="C141" s="50">
        <f>$V$5*Performance!$E$12*(1/A141)+Performance!$E$23*(1/Constraints!$V$5)*Constraints!A141</f>
        <v>0.63966984240957991</v>
      </c>
      <c r="D141" s="52">
        <f t="shared" si="5"/>
        <v>0.28642271400769798</v>
      </c>
      <c r="E141" s="52">
        <f>$V$4*Performance!$E$12*(1/A141)+Performance!$E$23*(1/Constraints!$V$9)*Constraints!A141</f>
        <v>0.41106572262534863</v>
      </c>
      <c r="F141" s="52">
        <f xml:space="preserve"> 1.21 / (9.81 * Constraints!$N$7 * Performance!$E$15 * Constraints!$N$5 ) * Constraints!A141 + 0.605 /Performance!$E$15 * (Performance!$E$16  - Constraints!$N$6 * Performance!$E$14) + Constraints!$N$6</f>
        <v>0.28638413325947404</v>
      </c>
      <c r="G141">
        <f t="shared" si="6"/>
        <v>163.0959</v>
      </c>
      <c r="H141" s="55">
        <f>SQRT(2/$V$3 * A141 * SQRT(Performance!$E$23 / (3 * Performance!$E$12)))</f>
        <v>10.279516463740071</v>
      </c>
      <c r="I141" s="55">
        <f>SQRT(2/$V$3 * A141 * (SQRT(Performance!$E$23)/(SQRT(3*Performance!$E$12 + 4* Performance!$E$23 * Performance!$E$11^2) - SQRT(Performance!$E$23)*Performance!$E$11)))</f>
        <v>10.813383546553718</v>
      </c>
      <c r="J141">
        <f xml:space="preserve"> $AC$3/G141 + $AC$6/A141 * Performance!$E$12 + Performance!$E$23/Constraints!$AC$6 * Constraints!A141</f>
        <v>0.25947113410720896</v>
      </c>
      <c r="K141">
        <f xml:space="preserve"> $AC$3/H141 + $AC$6/A141 * Performance!$E$12 + Performance!$E$23/Constraints!$AC$6 * Constraints!A141</f>
        <v>0.72251048424559294</v>
      </c>
      <c r="L141">
        <f xml:space="preserve"> $AC$3/I141 + $AC$6/A141 * Performance!$E$12 + Performance!$E$23/Constraints!$AC$6 * Constraints!A141</f>
        <v>0.69811201597699024</v>
      </c>
      <c r="M141">
        <f>SIN($AC$9 * PI()/180) + 1/Performance!$AE$5</f>
        <v>0.24073077270730886</v>
      </c>
      <c r="N141">
        <f>SIN($AC$9 * PI()/180) + 1/Performance!$AE$8</f>
        <v>0.22738716112204788</v>
      </c>
      <c r="O141" s="60">
        <f>$AC$16 * (Performance!$E$12/Constraints!A141 + Performance!$E$23 * (Constraints!$AC$13/Constraints!$AC$17)^2 * Constraints!A141)</f>
        <v>3.8499742035394391E-4</v>
      </c>
      <c r="P141">
        <f t="shared" si="7"/>
        <v>6984.4001135808821</v>
      </c>
      <c r="Q141">
        <f t="shared" si="8"/>
        <v>27.745234281260142</v>
      </c>
      <c r="R141">
        <f t="shared" si="9"/>
        <v>30.701969683532898</v>
      </c>
      <c r="S141">
        <f xml:space="preserve"> 1.667/G141 + P141/A141 * Performance!$E$12 + Performance!$E$23 / Constraints!P141 * Constraints!A141</f>
        <v>3.0254431095112597</v>
      </c>
      <c r="T141">
        <f xml:space="preserve"> 1.667/H141 + Q141/A141 * Performance!$E$12 + Performance!$E$23 / Constraints!Q141 * Constraints!A141</f>
        <v>0.26808012843184215</v>
      </c>
      <c r="U141">
        <f xml:space="preserve"> 1.667/I141 + R141/A141 * Performance!$E$12 + Performance!$E$23 / Constraints!R141 * Constraints!A141</f>
        <v>0.25230355878308053</v>
      </c>
    </row>
    <row r="142" spans="1:21" x14ac:dyDescent="0.3">
      <c r="A142" s="51">
        <v>70</v>
      </c>
      <c r="B142" s="50">
        <f>$V$4*Performance!$E$12*(1/A142)+Performance!$E$23*(1/Constraints!$V$4)*Constraints!A142</f>
        <v>0.40848064257353878</v>
      </c>
      <c r="C142" s="50">
        <f>$V$5*Performance!$E$12*(1/A142)+Performance!$E$23*(1/Constraints!$V$5)*Constraints!A142</f>
        <v>0.63512605718134563</v>
      </c>
      <c r="D142" s="52">
        <f t="shared" si="5"/>
        <v>0.28669499971998358</v>
      </c>
      <c r="E142" s="52">
        <f>$V$4*Performance!$E$12*(1/A142)+Performance!$E$23*(1/Constraints!$V$9)*Constraints!A142</f>
        <v>0.40816451136169957</v>
      </c>
      <c r="F142" s="52">
        <f xml:space="preserve"> 1.21 / (9.81 * Constraints!$N$7 * Performance!$E$15 * Constraints!$N$5 ) * Constraints!A142 + 0.605 /Performance!$E$15 * (Performance!$E$16  - Constraints!$N$6 * Performance!$E$14) + Constraints!$N$6</f>
        <v>0.28665614141241985</v>
      </c>
      <c r="G142">
        <f t="shared" si="6"/>
        <v>163.76600000000002</v>
      </c>
      <c r="H142" s="55">
        <f>SQRT(2/$V$3 * A142 * SQRT(Performance!$E$23 / (3 * Performance!$E$12)))</f>
        <v>10.316426875006469</v>
      </c>
      <c r="I142" s="55">
        <f>SQRT(2/$V$3 * A142 * (SQRT(Performance!$E$23)/(SQRT(3*Performance!$E$12 + 4* Performance!$E$23 * Performance!$E$11^2) - SQRT(Performance!$E$23)*Performance!$E$11)))</f>
        <v>10.852210901448519</v>
      </c>
      <c r="J142">
        <f xml:space="preserve"> $AC$3/G142 + $AC$6/A142 * Performance!$E$12 + Performance!$E$23/Constraints!$AC$6 * Constraints!A142</f>
        <v>0.26091406525335975</v>
      </c>
      <c r="K142">
        <f xml:space="preserve"> $AC$3/H142 + $AC$6/A142 * Performance!$E$12 + Performance!$E$23/Constraints!$AC$6 * Constraints!A142</f>
        <v>0.72231274902836728</v>
      </c>
      <c r="L142">
        <f xml:space="preserve"> $AC$3/I142 + $AC$6/A142 * Performance!$E$12 + Performance!$E$23/Constraints!$AC$6 * Constraints!A142</f>
        <v>0.69800157430713083</v>
      </c>
      <c r="M142">
        <f>SIN($AC$9 * PI()/180) + 1/Performance!$AE$5</f>
        <v>0.24073077270730886</v>
      </c>
      <c r="N142">
        <f>SIN($AC$9 * PI()/180) + 1/Performance!$AE$8</f>
        <v>0.22738716112204788</v>
      </c>
      <c r="O142" s="60">
        <f>$AC$16 * (Performance!$E$12/Constraints!A142 + Performance!$E$23 * (Constraints!$AC$13/Constraints!$AC$17)^2 * Constraints!A142)</f>
        <v>3.8269799474804537E-4</v>
      </c>
      <c r="P142">
        <f t="shared" si="7"/>
        <v>7041.9105869475261</v>
      </c>
      <c r="Q142">
        <f t="shared" si="8"/>
        <v>27.9448402832836</v>
      </c>
      <c r="R142">
        <f t="shared" si="9"/>
        <v>30.922847163270543</v>
      </c>
      <c r="S142">
        <f xml:space="preserve"> 1.667/G142 + P142/A142 * Performance!$E$12 + Performance!$E$23 / Constraints!P142 * Constraints!A142</f>
        <v>3.0285136125160625</v>
      </c>
      <c r="T142">
        <f xml:space="preserve"> 1.667/H142 + Q142/A142 * Performance!$E$12 + Performance!$E$23 / Constraints!Q142 * Constraints!A142</f>
        <v>0.26749992206058681</v>
      </c>
      <c r="U142">
        <f xml:space="preserve"> 1.667/I142 + R142/A142 * Performance!$E$12 + Performance!$E$23 / Constraints!R142 * Constraints!A142</f>
        <v>0.25175199775502594</v>
      </c>
    </row>
    <row r="143" spans="1:21" x14ac:dyDescent="0.3">
      <c r="A143" s="51">
        <v>70.5</v>
      </c>
      <c r="B143" s="50">
        <f>$V$4*Performance!$E$12*(1/A143)+Performance!$E$23*(1/Constraints!$V$4)*Constraints!A143</f>
        <v>0.4056230902434923</v>
      </c>
      <c r="C143" s="50">
        <f>$V$5*Performance!$E$12*(1/A143)+Performance!$E$23*(1/Constraints!$V$5)*Constraints!A143</f>
        <v>0.63064690277693192</v>
      </c>
      <c r="D143" s="52">
        <f t="shared" si="5"/>
        <v>0.28696728543226913</v>
      </c>
      <c r="E143" s="52">
        <f>$V$4*Performance!$E$12*(1/A143)+Performance!$E$23*(1/Constraints!$V$9)*Constraints!A143</f>
        <v>0.40530470095156856</v>
      </c>
      <c r="F143" s="52">
        <f xml:space="preserve"> 1.21 / (9.81 * Constraints!$N$7 * Performance!$E$15 * Constraints!$N$5 ) * Constraints!A143 + 0.605 /Performance!$E$15 * (Performance!$E$16  - Constraints!$N$6 * Performance!$E$14) + Constraints!$N$6</f>
        <v>0.28692814956536572</v>
      </c>
      <c r="G143" s="54" t="s">
        <v>198</v>
      </c>
      <c r="H143" s="55">
        <f>SQRT(2/$V$3 * A143 * SQRT(Performance!$E$23 / (3 * Performance!$E$12)))</f>
        <v>10.353205697097314</v>
      </c>
      <c r="I143" s="55">
        <f>SQRT(2/$V$3 * A143 * (SQRT(Performance!$E$23)/(SQRT(3*Performance!$E$12 + 4* Performance!$E$23 * Performance!$E$11^2) - SQRT(Performance!$E$23)*Performance!$E$11)))</f>
        <v>10.890899833078876</v>
      </c>
      <c r="J143" t="e">
        <f xml:space="preserve"> $AC$3/G143 + $AC$6/A143 * Performance!$E$12 + Performance!$E$23/Constraints!$AC$6 * Constraints!A143</f>
        <v>#VALUE!</v>
      </c>
      <c r="K143">
        <f xml:space="preserve"> $AC$3/H143 + $AC$6/A143 * Performance!$E$12 + Performance!$E$23/Constraints!$AC$6 * Constraints!A143</f>
        <v>0.72213436754312177</v>
      </c>
      <c r="L143">
        <f xml:space="preserve"> $AC$3/I143 + $AC$6/A143 * Performance!$E$12 + Performance!$E$23/Constraints!$AC$6 * Constraints!A143</f>
        <v>0.69790955606009897</v>
      </c>
      <c r="M143">
        <f>SIN($AC$9 * PI()/180) + 1/Performance!$AE$5</f>
        <v>0.24073077270730886</v>
      </c>
      <c r="N143">
        <f>SIN($AC$9 * PI()/180) + 1/Performance!$AE$8</f>
        <v>0.22738716112204788</v>
      </c>
      <c r="O143" s="60">
        <f>$AC$16 * (Performance!$E$12/Constraints!A143 + Performance!$E$23 * (Constraints!$AC$13/Constraints!$AC$17)^2 * Constraints!A143)</f>
        <v>3.804343919937483E-4</v>
      </c>
      <c r="P143" t="e">
        <f t="shared" si="7"/>
        <v>#VALUE!</v>
      </c>
      <c r="Q143">
        <f t="shared" si="8"/>
        <v>28.144446285307055</v>
      </c>
      <c r="R143">
        <f t="shared" si="9"/>
        <v>31.143724643008191</v>
      </c>
      <c r="S143" t="e">
        <f xml:space="preserve"> 1.667/G143 + P143/A143 * Performance!$E$12 + Performance!$E$23 / Constraints!P143 * Constraints!A143</f>
        <v>#VALUE!</v>
      </c>
      <c r="T143">
        <f xml:space="preserve"> 1.667/H143 + Q143/A143 * Performance!$E$12 + Performance!$E$23 / Constraints!Q143 * Constraints!A143</f>
        <v>0.26692589909364917</v>
      </c>
      <c r="U143">
        <f xml:space="preserve"> 1.667/I143 + R143/A143 * Performance!$E$12 + Performance!$E$23 / Constraints!R143 * Constraints!A143</f>
        <v>0.25120631485070677</v>
      </c>
    </row>
    <row r="144" spans="1:21" x14ac:dyDescent="0.3">
      <c r="A144" s="51">
        <v>71</v>
      </c>
      <c r="B144" s="50">
        <f>$V$4*Performance!$E$12*(1/A144)+Performance!$E$23*(1/Constraints!$V$4)*Constraints!A144</f>
        <v>0.40280606410104447</v>
      </c>
      <c r="C144" s="50">
        <f>$V$5*Performance!$E$12*(1/A144)+Performance!$E$23*(1/Constraints!$V$5)*Constraints!A144</f>
        <v>0.62623101375639856</v>
      </c>
      <c r="D144" s="52">
        <f t="shared" si="5"/>
        <v>0.28723957114455473</v>
      </c>
      <c r="E144" s="52">
        <f>$V$4*Performance!$E$12*(1/A144)+Performance!$E$23*(1/Constraints!$V$9)*Constraints!A144</f>
        <v>0.40248541672903615</v>
      </c>
      <c r="F144" s="52">
        <f xml:space="preserve"> 1.21 / (9.81 * Constraints!$N$7 * Performance!$E$15 * Constraints!$N$5 ) * Constraints!A144 + 0.605 /Performance!$E$15 * (Performance!$E$16  - Constraints!$N$6 * Performance!$E$14) + Constraints!$N$6</f>
        <v>0.28720015771831159</v>
      </c>
      <c r="G144" s="54" t="s">
        <v>198</v>
      </c>
      <c r="H144" s="55">
        <f>SQRT(2/$V$3 * A144 * SQRT(Performance!$E$23 / (3 * Performance!$E$12)))</f>
        <v>10.389854327441785</v>
      </c>
      <c r="I144" s="55">
        <f>SQRT(2/$V$3 * A144 * (SQRT(Performance!$E$23)/(SQRT(3*Performance!$E$12 + 4* Performance!$E$23 * Performance!$E$11^2) - SQRT(Performance!$E$23)*Performance!$E$11)))</f>
        <v>10.929451811449505</v>
      </c>
      <c r="J144" t="e">
        <f xml:space="preserve"> $AC$3/G144 + $AC$6/A144 * Performance!$E$12 + Performance!$E$23/Constraints!$AC$6 * Constraints!A144</f>
        <v>#VALUE!</v>
      </c>
      <c r="K144">
        <f xml:space="preserve"> $AC$3/H144 + $AC$6/A144 * Performance!$E$12 + Performance!$E$23/Constraints!$AC$6 * Constraints!A144</f>
        <v>0.72197499667013276</v>
      </c>
      <c r="L144">
        <f xml:space="preserve"> $AC$3/I144 + $AC$6/A144 * Performance!$E$12 + Performance!$E$23/Constraints!$AC$6 * Constraints!A144</f>
        <v>0.69783563452385966</v>
      </c>
      <c r="M144">
        <f>SIN($AC$9 * PI()/180) + 1/Performance!$AE$5</f>
        <v>0.24073077270730886</v>
      </c>
      <c r="N144">
        <f>SIN($AC$9 * PI()/180) + 1/Performance!$AE$8</f>
        <v>0.22738716112204788</v>
      </c>
      <c r="O144" s="60">
        <f>$AC$16 * (Performance!$E$12/Constraints!A144 + Performance!$E$23 * (Constraints!$AC$13/Constraints!$AC$17)^2 * Constraints!A144)</f>
        <v>3.7820585527024406E-4</v>
      </c>
      <c r="P144" t="e">
        <f t="shared" si="7"/>
        <v>#VALUE!</v>
      </c>
      <c r="Q144">
        <f t="shared" si="8"/>
        <v>28.344052287330502</v>
      </c>
      <c r="R144">
        <f t="shared" si="9"/>
        <v>31.364602122745829</v>
      </c>
      <c r="S144" t="e">
        <f xml:space="preserve"> 1.667/G144 + P144/A144 * Performance!$E$12 + Performance!$E$23 / Constraints!P144 * Constraints!A144</f>
        <v>#VALUE!</v>
      </c>
      <c r="T144">
        <f xml:space="preserve"> 1.667/H144 + Q144/A144 * Performance!$E$12 + Performance!$E$23 / Constraints!Q144 * Constraints!A144</f>
        <v>0.26635795047548072</v>
      </c>
      <c r="U144">
        <f xml:space="preserve"> 1.667/I144 + R144/A144 * Performance!$E$12 + Performance!$E$23 / Constraints!R144 * Constraints!A144</f>
        <v>0.25066640639875126</v>
      </c>
    </row>
    <row r="145" spans="1:21" x14ac:dyDescent="0.3">
      <c r="A145" s="51">
        <v>71.5</v>
      </c>
      <c r="B145" s="50">
        <f>$V$4*Performance!$E$12*(1/A145)+Performance!$E$23*(1/Constraints!$V$4)*Constraints!A145</f>
        <v>0.40002871394645545</v>
      </c>
      <c r="C145" s="50">
        <f>$V$5*Performance!$E$12*(1/A145)+Performance!$E$23*(1/Constraints!$V$5)*Constraints!A145</f>
        <v>0.62187706287393008</v>
      </c>
      <c r="D145" s="52">
        <f t="shared" si="5"/>
        <v>0.28751185685684033</v>
      </c>
      <c r="E145" s="52">
        <f>$V$4*Performance!$E$12*(1/A145)+Performance!$E$23*(1/Constraints!$V$9)*Constraints!A145</f>
        <v>0.3997058084943626</v>
      </c>
      <c r="F145" s="52">
        <f xml:space="preserve"> 1.21 / (9.81 * Constraints!$N$7 * Performance!$E$15 * Constraints!$N$5 ) * Constraints!A145 + 0.605 /Performance!$E$15 * (Performance!$E$16  - Constraints!$N$6 * Performance!$E$14) + Constraints!$N$6</f>
        <v>0.28747216587125746</v>
      </c>
      <c r="G145" s="54" t="s">
        <v>198</v>
      </c>
      <c r="H145" s="55">
        <f>SQRT(2/$V$3 * A145 * SQRT(Performance!$E$23 / (3 * Performance!$E$12)))</f>
        <v>10.426374138909143</v>
      </c>
      <c r="I145" s="55">
        <f>SQRT(2/$V$3 * A145 * (SQRT(Performance!$E$23)/(SQRT(3*Performance!$E$12 + 4* Performance!$E$23 * Performance!$E$11^2) - SQRT(Performance!$E$23)*Performance!$E$11)))</f>
        <v>10.967868280729684</v>
      </c>
      <c r="J145" t="e">
        <f xml:space="preserve"> $AC$3/G145 + $AC$6/A145 * Performance!$E$12 + Performance!$E$23/Constraints!$AC$6 * Constraints!A145</f>
        <v>#VALUE!</v>
      </c>
      <c r="K145">
        <f xml:space="preserve"> $AC$3/H145 + $AC$6/A145 * Performance!$E$12 + Performance!$E$23/Constraints!$AC$6 * Constraints!A145</f>
        <v>0.72183430173974239</v>
      </c>
      <c r="L145">
        <f xml:space="preserve"> $AC$3/I145 + $AC$6/A145 * Performance!$E$12 + Performance!$E$23/Constraints!$AC$6 * Constraints!A145</f>
        <v>0.69777949103415016</v>
      </c>
      <c r="M145">
        <f>SIN($AC$9 * PI()/180) + 1/Performance!$AE$5</f>
        <v>0.24073077270730886</v>
      </c>
      <c r="N145">
        <f>SIN($AC$9 * PI()/180) + 1/Performance!$AE$8</f>
        <v>0.22738716112204788</v>
      </c>
      <c r="O145" s="60">
        <f>$AC$16 * (Performance!$E$12/Constraints!A145 + Performance!$E$23 * (Constraints!$AC$13/Constraints!$AC$17)^2 * Constraints!A145)</f>
        <v>3.7601164892653717E-4</v>
      </c>
      <c r="P145" t="e">
        <f t="shared" si="7"/>
        <v>#VALUE!</v>
      </c>
      <c r="Q145">
        <f t="shared" si="8"/>
        <v>28.543658289353964</v>
      </c>
      <c r="R145">
        <f t="shared" si="9"/>
        <v>31.585479602483485</v>
      </c>
      <c r="S145" t="e">
        <f xml:space="preserve"> 1.667/G145 + P145/A145 * Performance!$E$12 + Performance!$E$23 / Constraints!P145 * Constraints!A145</f>
        <v>#VALUE!</v>
      </c>
      <c r="T145">
        <f xml:space="preserve"> 1.667/H145 + Q145/A145 * Performance!$E$12 + Performance!$E$23 / Constraints!Q145 * Constraints!A145</f>
        <v>0.26579596982442422</v>
      </c>
      <c r="U145">
        <f xml:space="preserve"> 1.667/I145 + R145/A145 * Performance!$E$12 + Performance!$E$23 / Constraints!R145 * Constraints!A145</f>
        <v>0.25013217126966625</v>
      </c>
    </row>
    <row r="146" spans="1:21" x14ac:dyDescent="0.3">
      <c r="A146" s="51">
        <v>72</v>
      </c>
      <c r="B146" s="50">
        <f>$V$4*Performance!$E$12*(1/A146)+Performance!$E$23*(1/Constraints!$V$4)*Constraints!A146</f>
        <v>0.39729021319664481</v>
      </c>
      <c r="C146" s="50">
        <f>$V$5*Performance!$E$12*(1/A146)+Performance!$E$23*(1/Constraints!$V$5)*Constraints!A146</f>
        <v>0.61758375975164992</v>
      </c>
      <c r="D146" s="52">
        <f t="shared" si="5"/>
        <v>0.28778414256912593</v>
      </c>
      <c r="E146" s="52">
        <f>$V$4*Performance!$E$12*(1/A146)+Performance!$E$23*(1/Constraints!$V$9)*Constraints!A146</f>
        <v>0.39696504966446733</v>
      </c>
      <c r="F146" s="52">
        <f xml:space="preserve"> 1.21 / (9.81 * Constraints!$N$7 * Performance!$E$15 * Constraints!$N$5 ) * Constraints!A146 + 0.605 /Performance!$E$15 * (Performance!$E$16  - Constraints!$N$6 * Performance!$E$14) + Constraints!$N$6</f>
        <v>0.28774417402420327</v>
      </c>
      <c r="G146" s="54" t="s">
        <v>198</v>
      </c>
      <c r="H146" s="55">
        <f>SQRT(2/$V$3 * A146 * SQRT(Performance!$E$23 / (3 * Performance!$E$12)))</f>
        <v>10.462766480408797</v>
      </c>
      <c r="I146" s="55">
        <f>SQRT(2/$V$3 * A146 * (SQRT(Performance!$E$23)/(SQRT(3*Performance!$E$12 + 4* Performance!$E$23 * Performance!$E$11^2) - SQRT(Performance!$E$23)*Performance!$E$11)))</f>
        <v>11.006150659884486</v>
      </c>
      <c r="J146" t="e">
        <f xml:space="preserve"> $AC$3/G146 + $AC$6/A146 * Performance!$E$12 + Performance!$E$23/Constraints!$AC$6 * Constraints!A146</f>
        <v>#VALUE!</v>
      </c>
      <c r="K146">
        <f xml:space="preserve"> $AC$3/H146 + $AC$6/A146 * Performance!$E$12 + Performance!$E$23/Constraints!$AC$6 * Constraints!A146</f>
        <v>0.72171195626680062</v>
      </c>
      <c r="L146">
        <f xml:space="preserve"> $AC$3/I146 + $AC$6/A146 * Performance!$E$12 + Performance!$E$23/Constraints!$AC$6 * Constraints!A146</f>
        <v>0.69774081472151583</v>
      </c>
      <c r="M146">
        <f>SIN($AC$9 * PI()/180) + 1/Performance!$AE$5</f>
        <v>0.24073077270730886</v>
      </c>
      <c r="N146">
        <f>SIN($AC$9 * PI()/180) + 1/Performance!$AE$8</f>
        <v>0.22738716112204788</v>
      </c>
      <c r="O146" s="60">
        <f>$AC$16 * (Performance!$E$12/Constraints!A146 + Performance!$E$23 * (Constraints!$AC$13/Constraints!$AC$17)^2 * Constraints!A146)</f>
        <v>3.738510577463817E-4</v>
      </c>
      <c r="P146" t="e">
        <f t="shared" si="7"/>
        <v>#VALUE!</v>
      </c>
      <c r="Q146">
        <f t="shared" si="8"/>
        <v>28.743264291377415</v>
      </c>
      <c r="R146">
        <f t="shared" si="9"/>
        <v>31.806357082221123</v>
      </c>
      <c r="S146" t="e">
        <f xml:space="preserve"> 1.667/G146 + P146/A146 * Performance!$E$12 + Performance!$E$23 / Constraints!P146 * Constraints!A146</f>
        <v>#VALUE!</v>
      </c>
      <c r="T146">
        <f xml:space="preserve"> 1.667/H146 + Q146/A146 * Performance!$E$12 + Performance!$E$23 / Constraints!Q146 * Constraints!A146</f>
        <v>0.26523985334900835</v>
      </c>
      <c r="U146">
        <f xml:space="preserve"> 1.667/I146 + R146/A146 * Performance!$E$12 + Performance!$E$23 / Constraints!R146 * Constraints!A146</f>
        <v>0.24960351079626464</v>
      </c>
    </row>
    <row r="147" spans="1:21" x14ac:dyDescent="0.3">
      <c r="A147" s="51">
        <v>72.5</v>
      </c>
      <c r="B147" s="50">
        <f>$V$4*Performance!$E$12*(1/A147)+Performance!$E$23*(1/Constraints!$V$4)*Constraints!A147</f>
        <v>0.39458975807082408</v>
      </c>
      <c r="C147" s="50">
        <f>$V$5*Performance!$E$12*(1/A147)+Performance!$E$23*(1/Constraints!$V$5)*Constraints!A147</f>
        <v>0.61334984960831296</v>
      </c>
      <c r="D147" s="52">
        <f t="shared" si="5"/>
        <v>0.28805642828141154</v>
      </c>
      <c r="E147" s="52">
        <f>$V$4*Performance!$E$12*(1/A147)+Performance!$E$23*(1/Constraints!$V$9)*Constraints!A147</f>
        <v>0.39426233645856207</v>
      </c>
      <c r="F147" s="52">
        <f xml:space="preserve"> 1.21 / (9.81 * Constraints!$N$7 * Performance!$E$15 * Constraints!$N$5 ) * Constraints!A147 + 0.605 /Performance!$E$15 * (Performance!$E$16  - Constraints!$N$6 * Performance!$E$14) + Constraints!$N$6</f>
        <v>0.28801618217714914</v>
      </c>
      <c r="G147" s="54" t="s">
        <v>198</v>
      </c>
      <c r="H147" s="55">
        <f>SQRT(2/$V$3 * A147 * SQRT(Performance!$E$23 / (3 * Performance!$E$12)))</f>
        <v>10.499032677471693</v>
      </c>
      <c r="I147" s="55">
        <f>SQRT(2/$V$3 * A147 * (SQRT(Performance!$E$23)/(SQRT(3*Performance!$E$12 + 4* Performance!$E$23 * Performance!$E$11^2) - SQRT(Performance!$E$23)*Performance!$E$11)))</f>
        <v>11.044300343286357</v>
      </c>
      <c r="J147" t="e">
        <f xml:space="preserve"> $AC$3/G147 + $AC$6/A147 * Performance!$E$12 + Performance!$E$23/Constraints!$AC$6 * Constraints!A147</f>
        <v>#VALUE!</v>
      </c>
      <c r="K147">
        <f xml:space="preserve"> $AC$3/H147 + $AC$6/A147 * Performance!$E$12 + Performance!$E$23/Constraints!$AC$6 * Constraints!A147</f>
        <v>0.72160764169523395</v>
      </c>
      <c r="L147">
        <f xml:space="preserve"> $AC$3/I147 + $AC$6/A147 * Performance!$E$12 + Performance!$E$23/Constraints!$AC$6 * Constraints!A147</f>
        <v>0.69771930226799261</v>
      </c>
      <c r="M147">
        <f>SIN($AC$9 * PI()/180) + 1/Performance!$AE$5</f>
        <v>0.24073077270730886</v>
      </c>
      <c r="N147">
        <f>SIN($AC$9 * PI()/180) + 1/Performance!$AE$8</f>
        <v>0.22738716112204788</v>
      </c>
      <c r="O147" s="60">
        <f>$AC$16 * (Performance!$E$12/Constraints!A147 + Performance!$E$23 * (Constraints!$AC$13/Constraints!$AC$17)^2 * Constraints!A147)</f>
        <v>3.7172338624363535E-4</v>
      </c>
      <c r="P147" t="e">
        <f t="shared" si="7"/>
        <v>#VALUE!</v>
      </c>
      <c r="Q147">
        <f t="shared" si="8"/>
        <v>28.942870293400865</v>
      </c>
      <c r="R147">
        <f t="shared" si="9"/>
        <v>32.027234561958778</v>
      </c>
      <c r="S147" t="e">
        <f xml:space="preserve"> 1.667/G147 + P147/A147 * Performance!$E$12 + Performance!$E$23 / Constraints!P147 * Constraints!A147</f>
        <v>#VALUE!</v>
      </c>
      <c r="T147">
        <f xml:space="preserve"> 1.667/H147 + Q147/A147 * Performance!$E$12 + Performance!$E$23 / Constraints!Q147 * Constraints!A147</f>
        <v>0.26468949976742284</v>
      </c>
      <c r="U147">
        <f xml:space="preserve"> 1.667/I147 + R147/A147 * Performance!$E$12 + Performance!$E$23 / Constraints!R147 * Constraints!A147</f>
        <v>0.24908032869711583</v>
      </c>
    </row>
    <row r="148" spans="1:21" x14ac:dyDescent="0.3">
      <c r="A148" s="51">
        <v>73</v>
      </c>
      <c r="B148" s="50">
        <f>$V$4*Performance!$E$12*(1/A148)+Performance!$E$23*(1/Constraints!$V$4)*Constraints!A148</f>
        <v>0.39192656680959609</v>
      </c>
      <c r="C148" s="50">
        <f>$V$5*Performance!$E$12*(1/A148)+Performance!$E$23*(1/Constraints!$V$5)*Constraints!A148</f>
        <v>0.6091741120402423</v>
      </c>
      <c r="D148" s="52">
        <f t="shared" si="5"/>
        <v>0.28832871399369714</v>
      </c>
      <c r="E148" s="52">
        <f>$V$4*Performance!$E$12*(1/A148)+Performance!$E$23*(1/Constraints!$V$9)*Constraints!A148</f>
        <v>0.39159688711724949</v>
      </c>
      <c r="F148" s="52">
        <f xml:space="preserve"> 1.21 / (9.81 * Constraints!$N$7 * Performance!$E$15 * Constraints!$N$5 ) * Constraints!A148 + 0.605 /Performance!$E$15 * (Performance!$E$16  - Constraints!$N$6 * Performance!$E$14) + Constraints!$N$6</f>
        <v>0.28828819033009501</v>
      </c>
      <c r="G148" s="54" t="s">
        <v>198</v>
      </c>
      <c r="H148" s="55">
        <f>SQRT(2/$V$3 * A148 * SQRT(Performance!$E$23 / (3 * Performance!$E$12)))</f>
        <v>10.535174032813648</v>
      </c>
      <c r="I148" s="55">
        <f>SQRT(2/$V$3 * A148 * (SQRT(Performance!$E$23)/(SQRT(3*Performance!$E$12 + 4* Performance!$E$23 * Performance!$E$11^2) - SQRT(Performance!$E$23)*Performance!$E$11)))</f>
        <v>11.082318701307708</v>
      </c>
      <c r="J148" t="e">
        <f xml:space="preserve"> $AC$3/G148 + $AC$6/A148 * Performance!$E$12 + Performance!$E$23/Constraints!$AC$6 * Constraints!A148</f>
        <v>#VALUE!</v>
      </c>
      <c r="K148">
        <f xml:space="preserve"> $AC$3/H148 + $AC$6/A148 * Performance!$E$12 + Performance!$E$23/Constraints!$AC$6 * Constraints!A148</f>
        <v>0.72152104715228527</v>
      </c>
      <c r="L148">
        <f xml:space="preserve"> $AC$3/I148 + $AC$6/A148 * Performance!$E$12 + Performance!$E$23/Constraints!$AC$6 * Constraints!A148</f>
        <v>0.697714657673007</v>
      </c>
      <c r="M148">
        <f>SIN($AC$9 * PI()/180) + 1/Performance!$AE$5</f>
        <v>0.24073077270730886</v>
      </c>
      <c r="N148">
        <f>SIN($AC$9 * PI()/180) + 1/Performance!$AE$8</f>
        <v>0.22738716112204788</v>
      </c>
      <c r="O148" s="60">
        <f>$AC$16 * (Performance!$E$12/Constraints!A148 + Performance!$E$23 * (Constraints!$AC$13/Constraints!$AC$17)^2 * Constraints!A148)</f>
        <v>3.6962795798657036E-4</v>
      </c>
      <c r="P148" t="e">
        <f t="shared" si="7"/>
        <v>#VALUE!</v>
      </c>
      <c r="Q148">
        <f t="shared" si="8"/>
        <v>29.142476295424327</v>
      </c>
      <c r="R148">
        <f t="shared" si="9"/>
        <v>32.248112041696423</v>
      </c>
      <c r="S148" t="e">
        <f xml:space="preserve"> 1.667/G148 + P148/A148 * Performance!$E$12 + Performance!$E$23 / Constraints!P148 * Constraints!A148</f>
        <v>#VALUE!</v>
      </c>
      <c r="T148">
        <f xml:space="preserve"> 1.667/H148 + Q148/A148 * Performance!$E$12 + Performance!$E$23 / Constraints!Q148 * Constraints!A148</f>
        <v>0.26414481023003245</v>
      </c>
      <c r="U148">
        <f xml:space="preserve"> 1.667/I148 + R148/A148 * Performance!$E$12 + Performance!$E$23 / Constraints!R148 * Constraints!A148</f>
        <v>0.24856253100288572</v>
      </c>
    </row>
    <row r="149" spans="1:21" x14ac:dyDescent="0.3">
      <c r="A149" s="51">
        <v>73.5</v>
      </c>
      <c r="B149" s="50">
        <f>$V$4*Performance!$E$12*(1/A149)+Performance!$E$23*(1/Constraints!$V$4)*Constraints!A149</f>
        <v>0.38929987892592849</v>
      </c>
      <c r="C149" s="50">
        <f>$V$5*Performance!$E$12*(1/A149)+Performance!$E$23*(1/Constraints!$V$5)*Constraints!A149</f>
        <v>0.6050553598520243</v>
      </c>
      <c r="D149" s="52">
        <f t="shared" si="5"/>
        <v>0.28860099970598274</v>
      </c>
      <c r="E149" s="52">
        <f>$V$4*Performance!$E$12*(1/A149)+Performance!$E$23*(1/Constraints!$V$9)*Constraints!A149</f>
        <v>0.38896794115349737</v>
      </c>
      <c r="F149" s="52">
        <f xml:space="preserve"> 1.21 / (9.81 * Constraints!$N$7 * Performance!$E$15 * Constraints!$N$5 ) * Constraints!A149 + 0.605 /Performance!$E$15 * (Performance!$E$16  - Constraints!$N$6 * Performance!$E$14) + Constraints!$N$6</f>
        <v>0.28856019848304088</v>
      </c>
      <c r="G149" s="54" t="s">
        <v>198</v>
      </c>
      <c r="H149" s="55">
        <f>SQRT(2/$V$3 * A149 * SQRT(Performance!$E$23 / (3 * Performance!$E$12)))</f>
        <v>10.571191826881373</v>
      </c>
      <c r="I149" s="55">
        <f>SQRT(2/$V$3 * A149 * (SQRT(Performance!$E$23)/(SQRT(3*Performance!$E$12 + 4* Performance!$E$23 * Performance!$E$11^2) - SQRT(Performance!$E$23)*Performance!$E$11)))</f>
        <v>11.1202070808953</v>
      </c>
      <c r="J149" t="e">
        <f xml:space="preserve"> $AC$3/G149 + $AC$6/A149 * Performance!$E$12 + Performance!$E$23/Constraints!$AC$6 * Constraints!A149</f>
        <v>#VALUE!</v>
      </c>
      <c r="K149">
        <f xml:space="preserve"> $AC$3/H149 + $AC$6/A149 * Performance!$E$12 + Performance!$E$23/Constraints!$AC$6 * Constraints!A149</f>
        <v>0.721451869211999</v>
      </c>
      <c r="L149">
        <f xml:space="preserve"> $AC$3/I149 + $AC$6/A149 * Performance!$E$12 + Performance!$E$23/Constraints!$AC$6 * Constraints!A149</f>
        <v>0.69772659202807996</v>
      </c>
      <c r="M149">
        <f>SIN($AC$9 * PI()/180) + 1/Performance!$AE$5</f>
        <v>0.24073077270730886</v>
      </c>
      <c r="N149">
        <f>SIN($AC$9 * PI()/180) + 1/Performance!$AE$8</f>
        <v>0.22738716112204788</v>
      </c>
      <c r="O149" s="60">
        <f>$AC$16 * (Performance!$E$12/Constraints!A149 + Performance!$E$23 * (Constraints!$AC$13/Constraints!$AC$17)^2 * Constraints!A149)</f>
        <v>3.6756411494976484E-4</v>
      </c>
      <c r="P149" t="e">
        <f t="shared" si="7"/>
        <v>#VALUE!</v>
      </c>
      <c r="Q149">
        <f t="shared" si="8"/>
        <v>29.342082297447785</v>
      </c>
      <c r="R149">
        <f t="shared" si="9"/>
        <v>32.468989521434068</v>
      </c>
      <c r="S149" t="e">
        <f xml:space="preserve"> 1.667/G149 + P149/A149 * Performance!$E$12 + Performance!$E$23 / Constraints!P149 * Constraints!A149</f>
        <v>#VALUE!</v>
      </c>
      <c r="T149">
        <f xml:space="preserve"> 1.667/H149 + Q149/A149 * Performance!$E$12 + Performance!$E$23 / Constraints!Q149 * Constraints!A149</f>
        <v>0.26360568824479486</v>
      </c>
      <c r="U149">
        <f xml:space="preserve"> 1.667/I149 + R149/A149 * Performance!$E$12 + Performance!$E$23 / Constraints!R149 * Constraints!A149</f>
        <v>0.24805002598543635</v>
      </c>
    </row>
    <row r="150" spans="1:21" x14ac:dyDescent="0.3">
      <c r="A150" s="51">
        <v>74</v>
      </c>
      <c r="B150" s="50">
        <f>$V$4*Performance!$E$12*(1/A150)+Performance!$E$23*(1/Constraints!$V$4)*Constraints!A150</f>
        <v>0.38670895448649228</v>
      </c>
      <c r="C150" s="50">
        <f>$V$5*Performance!$E$12*(1/A150)+Performance!$E$23*(1/Constraints!$V$5)*Constraints!A150</f>
        <v>0.60099243793460799</v>
      </c>
      <c r="D150" s="52">
        <f t="shared" si="5"/>
        <v>0.28887328541826834</v>
      </c>
      <c r="E150" s="52">
        <f>$V$4*Performance!$E$12*(1/A150)+Performance!$E$23*(1/Constraints!$V$9)*Constraints!A150</f>
        <v>0.38637475863397658</v>
      </c>
      <c r="F150" s="52">
        <f xml:space="preserve"> 1.21 / (9.81 * Constraints!$N$7 * Performance!$E$15 * Constraints!$N$5 ) * Constraints!A150 + 0.605 /Performance!$E$15 * (Performance!$E$16  - Constraints!$N$6 * Performance!$E$14) + Constraints!$N$6</f>
        <v>0.28883220663598674</v>
      </c>
      <c r="G150" s="54" t="s">
        <v>198</v>
      </c>
      <c r="H150" s="55">
        <f>SQRT(2/$V$3 * A150 * SQRT(Performance!$E$23 / (3 * Performance!$E$12)))</f>
        <v>10.607087318381804</v>
      </c>
      <c r="I150" s="55">
        <f>SQRT(2/$V$3 * A150 * (SQRT(Performance!$E$23)/(SQRT(3*Performance!$E$12 + 4* Performance!$E$23 * Performance!$E$11^2) - SQRT(Performance!$E$23)*Performance!$E$11)))</f>
        <v>11.157966806127064</v>
      </c>
      <c r="J150" t="e">
        <f xml:space="preserve"> $AC$3/G150 + $AC$6/A150 * Performance!$E$12 + Performance!$E$23/Constraints!$AC$6 * Constraints!A150</f>
        <v>#VALUE!</v>
      </c>
      <c r="K150">
        <f xml:space="preserve"> $AC$3/H150 + $AC$6/A150 * Performance!$E$12 + Performance!$E$23/Constraints!$AC$6 * Constraints!A150</f>
        <v>0.72139981166753864</v>
      </c>
      <c r="L150">
        <f xml:space="preserve"> $AC$3/I150 + $AC$6/A150 * Performance!$E$12 + Performance!$E$23/Constraints!$AC$6 * Constraints!A150</f>
        <v>0.69775482329994953</v>
      </c>
      <c r="M150">
        <f>SIN($AC$9 * PI()/180) + 1/Performance!$AE$5</f>
        <v>0.24073077270730886</v>
      </c>
      <c r="N150">
        <f>SIN($AC$9 * PI()/180) + 1/Performance!$AE$8</f>
        <v>0.22738716112204788</v>
      </c>
      <c r="O150" s="60">
        <f>$AC$16 * (Performance!$E$12/Constraints!A150 + Performance!$E$23 * (Constraints!$AC$13/Constraints!$AC$17)^2 * Constraints!A150)</f>
        <v>3.6553121689226749E-4</v>
      </c>
      <c r="P150" t="e">
        <f t="shared" si="7"/>
        <v>#VALUE!</v>
      </c>
      <c r="Q150">
        <f t="shared" si="8"/>
        <v>29.541688299471243</v>
      </c>
      <c r="R150">
        <f t="shared" si="9"/>
        <v>32.68986700117172</v>
      </c>
      <c r="S150" t="e">
        <f xml:space="preserve"> 1.667/G150 + P150/A150 * Performance!$E$12 + Performance!$E$23 / Constraints!P150 * Constraints!A150</f>
        <v>#VALUE!</v>
      </c>
      <c r="T150">
        <f xml:space="preserve"> 1.667/H150 + Q150/A150 * Performance!$E$12 + Performance!$E$23 / Constraints!Q150 * Constraints!A150</f>
        <v>0.26307203960545522</v>
      </c>
      <c r="U150">
        <f xml:space="preserve"> 1.667/I150 + R150/A150 * Performance!$E$12 + Performance!$E$23 / Constraints!R150 * Constraints!A150</f>
        <v>0.24754272408956557</v>
      </c>
    </row>
    <row r="151" spans="1:21" x14ac:dyDescent="0.3">
      <c r="A151" s="51">
        <v>74.5</v>
      </c>
      <c r="B151" s="50">
        <f>$V$4*Performance!$E$12*(1/A151)+Performance!$E$23*(1/Constraints!$V$4)*Constraints!A151</f>
        <v>0.38415307342194049</v>
      </c>
      <c r="C151" s="50">
        <f>$V$5*Performance!$E$12*(1/A151)+Performance!$E$23*(1/Constraints!$V$5)*Constraints!A151</f>
        <v>0.59698422218858083</v>
      </c>
      <c r="D151" s="52">
        <f t="shared" ref="D151:D214" si="10">1.21/(9.8*$N$7*$N$8*$N$5)*A151+0.605/$N$8*($N$11-$N$6*$N$10)+$N$6</f>
        <v>0.28914557113055395</v>
      </c>
      <c r="E151" s="52">
        <f>$V$4*Performance!$E$12*(1/A151)+Performance!$E$23*(1/Constraints!$V$9)*Constraints!A151</f>
        <v>0.38381661948934026</v>
      </c>
      <c r="F151" s="52">
        <f xml:space="preserve"> 1.21 / (9.81 * Constraints!$N$7 * Performance!$E$15 * Constraints!$N$5 ) * Constraints!A151 + 0.605 /Performance!$E$15 * (Performance!$E$16  - Constraints!$N$6 * Performance!$E$14) + Constraints!$N$6</f>
        <v>0.28910421478893256</v>
      </c>
      <c r="G151" s="54" t="s">
        <v>198</v>
      </c>
      <c r="H151" s="55">
        <f>SQRT(2/$V$3 * A151 * SQRT(Performance!$E$23 / (3 * Performance!$E$12)))</f>
        <v>10.642861744795363</v>
      </c>
      <c r="I151" s="55">
        <f>SQRT(2/$V$3 * A151 * (SQRT(Performance!$E$23)/(SQRT(3*Performance!$E$12 + 4* Performance!$E$23 * Performance!$E$11^2) - SQRT(Performance!$E$23)*Performance!$E$11)))</f>
        <v>11.195599178752015</v>
      </c>
      <c r="J151" t="e">
        <f xml:space="preserve"> $AC$3/G151 + $AC$6/A151 * Performance!$E$12 + Performance!$E$23/Constraints!$AC$6 * Constraints!A151</f>
        <v>#VALUE!</v>
      </c>
      <c r="K151">
        <f xml:space="preserve"> $AC$3/H151 + $AC$6/A151 * Performance!$E$12 + Performance!$E$23/Constraints!$AC$6 * Constraints!A151</f>
        <v>0.7213645853119548</v>
      </c>
      <c r="L151">
        <f xml:space="preserve"> $AC$3/I151 + $AC$6/A151 * Performance!$E$12 + Performance!$E$23/Constraints!$AC$6 * Constraints!A151</f>
        <v>0.69779907612174186</v>
      </c>
      <c r="M151">
        <f>SIN($AC$9 * PI()/180) + 1/Performance!$AE$5</f>
        <v>0.24073077270730886</v>
      </c>
      <c r="N151">
        <f>SIN($AC$9 * PI()/180) + 1/Performance!$AE$8</f>
        <v>0.22738716112204788</v>
      </c>
      <c r="O151" s="60">
        <f>$AC$16 * (Performance!$E$12/Constraints!A151 + Performance!$E$23 * (Constraints!$AC$13/Constraints!$AC$17)^2 * Constraints!A151)</f>
        <v>3.6352864076080369E-4</v>
      </c>
      <c r="P151" t="e">
        <f t="shared" ref="P151:P214" si="11" xml:space="preserve"> 0.5 * $AJ$4 * G151^2</f>
        <v>#VALUE!</v>
      </c>
      <c r="Q151">
        <f t="shared" ref="Q151:Q214" si="12" xml:space="preserve"> 0.5 * $AJ$4 * H151^2</f>
        <v>29.741294301494687</v>
      </c>
      <c r="R151">
        <f t="shared" ref="R151:R214" si="13" xml:space="preserve"> 0.5 * $AJ$4 * I151^2</f>
        <v>32.910744480909365</v>
      </c>
      <c r="S151" t="e">
        <f xml:space="preserve"> 1.667/G151 + P151/A151 * Performance!$E$12 + Performance!$E$23 / Constraints!P151 * Constraints!A151</f>
        <v>#VALUE!</v>
      </c>
      <c r="T151">
        <f xml:space="preserve"> 1.667/H151 + Q151/A151 * Performance!$E$12 + Performance!$E$23 / Constraints!Q151 * Constraints!A151</f>
        <v>0.26254377232239545</v>
      </c>
      <c r="U151">
        <f xml:space="preserve"> 1.667/I151 + R151/A151 * Performance!$E$12 + Performance!$E$23 / Constraints!R151 * Constraints!A151</f>
        <v>0.24704053786727076</v>
      </c>
    </row>
    <row r="152" spans="1:21" x14ac:dyDescent="0.3">
      <c r="A152" s="51">
        <v>75</v>
      </c>
      <c r="B152" s="50">
        <f>$V$4*Performance!$E$12*(1/A152)+Performance!$E$23*(1/Constraints!$V$4)*Constraints!A152</f>
        <v>0.38163153486477547</v>
      </c>
      <c r="C152" s="50">
        <f>$V$5*Performance!$E$12*(1/A152)+Performance!$E$23*(1/Constraints!$V$5)*Constraints!A152</f>
        <v>0.59302961849051561</v>
      </c>
      <c r="D152" s="52">
        <f t="shared" si="10"/>
        <v>0.28941785684283955</v>
      </c>
      <c r="E152" s="52">
        <f>$V$4*Performance!$E$12*(1/A152)+Performance!$E$23*(1/Constraints!$V$9)*Constraints!A152</f>
        <v>0.38129282285209065</v>
      </c>
      <c r="F152" s="52">
        <f xml:space="preserve"> 1.21 / (9.81 * Constraints!$N$7 * Performance!$E$15 * Constraints!$N$5 ) * Constraints!A152 + 0.605 /Performance!$E$15 * (Performance!$E$16  - Constraints!$N$6 * Performance!$E$14) + Constraints!$N$6</f>
        <v>0.28937622294187842</v>
      </c>
      <c r="G152" s="54" t="s">
        <v>198</v>
      </c>
      <c r="H152" s="55">
        <f>SQRT(2/$V$3 * A152 * SQRT(Performance!$E$23 / (3 * Performance!$E$12)))</f>
        <v>10.678516322873751</v>
      </c>
      <c r="I152" s="55">
        <f>SQRT(2/$V$3 * A152 * (SQRT(Performance!$E$23)/(SQRT(3*Performance!$E$12 + 4* Performance!$E$23 * Performance!$E$11^2) - SQRT(Performance!$E$23)*Performance!$E$11)))</f>
        <v>11.233105478713899</v>
      </c>
      <c r="J152" t="e">
        <f xml:space="preserve"> $AC$3/G152 + $AC$6/A152 * Performance!$E$12 + Performance!$E$23/Constraints!$AC$6 * Constraints!A152</f>
        <v>#VALUE!</v>
      </c>
      <c r="K152">
        <f xml:space="preserve"> $AC$3/H152 + $AC$6/A152 * Performance!$E$12 + Performance!$E$23/Constraints!$AC$6 * Constraints!A152</f>
        <v>0.72134590772703044</v>
      </c>
      <c r="L152">
        <f xml:space="preserve"> $AC$3/I152 + $AC$6/A152 * Performance!$E$12 + Performance!$E$23/Constraints!$AC$6 * Constraints!A152</f>
        <v>0.69785908159183885</v>
      </c>
      <c r="M152">
        <f>SIN($AC$9 * PI()/180) + 1/Performance!$AE$5</f>
        <v>0.24073077270730886</v>
      </c>
      <c r="N152">
        <f>SIN($AC$9 * PI()/180) + 1/Performance!$AE$8</f>
        <v>0.22738716112204788</v>
      </c>
      <c r="O152" s="60">
        <f>$AC$16 * (Performance!$E$12/Constraints!A152 + Performance!$E$23 * (Constraints!$AC$13/Constraints!$AC$17)^2 * Constraints!A152)</f>
        <v>3.6155578011685274E-4</v>
      </c>
      <c r="P152" t="e">
        <f t="shared" si="11"/>
        <v>#VALUE!</v>
      </c>
      <c r="Q152">
        <f t="shared" si="12"/>
        <v>29.940900303518138</v>
      </c>
      <c r="R152">
        <f t="shared" si="13"/>
        <v>33.13162196064701</v>
      </c>
      <c r="S152" t="e">
        <f xml:space="preserve"> 1.667/G152 + P152/A152 * Performance!$E$12 + Performance!$E$23 / Constraints!P152 * Constraints!A152</f>
        <v>#VALUE!</v>
      </c>
      <c r="T152">
        <f xml:space="preserve"> 1.667/H152 + Q152/A152 * Performance!$E$12 + Performance!$E$23 / Constraints!Q152 * Constraints!A152</f>
        <v>0.26202079655602323</v>
      </c>
      <c r="U152">
        <f xml:space="preserve"> 1.667/I152 + R152/A152 * Performance!$E$12 + Performance!$E$23 / Constraints!R152 * Constraints!A152</f>
        <v>0.24654338191442621</v>
      </c>
    </row>
    <row r="153" spans="1:21" x14ac:dyDescent="0.3">
      <c r="A153" s="51">
        <v>75.5</v>
      </c>
      <c r="B153" s="50">
        <f>$V$4*Performance!$E$12*(1/A153)+Performance!$E$23*(1/Constraints!$V$4)*Constraints!A153</f>
        <v>0.379143656513526</v>
      </c>
      <c r="C153" s="50">
        <f>$V$5*Performance!$E$12*(1/A153)+Performance!$E$23*(1/Constraints!$V$5)*Constraints!A153</f>
        <v>0.58912756170038627</v>
      </c>
      <c r="D153" s="52">
        <f t="shared" si="10"/>
        <v>0.28969014255512515</v>
      </c>
      <c r="E153" s="52">
        <f>$V$4*Performance!$E$12*(1/A153)+Performance!$E$23*(1/Constraints!$V$9)*Constraints!A153</f>
        <v>0.37880268642075654</v>
      </c>
      <c r="F153" s="52">
        <f xml:space="preserve"> 1.21 / (9.81 * Constraints!$N$7 * Performance!$E$15 * Constraints!$N$5 ) * Constraints!A153 + 0.605 /Performance!$E$15 * (Performance!$E$16  - Constraints!$N$6 * Performance!$E$14) + Constraints!$N$6</f>
        <v>0.28964823109482429</v>
      </c>
      <c r="G153" s="54" t="s">
        <v>198</v>
      </c>
      <c r="H153" s="55">
        <f>SQRT(2/$V$3 * A153 * SQRT(Performance!$E$23 / (3 * Performance!$E$12)))</f>
        <v>10.714052249122817</v>
      </c>
      <c r="I153" s="55">
        <f>SQRT(2/$V$3 * A153 * (SQRT(Performance!$E$23)/(SQRT(3*Performance!$E$12 + 4* Performance!$E$23 * Performance!$E$11^2) - SQRT(Performance!$E$23)*Performance!$E$11)))</f>
        <v>11.270486964659142</v>
      </c>
      <c r="J153" t="e">
        <f xml:space="preserve"> $AC$3/G153 + $AC$6/A153 * Performance!$E$12 + Performance!$E$23/Constraints!$AC$6 * Constraints!A153</f>
        <v>#VALUE!</v>
      </c>
      <c r="K153">
        <f xml:space="preserve"> $AC$3/H153 + $AC$6/A153 * Performance!$E$12 + Performance!$E$23/Constraints!$AC$6 * Constraints!A153</f>
        <v>0.72134350307985873</v>
      </c>
      <c r="L153">
        <f xml:space="preserve"> $AC$3/I153 + $AC$6/A153 * Performance!$E$12 + Performance!$E$23/Constraints!$AC$6 * Constraints!A153</f>
        <v>0.69793457708011153</v>
      </c>
      <c r="M153">
        <f>SIN($AC$9 * PI()/180) + 1/Performance!$AE$5</f>
        <v>0.24073077270730886</v>
      </c>
      <c r="N153">
        <f>SIN($AC$9 * PI()/180) + 1/Performance!$AE$8</f>
        <v>0.22738716112204788</v>
      </c>
      <c r="O153" s="60">
        <f>$AC$16 * (Performance!$E$12/Constraints!A153 + Performance!$E$23 * (Constraints!$AC$13/Constraints!$AC$17)^2 * Constraints!A153)</f>
        <v>3.5961204458649052E-4</v>
      </c>
      <c r="P153" t="e">
        <f t="shared" si="11"/>
        <v>#VALUE!</v>
      </c>
      <c r="Q153">
        <f t="shared" si="12"/>
        <v>30.140506305541599</v>
      </c>
      <c r="R153">
        <f t="shared" si="13"/>
        <v>33.352499440384662</v>
      </c>
      <c r="S153" t="e">
        <f xml:space="preserve"> 1.667/G153 + P153/A153 * Performance!$E$12 + Performance!$E$23 / Constraints!P153 * Constraints!A153</f>
        <v>#VALUE!</v>
      </c>
      <c r="T153">
        <f xml:space="preserve"> 1.667/H153 + Q153/A153 * Performance!$E$12 + Performance!$E$23 / Constraints!Q153 * Constraints!A153</f>
        <v>0.26150302455259183</v>
      </c>
      <c r="U153">
        <f xml:space="preserve"> 1.667/I153 + R153/A153 * Performance!$E$12 + Performance!$E$23 / Constraints!R153 * Constraints!A153</f>
        <v>0.24605117280977157</v>
      </c>
    </row>
    <row r="154" spans="1:21" x14ac:dyDescent="0.3">
      <c r="A154" s="51">
        <v>76</v>
      </c>
      <c r="B154" s="50">
        <f>$V$4*Performance!$E$12*(1/A154)+Performance!$E$23*(1/Constraints!$V$4)*Constraints!A154</f>
        <v>0.37668877402202255</v>
      </c>
      <c r="C154" s="50">
        <f>$V$5*Performance!$E$12*(1/A154)+Performance!$E$23*(1/Constraints!$V$5)*Constraints!A154</f>
        <v>0.58527701470816784</v>
      </c>
      <c r="D154" s="52">
        <f t="shared" si="10"/>
        <v>0.2899624282674107</v>
      </c>
      <c r="E154" s="52">
        <f>$V$4*Performance!$E$12*(1/A154)+Performance!$E$23*(1/Constraints!$V$9)*Constraints!A154</f>
        <v>0.37634554584916857</v>
      </c>
      <c r="F154" s="52">
        <f xml:space="preserve"> 1.21 / (9.81 * Constraints!$N$7 * Performance!$E$15 * Constraints!$N$5 ) * Constraints!A154 + 0.605 /Performance!$E$15 * (Performance!$E$16  - Constraints!$N$6 * Performance!$E$14) + Constraints!$N$6</f>
        <v>0.28992023924777016</v>
      </c>
      <c r="G154" s="54" t="s">
        <v>198</v>
      </c>
      <c r="H154" s="55">
        <f>SQRT(2/$V$3 * A154 * SQRT(Performance!$E$23 / (3 * Performance!$E$12)))</f>
        <v>10.74947070027107</v>
      </c>
      <c r="I154" s="55">
        <f>SQRT(2/$V$3 * A154 * (SQRT(Performance!$E$23)/(SQRT(3*Performance!$E$12 + 4* Performance!$E$23 * Performance!$E$11^2) - SQRT(Performance!$E$23)*Performance!$E$11)))</f>
        <v>11.307744874429694</v>
      </c>
      <c r="J154" t="e">
        <f xml:space="preserve"> $AC$3/G154 + $AC$6/A154 * Performance!$E$12 + Performance!$E$23/Constraints!$AC$6 * Constraints!A154</f>
        <v>#VALUE!</v>
      </c>
      <c r="K154">
        <f xml:space="preserve"> $AC$3/H154 + $AC$6/A154 * Performance!$E$12 + Performance!$E$23/Constraints!$AC$6 * Constraints!A154</f>
        <v>0.72135710192681812</v>
      </c>
      <c r="L154">
        <f xml:space="preserve"> $AC$3/I154 + $AC$6/A154 * Performance!$E$12 + Performance!$E$23/Constraints!$AC$6 * Constraints!A154</f>
        <v>0.69802530604120139</v>
      </c>
      <c r="M154">
        <f>SIN($AC$9 * PI()/180) + 1/Performance!$AE$5</f>
        <v>0.24073077270730886</v>
      </c>
      <c r="N154">
        <f>SIN($AC$9 * PI()/180) + 1/Performance!$AE$8</f>
        <v>0.22738716112204788</v>
      </c>
      <c r="O154" s="60">
        <f>$AC$16 * (Performance!$E$12/Constraints!A154 + Performance!$E$23 * (Constraints!$AC$13/Constraints!$AC$17)^2 * Constraints!A154)</f>
        <v>3.5769685933194893E-4</v>
      </c>
      <c r="P154" t="e">
        <f t="shared" si="11"/>
        <v>#VALUE!</v>
      </c>
      <c r="Q154">
        <f t="shared" si="12"/>
        <v>30.340112307565047</v>
      </c>
      <c r="R154">
        <f t="shared" si="13"/>
        <v>33.573376920122293</v>
      </c>
      <c r="S154" t="e">
        <f xml:space="preserve"> 1.667/G154 + P154/A154 * Performance!$E$12 + Performance!$E$23 / Constraints!P154 * Constraints!A154</f>
        <v>#VALUE!</v>
      </c>
      <c r="T154">
        <f xml:space="preserve"> 1.667/H154 + Q154/A154 * Performance!$E$12 + Performance!$E$23 / Constraints!Q154 * Constraints!A154</f>
        <v>0.26099037058234564</v>
      </c>
      <c r="U154">
        <f xml:space="preserve"> 1.667/I154 + R154/A154 * Performance!$E$12 + Performance!$E$23 / Constraints!R154 * Constraints!A154</f>
        <v>0.24556382905611121</v>
      </c>
    </row>
    <row r="155" spans="1:21" x14ac:dyDescent="0.3">
      <c r="A155" s="51">
        <v>76.5</v>
      </c>
      <c r="B155" s="50">
        <f>$V$4*Performance!$E$12*(1/A155)+Performance!$E$23*(1/Constraints!$V$4)*Constraints!A155</f>
        <v>0.37426624041262324</v>
      </c>
      <c r="C155" s="50">
        <f>$V$5*Performance!$E$12*(1/A155)+Performance!$E$23*(1/Constraints!$V$5)*Constraints!A155</f>
        <v>0.58147696751782296</v>
      </c>
      <c r="D155" s="52">
        <f t="shared" si="10"/>
        <v>0.2902347139796963</v>
      </c>
      <c r="E155" s="52">
        <f>$V$4*Performance!$E$12*(1/A155)+Performance!$E$23*(1/Constraints!$V$9)*Constraints!A155</f>
        <v>0.37392075415968468</v>
      </c>
      <c r="F155" s="52">
        <f xml:space="preserve"> 1.21 / (9.81 * Constraints!$N$7 * Performance!$E$15 * Constraints!$N$5 ) * Constraints!A155 + 0.605 /Performance!$E$15 * (Performance!$E$16  - Constraints!$N$6 * Performance!$E$14) + Constraints!$N$6</f>
        <v>0.29019224740071603</v>
      </c>
      <c r="G155" s="54" t="s">
        <v>198</v>
      </c>
      <c r="H155" s="55">
        <f>SQRT(2/$V$3 * A155 * SQRT(Performance!$E$23 / (3 * Performance!$E$12)))</f>
        <v>10.78477283372435</v>
      </c>
      <c r="I155" s="55">
        <f>SQRT(2/$V$3 * A155 * (SQRT(Performance!$E$23)/(SQRT(3*Performance!$E$12 + 4* Performance!$E$23 * Performance!$E$11^2) - SQRT(Performance!$E$23)*Performance!$E$11)))</f>
        <v>11.344880425541312</v>
      </c>
      <c r="J155" t="e">
        <f xml:space="preserve"> $AC$3/G155 + $AC$6/A155 * Performance!$E$12 + Performance!$E$23/Constraints!$AC$6 * Constraints!A155</f>
        <v>#VALUE!</v>
      </c>
      <c r="K155">
        <f xml:space="preserve"> $AC$3/H155 + $AC$6/A155 * Performance!$E$12 + Performance!$E$23/Constraints!$AC$6 * Constraints!A155</f>
        <v>0.72138644102462945</v>
      </c>
      <c r="L155">
        <f xml:space="preserve"> $AC$3/I155 + $AC$6/A155 * Performance!$E$12 + Performance!$E$23/Constraints!$AC$6 * Constraints!A155</f>
        <v>0.69813101783454923</v>
      </c>
      <c r="M155">
        <f>SIN($AC$9 * PI()/180) + 1/Performance!$AE$5</f>
        <v>0.24073077270730886</v>
      </c>
      <c r="N155">
        <f>SIN($AC$9 * PI()/180) + 1/Performance!$AE$8</f>
        <v>0.22738716112204788</v>
      </c>
      <c r="O155" s="60">
        <f>$AC$16 * (Performance!$E$12/Constraints!A155 + Performance!$E$23 * (Constraints!$AC$13/Constraints!$AC$17)^2 * Constraints!A155)</f>
        <v>3.55809664543898E-4</v>
      </c>
      <c r="P155" t="e">
        <f t="shared" si="11"/>
        <v>#VALUE!</v>
      </c>
      <c r="Q155">
        <f t="shared" si="12"/>
        <v>30.539718309588501</v>
      </c>
      <c r="R155">
        <f t="shared" si="13"/>
        <v>33.794254399859938</v>
      </c>
      <c r="S155" t="e">
        <f xml:space="preserve"> 1.667/G155 + P155/A155 * Performance!$E$12 + Performance!$E$23 / Constraints!P155 * Constraints!A155</f>
        <v>#VALUE!</v>
      </c>
      <c r="T155">
        <f xml:space="preserve"> 1.667/H155 + Q155/A155 * Performance!$E$12 + Performance!$E$23 / Constraints!Q155 * Constraints!A155</f>
        <v>0.26048275087989281</v>
      </c>
      <c r="U155">
        <f xml:space="preserve"> 1.667/I155 + R155/A155 * Performance!$E$12 + Performance!$E$23 / Constraints!R155 * Constraints!A155</f>
        <v>0.24508127102363064</v>
      </c>
    </row>
    <row r="156" spans="1:21" x14ac:dyDescent="0.3">
      <c r="A156" s="51">
        <v>77</v>
      </c>
      <c r="B156" s="50">
        <f>$V$4*Performance!$E$12*(1/A156)+Performance!$E$23*(1/Constraints!$V$4)*Constraints!A156</f>
        <v>0.37187542551229996</v>
      </c>
      <c r="C156" s="50">
        <f>$V$5*Performance!$E$12*(1/A156)+Performance!$E$23*(1/Constraints!$V$5)*Constraints!A156</f>
        <v>0.57772643636697729</v>
      </c>
      <c r="D156" s="52">
        <f t="shared" si="10"/>
        <v>0.2905069996919819</v>
      </c>
      <c r="E156" s="52">
        <f>$V$4*Performance!$E$12*(1/A156)+Performance!$E$23*(1/Constraints!$V$9)*Constraints!A156</f>
        <v>0.37152768117927687</v>
      </c>
      <c r="F156" s="52">
        <f xml:space="preserve"> 1.21 / (9.81 * Constraints!$N$7 * Performance!$E$15 * Constraints!$N$5 ) * Constraints!A156 + 0.605 /Performance!$E$15 * (Performance!$E$16  - Constraints!$N$6 * Performance!$E$14) + Constraints!$N$6</f>
        <v>0.29046425555366184</v>
      </c>
      <c r="G156" s="54" t="s">
        <v>198</v>
      </c>
      <c r="H156" s="55">
        <f>SQRT(2/$V$3 * A156 * SQRT(Performance!$E$23 / (3 * Performance!$E$12)))</f>
        <v>10.819959788007131</v>
      </c>
      <c r="I156" s="55">
        <f>SQRT(2/$V$3 * A156 * (SQRT(Performance!$E$23)/(SQRT(3*Performance!$E$12 + 4* Performance!$E$23 * Performance!$E$11^2) - SQRT(Performance!$E$23)*Performance!$E$11)))</f>
        <v>11.381894815647783</v>
      </c>
      <c r="J156" t="e">
        <f xml:space="preserve"> $AC$3/G156 + $AC$6/A156 * Performance!$E$12 + Performance!$E$23/Constraints!$AC$6 * Constraints!A156</f>
        <v>#VALUE!</v>
      </c>
      <c r="K156">
        <f xml:space="preserve"> $AC$3/H156 + $AC$6/A156 * Performance!$E$12 + Performance!$E$23/Constraints!$AC$6 * Constraints!A156</f>
        <v>0.7214312631481965</v>
      </c>
      <c r="L156">
        <f xml:space="preserve"> $AC$3/I156 + $AC$6/A156 * Performance!$E$12 + Performance!$E$23/Constraints!$AC$6 * Constraints!A156</f>
        <v>0.69825146755088441</v>
      </c>
      <c r="M156">
        <f>SIN($AC$9 * PI()/180) + 1/Performance!$AE$5</f>
        <v>0.24073077270730886</v>
      </c>
      <c r="N156">
        <f>SIN($AC$9 * PI()/180) + 1/Performance!$AE$8</f>
        <v>0.22738716112204788</v>
      </c>
      <c r="O156" s="60">
        <f>$AC$16 * (Performance!$E$12/Constraints!A156 + Performance!$E$23 * (Constraints!$AC$13/Constraints!$AC$17)^2 * Constraints!A156)</f>
        <v>3.539499149535102E-4</v>
      </c>
      <c r="P156" t="e">
        <f t="shared" si="11"/>
        <v>#VALUE!</v>
      </c>
      <c r="Q156">
        <f t="shared" si="12"/>
        <v>30.739324311611959</v>
      </c>
      <c r="R156">
        <f t="shared" si="13"/>
        <v>34.015131879597597</v>
      </c>
      <c r="S156" t="e">
        <f xml:space="preserve"> 1.667/G156 + P156/A156 * Performance!$E$12 + Performance!$E$23 / Constraints!P156 * Constraints!A156</f>
        <v>#VALUE!</v>
      </c>
      <c r="T156">
        <f xml:space="preserve"> 1.667/H156 + Q156/A156 * Performance!$E$12 + Performance!$E$23 / Constraints!Q156 * Constraints!A156</f>
        <v>0.25998008358671126</v>
      </c>
      <c r="U156">
        <f xml:space="preserve"> 1.667/I156 + R156/A156 * Performance!$E$12 + Performance!$E$23 / Constraints!R156 * Constraints!A156</f>
        <v>0.24460342089524131</v>
      </c>
    </row>
    <row r="157" spans="1:21" x14ac:dyDescent="0.3">
      <c r="A157" s="51">
        <v>77.5</v>
      </c>
      <c r="B157" s="50">
        <f>$V$4*Performance!$E$12*(1/A157)+Performance!$E$23*(1/Constraints!$V$4)*Constraints!A157</f>
        <v>0.36951571541055439</v>
      </c>
      <c r="C157" s="50">
        <f>$V$5*Performance!$E$12*(1/A157)+Performance!$E$23*(1/Constraints!$V$5)*Constraints!A157</f>
        <v>0.57402446288067288</v>
      </c>
      <c r="D157" s="52">
        <f t="shared" si="10"/>
        <v>0.29077928540426751</v>
      </c>
      <c r="E157" s="52">
        <f>$V$4*Performance!$E$12*(1/A157)+Performance!$E$23*(1/Constraints!$V$9)*Constraints!A157</f>
        <v>0.36916571299744672</v>
      </c>
      <c r="F157" s="52">
        <f xml:space="preserve"> 1.21 / (9.81 * Constraints!$N$7 * Performance!$E$15 * Constraints!$N$5 ) * Constraints!A157 + 0.605 /Performance!$E$15 * (Performance!$E$16  - Constraints!$N$6 * Performance!$E$14) + Constraints!$N$6</f>
        <v>0.29073626370660771</v>
      </c>
      <c r="G157" s="54" t="s">
        <v>198</v>
      </c>
      <c r="H157" s="55">
        <f>SQRT(2/$V$3 * A157 * SQRT(Performance!$E$23 / (3 * Performance!$E$12)))</f>
        <v>10.855032683190956</v>
      </c>
      <c r="I157" s="55">
        <f>SQRT(2/$V$3 * A157 * (SQRT(Performance!$E$23)/(SQRT(3*Performance!$E$12 + 4* Performance!$E$23 * Performance!$E$11^2) - SQRT(Performance!$E$23)*Performance!$E$11)))</f>
        <v>11.418789222991608</v>
      </c>
      <c r="J157" t="e">
        <f xml:space="preserve"> $AC$3/G157 + $AC$6/A157 * Performance!$E$12 + Performance!$E$23/Constraints!$AC$6 * Constraints!A157</f>
        <v>#VALUE!</v>
      </c>
      <c r="K157">
        <f xml:space="preserve"> $AC$3/H157 + $AC$6/A157 * Performance!$E$12 + Performance!$E$23/Constraints!$AC$6 * Constraints!A157</f>
        <v>0.72149131691494106</v>
      </c>
      <c r="L157">
        <f xml:space="preserve"> $AC$3/I157 + $AC$6/A157 * Performance!$E$12 + Performance!$E$23/Constraints!$AC$6 * Constraints!A157</f>
        <v>0.69838641584490446</v>
      </c>
      <c r="M157">
        <f>SIN($AC$9 * PI()/180) + 1/Performance!$AE$5</f>
        <v>0.24073077270730886</v>
      </c>
      <c r="N157">
        <f>SIN($AC$9 * PI()/180) + 1/Performance!$AE$8</f>
        <v>0.22738716112204788</v>
      </c>
      <c r="O157" s="60">
        <f>$AC$16 * (Performance!$E$12/Constraints!A157 + Performance!$E$23 * (Constraints!$AC$13/Constraints!$AC$17)^2 * Constraints!A157)</f>
        <v>3.5211707936341112E-4</v>
      </c>
      <c r="P157" t="e">
        <f t="shared" si="11"/>
        <v>#VALUE!</v>
      </c>
      <c r="Q157">
        <f t="shared" si="12"/>
        <v>30.938930313635414</v>
      </c>
      <c r="R157">
        <f t="shared" si="13"/>
        <v>34.236009359335242</v>
      </c>
      <c r="S157" t="e">
        <f xml:space="preserve"> 1.667/G157 + P157/A157 * Performance!$E$12 + Performance!$E$23 / Constraints!P157 * Constraints!A157</f>
        <v>#VALUE!</v>
      </c>
      <c r="T157">
        <f xml:space="preserve"> 1.667/H157 + Q157/A157 * Performance!$E$12 + Performance!$E$23 / Constraints!Q157 * Constraints!A157</f>
        <v>0.259482288695698</v>
      </c>
      <c r="U157">
        <f xml:space="preserve"> 1.667/I157 + R157/A157 * Performance!$E$12 + Performance!$E$23 / Constraints!R157 * Constraints!A157</f>
        <v>0.24413020261386748</v>
      </c>
    </row>
    <row r="158" spans="1:21" x14ac:dyDescent="0.3">
      <c r="A158" s="51">
        <v>78</v>
      </c>
      <c r="B158" s="50">
        <f>$V$4*Performance!$E$12*(1/A158)+Performance!$E$23*(1/Constraints!$V$4)*Constraints!A158</f>
        <v>0.36718651193818319</v>
      </c>
      <c r="C158" s="50">
        <f>$V$5*Performance!$E$12*(1/A158)+Performance!$E$23*(1/Constraints!$V$5)*Constraints!A158</f>
        <v>0.5703701132576684</v>
      </c>
      <c r="D158" s="52">
        <f t="shared" si="10"/>
        <v>0.29105157111655311</v>
      </c>
      <c r="E158" s="52">
        <f>$V$4*Performance!$E$12*(1/A158)+Performance!$E$23*(1/Constraints!$V$9)*Constraints!A158</f>
        <v>0.36683425144499099</v>
      </c>
      <c r="F158" s="52">
        <f xml:space="preserve"> 1.21 / (9.81 * Constraints!$N$7 * Performance!$E$15 * Constraints!$N$5 ) * Constraints!A158 + 0.605 /Performance!$E$15 * (Performance!$E$16  - Constraints!$N$6 * Performance!$E$14) + Constraints!$N$6</f>
        <v>0.29100827185955358</v>
      </c>
      <c r="G158" s="54" t="s">
        <v>198</v>
      </c>
      <c r="H158" s="55">
        <f>SQRT(2/$V$3 * A158 * SQRT(Performance!$E$23 / (3 * Performance!$E$12)))</f>
        <v>10.889992621310466</v>
      </c>
      <c r="I158" s="55">
        <f>SQRT(2/$V$3 * A158 * (SQRT(Performance!$E$23)/(SQRT(3*Performance!$E$12 + 4* Performance!$E$23 * Performance!$E$11^2) - SQRT(Performance!$E$23)*Performance!$E$11)))</f>
        <v>11.455564806841638</v>
      </c>
      <c r="J158" t="e">
        <f xml:space="preserve"> $AC$3/G158 + $AC$6/A158 * Performance!$E$12 + Performance!$E$23/Constraints!$AC$6 * Constraints!A158</f>
        <v>#VALUE!</v>
      </c>
      <c r="K158">
        <f xml:space="preserve"> $AC$3/H158 + $AC$6/A158 * Performance!$E$12 + Performance!$E$23/Constraints!$AC$6 * Constraints!A158</f>
        <v>0.72156635661536406</v>
      </c>
      <c r="L158">
        <f xml:space="preserve"> $AC$3/I158 + $AC$6/A158 * Performance!$E$12 + Performance!$E$23/Constraints!$AC$6 * Constraints!A158</f>
        <v>0.69853562877388264</v>
      </c>
      <c r="M158">
        <f>SIN($AC$9 * PI()/180) + 1/Performance!$AE$5</f>
        <v>0.24073077270730886</v>
      </c>
      <c r="N158">
        <f>SIN($AC$9 * PI()/180) + 1/Performance!$AE$8</f>
        <v>0.22738716112204788</v>
      </c>
      <c r="O158" s="60">
        <f>$AC$16 * (Performance!$E$12/Constraints!A158 + Performance!$E$23 * (Constraints!$AC$13/Constraints!$AC$17)^2 * Constraints!A158)</f>
        <v>3.5031064019667237E-4</v>
      </c>
      <c r="P158" t="e">
        <f t="shared" si="11"/>
        <v>#VALUE!</v>
      </c>
      <c r="Q158">
        <f t="shared" si="12"/>
        <v>31.138536315658868</v>
      </c>
      <c r="R158">
        <f t="shared" si="13"/>
        <v>34.45688683907288</v>
      </c>
      <c r="S158" t="e">
        <f xml:space="preserve"> 1.667/G158 + P158/A158 * Performance!$E$12 + Performance!$E$23 / Constraints!P158 * Constraints!A158</f>
        <v>#VALUE!</v>
      </c>
      <c r="T158">
        <f xml:space="preserve"> 1.667/H158 + Q158/A158 * Performance!$E$12 + Performance!$E$23 / Constraints!Q158 * Constraints!A158</f>
        <v>0.25898928799767656</v>
      </c>
      <c r="U158">
        <f xml:space="preserve"> 1.667/I158 + R158/A158 * Performance!$E$12 + Performance!$E$23 / Constraints!R158 * Constraints!A158</f>
        <v>0.24366154183159441</v>
      </c>
    </row>
    <row r="159" spans="1:21" x14ac:dyDescent="0.3">
      <c r="A159" s="51">
        <v>78.5</v>
      </c>
      <c r="B159" s="50">
        <f>$V$4*Performance!$E$12*(1/A159)+Performance!$E$23*(1/Constraints!$V$4)*Constraints!A159</f>
        <v>0.3648872321659628</v>
      </c>
      <c r="C159" s="50">
        <f>$V$5*Performance!$E$12*(1/A159)+Performance!$E$23*(1/Constraints!$V$5)*Constraints!A159</f>
        <v>0.56676247748783737</v>
      </c>
      <c r="D159" s="52">
        <f t="shared" si="10"/>
        <v>0.29132385682883871</v>
      </c>
      <c r="E159" s="52">
        <f>$V$4*Performance!$E$12*(1/A159)+Performance!$E$23*(1/Constraints!$V$9)*Constraints!A159</f>
        <v>0.36453271359268596</v>
      </c>
      <c r="F159" s="52">
        <f xml:space="preserve"> 1.21 / (9.81 * Constraints!$N$7 * Performance!$E$15 * Constraints!$N$5 ) * Constraints!A159 + 0.605 /Performance!$E$15 * (Performance!$E$16  - Constraints!$N$6 * Performance!$E$14) + Constraints!$N$6</f>
        <v>0.29128028001249945</v>
      </c>
      <c r="G159" s="54" t="s">
        <v>198</v>
      </c>
      <c r="H159" s="55">
        <f>SQRT(2/$V$3 * A159 * SQRT(Performance!$E$23 / (3 * Performance!$E$12)))</f>
        <v>10.924840686767425</v>
      </c>
      <c r="I159" s="55">
        <f>SQRT(2/$V$3 * A159 * (SQRT(Performance!$E$23)/(SQRT(3*Performance!$E$12 + 4* Performance!$E$23 * Performance!$E$11^2) - SQRT(Performance!$E$23)*Performance!$E$11)))</f>
        <v>11.492222707918087</v>
      </c>
      <c r="J159" t="e">
        <f xml:space="preserve"> $AC$3/G159 + $AC$6/A159 * Performance!$E$12 + Performance!$E$23/Constraints!$AC$6 * Constraints!A159</f>
        <v>#VALUE!</v>
      </c>
      <c r="K159">
        <f xml:space="preserve"> $AC$3/H159 + $AC$6/A159 * Performance!$E$12 + Performance!$E$23/Constraints!$AC$6 * Constraints!A159</f>
        <v>0.7216561420495704</v>
      </c>
      <c r="L159">
        <f xml:space="preserve"> $AC$3/I159 + $AC$6/A159 * Performance!$E$12 + Performance!$E$23/Constraints!$AC$6 * Constraints!A159</f>
        <v>0.69869887764196004</v>
      </c>
      <c r="M159">
        <f>SIN($AC$9 * PI()/180) + 1/Performance!$AE$5</f>
        <v>0.24073077270730886</v>
      </c>
      <c r="N159">
        <f>SIN($AC$9 * PI()/180) + 1/Performance!$AE$8</f>
        <v>0.22738716112204788</v>
      </c>
      <c r="O159" s="60">
        <f>$AC$16 * (Performance!$E$12/Constraints!A159 + Performance!$E$23 * (Constraints!$AC$13/Constraints!$AC$17)^2 * Constraints!A159)</f>
        <v>3.4853009306303861E-4</v>
      </c>
      <c r="P159" t="e">
        <f t="shared" si="11"/>
        <v>#VALUE!</v>
      </c>
      <c r="Q159">
        <f t="shared" si="12"/>
        <v>31.338142317682323</v>
      </c>
      <c r="R159">
        <f t="shared" si="13"/>
        <v>34.677764318810539</v>
      </c>
      <c r="S159" t="e">
        <f xml:space="preserve"> 1.667/G159 + P159/A159 * Performance!$E$12 + Performance!$E$23 / Constraints!P159 * Constraints!A159</f>
        <v>#VALUE!</v>
      </c>
      <c r="T159">
        <f xml:space="preserve"> 1.667/H159 + Q159/A159 * Performance!$E$12 + Performance!$E$23 / Constraints!Q159 * Constraints!A159</f>
        <v>0.25850100502978118</v>
      </c>
      <c r="U159">
        <f xml:space="preserve"> 1.667/I159 + R159/A159 * Performance!$E$12 + Performance!$E$23 / Constraints!R159 * Constraints!A159</f>
        <v>0.24319736586060109</v>
      </c>
    </row>
    <row r="160" spans="1:21" x14ac:dyDescent="0.3">
      <c r="A160" s="51">
        <v>79</v>
      </c>
      <c r="B160" s="50">
        <f>$V$4*Performance!$E$12*(1/A160)+Performance!$E$23*(1/Constraints!$V$4)*Constraints!A160</f>
        <v>0.36261730792237107</v>
      </c>
      <c r="C160" s="50">
        <f>$V$5*Performance!$E$12*(1/A160)+Performance!$E$23*(1/Constraints!$V$5)*Constraints!A160</f>
        <v>0.56320066859928386</v>
      </c>
      <c r="D160" s="52">
        <f t="shared" si="10"/>
        <v>0.29159614254112431</v>
      </c>
      <c r="E160" s="52">
        <f>$V$4*Performance!$E$12*(1/A160)+Performance!$E$23*(1/Constraints!$V$9)*Constraints!A160</f>
        <v>0.3622605312690097</v>
      </c>
      <c r="F160" s="52">
        <f xml:space="preserve"> 1.21 / (9.81 * Constraints!$N$7 * Performance!$E$15 * Constraints!$N$5 ) * Constraints!A160 + 0.605 /Performance!$E$15 * (Performance!$E$16  - Constraints!$N$6 * Performance!$E$14) + Constraints!$N$6</f>
        <v>0.29155228816544526</v>
      </c>
      <c r="G160" s="54" t="s">
        <v>198</v>
      </c>
      <c r="H160" s="55">
        <f>SQRT(2/$V$3 * A160 * SQRT(Performance!$E$23 / (3 * Performance!$E$12)))</f>
        <v>10.959577946723197</v>
      </c>
      <c r="I160" s="55">
        <f>SQRT(2/$V$3 * A160 * (SQRT(Performance!$E$23)/(SQRT(3*Performance!$E$12 + 4* Performance!$E$23 * Performance!$E$11^2) - SQRT(Performance!$E$23)*Performance!$E$11)))</f>
        <v>11.528764048805384</v>
      </c>
      <c r="J160" t="e">
        <f xml:space="preserve"> $AC$3/G160 + $AC$6/A160 * Performance!$E$12 + Performance!$E$23/Constraints!$AC$6 * Constraints!A160</f>
        <v>#VALUE!</v>
      </c>
      <c r="K160">
        <f xml:space="preserve"> $AC$3/H160 + $AC$6/A160 * Performance!$E$12 + Performance!$E$23/Constraints!$AC$6 * Constraints!A160</f>
        <v>0.72176043836951487</v>
      </c>
      <c r="L160">
        <f xml:space="preserve"> $AC$3/I160 + $AC$6/A160 * Performance!$E$12 + Performance!$E$23/Constraints!$AC$6 * Constraints!A160</f>
        <v>0.6988759388498843</v>
      </c>
      <c r="M160">
        <f>SIN($AC$9 * PI()/180) + 1/Performance!$AE$5</f>
        <v>0.24073077270730886</v>
      </c>
      <c r="N160">
        <f>SIN($AC$9 * PI()/180) + 1/Performance!$AE$8</f>
        <v>0.22738716112204788</v>
      </c>
      <c r="O160" s="60">
        <f>$AC$16 * (Performance!$E$12/Constraints!A160 + Performance!$E$23 * (Constraints!$AC$13/Constraints!$AC$17)^2 * Constraints!A160)</f>
        <v>3.4677494634162805E-4</v>
      </c>
      <c r="P160" t="e">
        <f t="shared" si="11"/>
        <v>#VALUE!</v>
      </c>
      <c r="Q160">
        <f t="shared" si="12"/>
        <v>31.53774831970577</v>
      </c>
      <c r="R160">
        <f t="shared" si="13"/>
        <v>34.898641798548169</v>
      </c>
      <c r="S160" t="e">
        <f xml:space="preserve"> 1.667/G160 + P160/A160 * Performance!$E$12 + Performance!$E$23 / Constraints!P160 * Constraints!A160</f>
        <v>#VALUE!</v>
      </c>
      <c r="T160">
        <f xml:space="preserve"> 1.667/H160 + Q160/A160 * Performance!$E$12 + Performance!$E$23 / Constraints!Q160 * Constraints!A160</f>
        <v>0.25801736502564121</v>
      </c>
      <c r="U160">
        <f xml:space="preserve"> 1.667/I160 + R160/A160 * Performance!$E$12 + Performance!$E$23 / Constraints!R160 * Constraints!A160</f>
        <v>0.24273760362580413</v>
      </c>
    </row>
    <row r="161" spans="1:21" x14ac:dyDescent="0.3">
      <c r="A161" s="51">
        <v>79.5</v>
      </c>
      <c r="B161" s="50">
        <f>$V$4*Performance!$E$12*(1/A161)+Performance!$E$23*(1/Constraints!$V$4)*Constraints!A161</f>
        <v>0.36037618532950955</v>
      </c>
      <c r="C161" s="50">
        <f>$V$5*Performance!$E$12*(1/A161)+Performance!$E$23*(1/Constraints!$V$5)*Constraints!A161</f>
        <v>0.55968382193387067</v>
      </c>
      <c r="D161" s="52">
        <f t="shared" si="10"/>
        <v>0.29186842825340992</v>
      </c>
      <c r="E161" s="52">
        <f>$V$4*Performance!$E$12*(1/A161)+Performance!$E$23*(1/Constraints!$V$9)*Constraints!A161</f>
        <v>0.3600171505960636</v>
      </c>
      <c r="F161" s="52">
        <f xml:space="preserve"> 1.21 / (9.81 * Constraints!$N$7 * Performance!$E$15 * Constraints!$N$5 ) * Constraints!A161 + 0.605 /Performance!$E$15 * (Performance!$E$16  - Constraints!$N$6 * Performance!$E$14) + Constraints!$N$6</f>
        <v>0.29182429631839113</v>
      </c>
      <c r="G161" s="54" t="s">
        <v>198</v>
      </c>
      <c r="H161" s="55">
        <f>SQRT(2/$V$3 * A161 * SQRT(Performance!$E$23 / (3 * Performance!$E$12)))</f>
        <v>10.994205451480067</v>
      </c>
      <c r="I161" s="55">
        <f>SQRT(2/$V$3 * A161 * (SQRT(Performance!$E$23)/(SQRT(3*Performance!$E$12 + 4* Performance!$E$23 * Performance!$E$11^2) - SQRT(Performance!$E$23)*Performance!$E$11)))</f>
        <v>11.565189934353302</v>
      </c>
      <c r="J161" t="e">
        <f xml:space="preserve"> $AC$3/G161 + $AC$6/A161 * Performance!$E$12 + Performance!$E$23/Constraints!$AC$6 * Constraints!A161</f>
        <v>#VALUE!</v>
      </c>
      <c r="K161">
        <f xml:space="preserve"> $AC$3/H161 + $AC$6/A161 * Performance!$E$12 + Performance!$E$23/Constraints!$AC$6 * Constraints!A161</f>
        <v>0.7218790159267291</v>
      </c>
      <c r="L161">
        <f xml:space="preserve"> $AC$3/I161 + $AC$6/A161 * Performance!$E$12 + Performance!$E$23/Constraints!$AC$6 * Constraints!A161</f>
        <v>0.69906659374997449</v>
      </c>
      <c r="M161">
        <f>SIN($AC$9 * PI()/180) + 1/Performance!$AE$5</f>
        <v>0.24073077270730886</v>
      </c>
      <c r="N161">
        <f>SIN($AC$9 * PI()/180) + 1/Performance!$AE$8</f>
        <v>0.22738716112204788</v>
      </c>
      <c r="O161" s="60">
        <f>$AC$16 * (Performance!$E$12/Constraints!A161 + Performance!$E$23 * (Constraints!$AC$13/Constraints!$AC$17)^2 * Constraints!A161)</f>
        <v>3.4504472077937989E-4</v>
      </c>
      <c r="P161" t="e">
        <f t="shared" si="11"/>
        <v>#VALUE!</v>
      </c>
      <c r="Q161">
        <f t="shared" si="12"/>
        <v>31.737354321729232</v>
      </c>
      <c r="R161">
        <f t="shared" si="13"/>
        <v>35.119519278285829</v>
      </c>
      <c r="S161" t="e">
        <f xml:space="preserve"> 1.667/G161 + P161/A161 * Performance!$E$12 + Performance!$E$23 / Constraints!P161 * Constraints!A161</f>
        <v>#VALUE!</v>
      </c>
      <c r="T161">
        <f xml:space="preserve"> 1.667/H161 + Q161/A161 * Performance!$E$12 + Performance!$E$23 / Constraints!Q161 * Constraints!A161</f>
        <v>0.25753829486729057</v>
      </c>
      <c r="U161">
        <f xml:space="preserve"> 1.667/I161 + R161/A161 * Performance!$E$12 + Performance!$E$23 / Constraints!R161 * Constraints!A161</f>
        <v>0.24228218561914128</v>
      </c>
    </row>
    <row r="162" spans="1:21" x14ac:dyDescent="0.3">
      <c r="A162" s="51">
        <v>80</v>
      </c>
      <c r="B162" s="50">
        <f>$V$4*Performance!$E$12*(1/A162)+Performance!$E$23*(1/Constraints!$V$4)*Constraints!A162</f>
        <v>0.358163324356427</v>
      </c>
      <c r="C162" s="50">
        <f>$V$5*Performance!$E$12*(1/A162)+Performance!$E$23*(1/Constraints!$V$5)*Constraints!A162</f>
        <v>0.55621109444991379</v>
      </c>
      <c r="D162" s="52">
        <f t="shared" si="10"/>
        <v>0.29214071396569552</v>
      </c>
      <c r="E162" s="52">
        <f>$V$4*Performance!$E$12*(1/A162)+Performance!$E$23*(1/Constraints!$V$9)*Constraints!A162</f>
        <v>0.35780203154289653</v>
      </c>
      <c r="F162" s="52">
        <f xml:space="preserve"> 1.21 / (9.81 * Constraints!$N$7 * Performance!$E$15 * Constraints!$N$5 ) * Constraints!A162 + 0.605 /Performance!$E$15 * (Performance!$E$16  - Constraints!$N$6 * Performance!$E$14) + Constraints!$N$6</f>
        <v>0.292096304471337</v>
      </c>
      <c r="G162" s="54" t="s">
        <v>198</v>
      </c>
      <c r="H162" s="55">
        <f>SQRT(2/$V$3 * A162 * SQRT(Performance!$E$23 / (3 * Performance!$E$12)))</f>
        <v>11.028724234851762</v>
      </c>
      <c r="I162" s="55">
        <f>SQRT(2/$V$3 * A162 * (SQRT(Performance!$E$23)/(SQRT(3*Performance!$E$12 + 4* Performance!$E$23 * Performance!$E$11^2) - SQRT(Performance!$E$23)*Performance!$E$11)))</f>
        <v>11.601501452066726</v>
      </c>
      <c r="J162" t="e">
        <f xml:space="preserve"> $AC$3/G162 + $AC$6/A162 * Performance!$E$12 + Performance!$E$23/Constraints!$AC$6 * Constraints!A162</f>
        <v>#VALUE!</v>
      </c>
      <c r="K162">
        <f xml:space="preserve"> $AC$3/H162 + $AC$6/A162 * Performance!$E$12 + Performance!$E$23/Constraints!$AC$6 * Constraints!A162</f>
        <v>0.72201165012531154</v>
      </c>
      <c r="L162">
        <f xml:space="preserve"> $AC$3/I162 + $AC$6/A162 * Performance!$E$12 + Performance!$E$23/Constraints!$AC$6 * Constraints!A162</f>
        <v>0.69927062850609523</v>
      </c>
      <c r="M162">
        <f>SIN($AC$9 * PI()/180) + 1/Performance!$AE$5</f>
        <v>0.24073077270730886</v>
      </c>
      <c r="N162">
        <f>SIN($AC$9 * PI()/180) + 1/Performance!$AE$8</f>
        <v>0.22738716112204788</v>
      </c>
      <c r="O162" s="60">
        <f>$AC$16 * (Performance!$E$12/Constraints!A162 + Performance!$E$23 * (Constraints!$AC$13/Constraints!$AC$17)^2 * Constraints!A162)</f>
        <v>3.4333894910455981E-4</v>
      </c>
      <c r="P162" t="e">
        <f t="shared" si="11"/>
        <v>#VALUE!</v>
      </c>
      <c r="Q162">
        <f t="shared" si="12"/>
        <v>31.93696032375269</v>
      </c>
      <c r="R162">
        <f t="shared" si="13"/>
        <v>35.340396758023473</v>
      </c>
      <c r="S162" t="e">
        <f xml:space="preserve"> 1.667/G162 + P162/A162 * Performance!$E$12 + Performance!$E$23 / Constraints!P162 * Constraints!A162</f>
        <v>#VALUE!</v>
      </c>
      <c r="T162">
        <f xml:space="preserve"> 1.667/H162 + Q162/A162 * Performance!$E$12 + Performance!$E$23 / Constraints!Q162 * Constraints!A162</f>
        <v>0.25706372303873393</v>
      </c>
      <c r="U162">
        <f xml:space="preserve"> 1.667/I162 + R162/A162 * Performance!$E$12 + Performance!$E$23 / Constraints!R162 * Constraints!A162</f>
        <v>0.24183104385543033</v>
      </c>
    </row>
    <row r="163" spans="1:21" x14ac:dyDescent="0.3">
      <c r="A163" s="51">
        <v>80.5</v>
      </c>
      <c r="B163" s="50">
        <f>$V$4*Performance!$E$12*(1/A163)+Performance!$E$23*(1/Constraints!$V$4)*Constraints!A163</f>
        <v>0.35597819838909017</v>
      </c>
      <c r="C163" s="50">
        <f>$V$5*Performance!$E$12*(1/A163)+Performance!$E$23*(1/Constraints!$V$5)*Constraints!A163</f>
        <v>0.55278166405086449</v>
      </c>
      <c r="D163" s="52">
        <f t="shared" si="10"/>
        <v>0.29241299967798107</v>
      </c>
      <c r="E163" s="52">
        <f>$V$4*Performance!$E$12*(1/A163)+Performance!$E$23*(1/Constraints!$V$9)*Constraints!A163</f>
        <v>0.35561464749547511</v>
      </c>
      <c r="F163" s="52">
        <f xml:space="preserve"> 1.21 / (9.81 * Constraints!$N$7 * Performance!$E$15 * Constraints!$N$5 ) * Constraints!A163 + 0.605 /Performance!$E$15 * (Performance!$E$16  - Constraints!$N$6 * Performance!$E$14) + Constraints!$N$6</f>
        <v>0.29236831262428287</v>
      </c>
      <c r="G163" s="54" t="s">
        <v>198</v>
      </c>
      <c r="H163" s="55">
        <f>SQRT(2/$V$3 * A163 * SQRT(Performance!$E$23 / (3 * Performance!$E$12)))</f>
        <v>11.063135314523596</v>
      </c>
      <c r="I163" s="55">
        <f>SQRT(2/$V$3 * A163 * (SQRT(Performance!$E$23)/(SQRT(3*Performance!$E$12 + 4* Performance!$E$23 * Performance!$E$11^2) - SQRT(Performance!$E$23)*Performance!$E$11)))</f>
        <v>11.637699672484498</v>
      </c>
      <c r="J163" t="e">
        <f xml:space="preserve"> $AC$3/G163 + $AC$6/A163 * Performance!$E$12 + Performance!$E$23/Constraints!$AC$6 * Constraints!A163</f>
        <v>#VALUE!</v>
      </c>
      <c r="K163">
        <f xml:space="preserve"> $AC$3/H163 + $AC$6/A163 * Performance!$E$12 + Performance!$E$23/Constraints!$AC$6 * Constraints!A163</f>
        <v>0.72215812127996282</v>
      </c>
      <c r="L163">
        <f xml:space="preserve"> $AC$3/I163 + $AC$6/A163 * Performance!$E$12 + Performance!$E$23/Constraints!$AC$6 * Constraints!A163</f>
        <v>0.69948783395843939</v>
      </c>
      <c r="M163">
        <f>SIN($AC$9 * PI()/180) + 1/Performance!$AE$5</f>
        <v>0.24073077270730886</v>
      </c>
      <c r="N163">
        <f>SIN($AC$9 * PI()/180) + 1/Performance!$AE$8</f>
        <v>0.22738716112204788</v>
      </c>
      <c r="O163" s="60">
        <f>$AC$16 * (Performance!$E$12/Constraints!A163 + Performance!$E$23 * (Constraints!$AC$13/Constraints!$AC$17)^2 * Constraints!A163)</f>
        <v>3.4165717565466918E-4</v>
      </c>
      <c r="P163" t="e">
        <f t="shared" si="11"/>
        <v>#VALUE!</v>
      </c>
      <c r="Q163">
        <f t="shared" si="12"/>
        <v>32.136566325776137</v>
      </c>
      <c r="R163">
        <f t="shared" si="13"/>
        <v>35.561274237761126</v>
      </c>
      <c r="S163" t="e">
        <f xml:space="preserve"> 1.667/G163 + P163/A163 * Performance!$E$12 + Performance!$E$23 / Constraints!P163 * Constraints!A163</f>
        <v>#VALUE!</v>
      </c>
      <c r="T163">
        <f xml:space="preserve"> 1.667/H163 + Q163/A163 * Performance!$E$12 + Performance!$E$23 / Constraints!Q163 * Constraints!A163</f>
        <v>0.25659357958110057</v>
      </c>
      <c r="U163">
        <f xml:space="preserve"> 1.667/I163 + R163/A163 * Performance!$E$12 + Performance!$E$23 / Constraints!R163 * Constraints!A163</f>
        <v>0.24138411182973685</v>
      </c>
    </row>
    <row r="164" spans="1:21" x14ac:dyDescent="0.3">
      <c r="A164" s="51">
        <v>81</v>
      </c>
      <c r="B164" s="50">
        <f>$V$4*Performance!$E$12*(1/A164)+Performance!$E$23*(1/Constraints!$V$4)*Constraints!A164</f>
        <v>0.35382029381628172</v>
      </c>
      <c r="C164" s="50">
        <f>$V$5*Performance!$E$12*(1/A164)+Performance!$E$23*(1/Constraints!$V$5)*Constraints!A164</f>
        <v>0.5493947289388541</v>
      </c>
      <c r="D164" s="52">
        <f t="shared" si="10"/>
        <v>0.29268528539026667</v>
      </c>
      <c r="E164" s="52">
        <f>$V$4*Performance!$E$12*(1/A164)+Performance!$E$23*(1/Constraints!$V$9)*Constraints!A164</f>
        <v>0.35345448484258213</v>
      </c>
      <c r="F164" s="52">
        <f xml:space="preserve"> 1.21 / (9.81 * Constraints!$N$7 * Performance!$E$15 * Constraints!$N$5 ) * Constraints!A164 + 0.605 /Performance!$E$15 * (Performance!$E$16  - Constraints!$N$6 * Performance!$E$14) + Constraints!$N$6</f>
        <v>0.29264032077722868</v>
      </c>
      <c r="G164" s="54" t="s">
        <v>198</v>
      </c>
      <c r="H164" s="55">
        <f>SQRT(2/$V$3 * A164 * SQRT(Performance!$E$23 / (3 * Performance!$E$12)))</f>
        <v>11.097439692402551</v>
      </c>
      <c r="I164" s="55">
        <f>SQRT(2/$V$3 * A164 * (SQRT(Performance!$E$23)/(SQRT(3*Performance!$E$12 + 4* Performance!$E$23 * Performance!$E$11^2) - SQRT(Performance!$E$23)*Performance!$E$11)))</f>
        <v>11.673785649547673</v>
      </c>
      <c r="J164" t="e">
        <f xml:space="preserve"> $AC$3/G164 + $AC$6/A164 * Performance!$E$12 + Performance!$E$23/Constraints!$AC$6 * Constraints!A164</f>
        <v>#VALUE!</v>
      </c>
      <c r="K164">
        <f xml:space="preserve"> $AC$3/H164 + $AC$6/A164 * Performance!$E$12 + Performance!$E$23/Constraints!$AC$6 * Constraints!A164</f>
        <v>0.7223182144788638</v>
      </c>
      <c r="L164">
        <f xml:space="preserve"> $AC$3/I164 + $AC$6/A164 * Performance!$E$12 + Performance!$E$23/Constraints!$AC$6 * Constraints!A164</f>
        <v>0.69971800549292573</v>
      </c>
      <c r="M164">
        <f>SIN($AC$9 * PI()/180) + 1/Performance!$AE$5</f>
        <v>0.24073077270730886</v>
      </c>
      <c r="N164">
        <f>SIN($AC$9 * PI()/180) + 1/Performance!$AE$8</f>
        <v>0.22738716112204788</v>
      </c>
      <c r="O164" s="60">
        <f>$AC$16 * (Performance!$E$12/Constraints!A164 + Performance!$E$23 * (Constraints!$AC$13/Constraints!$AC$17)^2 * Constraints!A164)</f>
        <v>3.3999895601813525E-4</v>
      </c>
      <c r="P164" t="e">
        <f t="shared" si="11"/>
        <v>#VALUE!</v>
      </c>
      <c r="Q164">
        <f t="shared" si="12"/>
        <v>32.336172327799588</v>
      </c>
      <c r="R164">
        <f t="shared" si="13"/>
        <v>35.782151717498763</v>
      </c>
      <c r="S164" t="e">
        <f xml:space="preserve"> 1.667/G164 + P164/A164 * Performance!$E$12 + Performance!$E$23 / Constraints!P164 * Constraints!A164</f>
        <v>#VALUE!</v>
      </c>
      <c r="T164">
        <f xml:space="preserve"> 1.667/H164 + Q164/A164 * Performance!$E$12 + Performance!$E$23 / Constraints!Q164 * Constraints!A164</f>
        <v>0.25612779604932412</v>
      </c>
      <c r="U164">
        <f xml:space="preserve"> 1.667/I164 + R164/A164 * Performance!$E$12 + Performance!$E$23 / Constraints!R164 * Constraints!A164</f>
        <v>0.24094132447619282</v>
      </c>
    </row>
    <row r="165" spans="1:21" x14ac:dyDescent="0.3">
      <c r="A165" s="51">
        <v>81.5</v>
      </c>
      <c r="B165" s="50">
        <f>$V$4*Performance!$E$12*(1/A165)+Performance!$E$23*(1/Constraints!$V$4)*Constraints!A165</f>
        <v>0.35168910963074035</v>
      </c>
      <c r="C165" s="50">
        <f>$V$5*Performance!$E$12*(1/A165)+Performance!$E$23*(1/Constraints!$V$5)*Constraints!A165</f>
        <v>0.54604950699203536</v>
      </c>
      <c r="D165" s="52">
        <f t="shared" si="10"/>
        <v>0.29295757110255227</v>
      </c>
      <c r="E165" s="52">
        <f>$V$4*Performance!$E$12*(1/A165)+Performance!$E$23*(1/Constraints!$V$9)*Constraints!A165</f>
        <v>0.35132104257695618</v>
      </c>
      <c r="F165" s="52">
        <f xml:space="preserve"> 1.21 / (9.81 * Constraints!$N$7 * Performance!$E$15 * Constraints!$N$5 ) * Constraints!A165 + 0.605 /Performance!$E$15 * (Performance!$E$16  - Constraints!$N$6 * Performance!$E$14) + Constraints!$N$6</f>
        <v>0.29291232893017455</v>
      </c>
      <c r="G165" s="54" t="s">
        <v>198</v>
      </c>
      <c r="H165" s="55">
        <f>SQRT(2/$V$3 * A165 * SQRT(Performance!$E$23 / (3 * Performance!$E$12)))</f>
        <v>11.131638354957646</v>
      </c>
      <c r="I165" s="55">
        <f>SQRT(2/$V$3 * A165 * (SQRT(Performance!$E$23)/(SQRT(3*Performance!$E$12 + 4* Performance!$E$23 * Performance!$E$11^2) - SQRT(Performance!$E$23)*Performance!$E$11)))</f>
        <v>11.709760420957577</v>
      </c>
      <c r="J165" t="e">
        <f xml:space="preserve"> $AC$3/G165 + $AC$6/A165 * Performance!$E$12 + Performance!$E$23/Constraints!$AC$6 * Constraints!A165</f>
        <v>#VALUE!</v>
      </c>
      <c r="K165">
        <f xml:space="preserve"> $AC$3/H165 + $AC$6/A165 * Performance!$E$12 + Performance!$E$23/Constraints!$AC$6 * Constraints!A165</f>
        <v>0.72249171945120461</v>
      </c>
      <c r="L165">
        <f xml:space="preserve"> $AC$3/I165 + $AC$6/A165 * Performance!$E$12 + Performance!$E$23/Constraints!$AC$6 * Constraints!A165</f>
        <v>0.69996094291502287</v>
      </c>
      <c r="M165">
        <f>SIN($AC$9 * PI()/180) + 1/Performance!$AE$5</f>
        <v>0.24073077270730886</v>
      </c>
      <c r="N165">
        <f>SIN($AC$9 * PI()/180) + 1/Performance!$AE$8</f>
        <v>0.22738716112204788</v>
      </c>
      <c r="O165" s="60">
        <f>$AC$16 * (Performance!$E$12/Constraints!A165 + Performance!$E$23 * (Constraints!$AC$13/Constraints!$AC$17)^2 * Constraints!A165)</f>
        <v>3.3836385668919067E-4</v>
      </c>
      <c r="P165" t="e">
        <f t="shared" si="11"/>
        <v>#VALUE!</v>
      </c>
      <c r="Q165">
        <f t="shared" si="12"/>
        <v>32.535778329823046</v>
      </c>
      <c r="R165">
        <f t="shared" si="13"/>
        <v>36.003029197236415</v>
      </c>
      <c r="S165" t="e">
        <f xml:space="preserve"> 1.667/G165 + P165/A165 * Performance!$E$12 + Performance!$E$23 / Constraints!P165 * Constraints!A165</f>
        <v>#VALUE!</v>
      </c>
      <c r="T165">
        <f xml:space="preserve"> 1.667/H165 + Q165/A165 * Performance!$E$12 + Performance!$E$23 / Constraints!Q165 * Constraints!A165</f>
        <v>0.25566630547028546</v>
      </c>
      <c r="U165">
        <f xml:space="preserve"> 1.667/I165 + R165/A165 * Performance!$E$12 + Performance!$E$23 / Constraints!R165 * Constraints!A165</f>
        <v>0.24050261812820611</v>
      </c>
    </row>
    <row r="166" spans="1:21" x14ac:dyDescent="0.3">
      <c r="A166" s="51">
        <v>82</v>
      </c>
      <c r="B166" s="50">
        <f>$V$4*Performance!$E$12*(1/A166)+Performance!$E$23*(1/Constraints!$V$4)*Constraints!A166</f>
        <v>0.34958415704489404</v>
      </c>
      <c r="C166" s="50">
        <f>$V$5*Performance!$E$12*(1/A166)+Performance!$E$23*(1/Constraints!$V$5)*Constraints!A166</f>
        <v>0.5427452351647033</v>
      </c>
      <c r="D166" s="52">
        <f t="shared" si="10"/>
        <v>0.29322985681483787</v>
      </c>
      <c r="E166" s="52">
        <f>$V$4*Performance!$E$12*(1/A166)+Performance!$E$23*(1/Constraints!$V$9)*Constraints!A166</f>
        <v>0.34921383191102523</v>
      </c>
      <c r="F166" s="52">
        <f xml:space="preserve"> 1.21 / (9.81 * Constraints!$N$7 * Performance!$E$15 * Constraints!$N$5 ) * Constraints!A166 + 0.605 /Performance!$E$15 * (Performance!$E$16  - Constraints!$N$6 * Performance!$E$14) + Constraints!$N$6</f>
        <v>0.29318433708312042</v>
      </c>
      <c r="G166" s="54" t="s">
        <v>198</v>
      </c>
      <c r="H166" s="55">
        <f>SQRT(2/$V$3 * A166 * SQRT(Performance!$E$23 / (3 * Performance!$E$12)))</f>
        <v>11.165732273550926</v>
      </c>
      <c r="I166" s="55">
        <f>SQRT(2/$V$3 * A166 * (SQRT(Performance!$E$23)/(SQRT(3*Performance!$E$12 + 4* Performance!$E$23 * Performance!$E$11^2) - SQRT(Performance!$E$23)*Performance!$E$11)))</f>
        <v>11.745625008523984</v>
      </c>
      <c r="J166" t="e">
        <f xml:space="preserve"> $AC$3/G166 + $AC$6/A166 * Performance!$E$12 + Performance!$E$23/Constraints!$AC$6 * Constraints!A166</f>
        <v>#VALUE!</v>
      </c>
      <c r="K166">
        <f xml:space="preserve"> $AC$3/H166 + $AC$6/A166 * Performance!$E$12 + Performance!$E$23/Constraints!$AC$6 * Constraints!A166</f>
        <v>0.72267843043917723</v>
      </c>
      <c r="L166">
        <f xml:space="preserve"> $AC$3/I166 + $AC$6/A166 * Performance!$E$12 + Performance!$E$23/Constraints!$AC$6 * Constraints!A166</f>
        <v>0.70021645032782898</v>
      </c>
      <c r="M166">
        <f>SIN($AC$9 * PI()/180) + 1/Performance!$AE$5</f>
        <v>0.24073077270730886</v>
      </c>
      <c r="N166">
        <f>SIN($AC$9 * PI()/180) + 1/Performance!$AE$8</f>
        <v>0.22738716112204788</v>
      </c>
      <c r="O166" s="60">
        <f>$AC$16 * (Performance!$E$12/Constraints!A166 + Performance!$E$23 * (Constraints!$AC$13/Constraints!$AC$17)^2 * Constraints!A166)</f>
        <v>3.3675145473537966E-4</v>
      </c>
      <c r="P166" t="e">
        <f t="shared" si="11"/>
        <v>#VALUE!</v>
      </c>
      <c r="Q166">
        <f t="shared" si="12"/>
        <v>32.735384331846504</v>
      </c>
      <c r="R166">
        <f t="shared" si="13"/>
        <v>36.223906676974067</v>
      </c>
      <c r="S166" t="e">
        <f xml:space="preserve"> 1.667/G166 + P166/A166 * Performance!$E$12 + Performance!$E$23 / Constraints!P166 * Constraints!A166</f>
        <v>#VALUE!</v>
      </c>
      <c r="T166">
        <f xml:space="preserve"> 1.667/H166 + Q166/A166 * Performance!$E$12 + Performance!$E$23 / Constraints!Q166 * Constraints!A166</f>
        <v>0.2552090423023623</v>
      </c>
      <c r="U166">
        <f xml:space="preserve"> 1.667/I166 + R166/A166 * Performance!$E$12 + Performance!$E$23 / Constraints!R166 * Constraints!A166</f>
        <v>0.2400679304800068</v>
      </c>
    </row>
    <row r="167" spans="1:21" x14ac:dyDescent="0.3">
      <c r="A167" s="51">
        <v>82.5</v>
      </c>
      <c r="B167" s="50">
        <f>$V$4*Performance!$E$12*(1/A167)+Performance!$E$23*(1/Constraints!$V$4)*Constraints!A167</f>
        <v>0.3475049591205665</v>
      </c>
      <c r="C167" s="50">
        <f>$V$5*Performance!$E$12*(1/A167)+Performance!$E$23*(1/Constraints!$V$5)*Constraints!A167</f>
        <v>0.53948116890923103</v>
      </c>
      <c r="D167" s="52">
        <f t="shared" si="10"/>
        <v>0.29350214252712348</v>
      </c>
      <c r="E167" s="52">
        <f>$V$4*Performance!$E$12*(1/A167)+Performance!$E$23*(1/Constraints!$V$9)*Constraints!A167</f>
        <v>0.34713237590661317</v>
      </c>
      <c r="F167" s="52">
        <f xml:space="preserve"> 1.21 / (9.81 * Constraints!$N$7 * Performance!$E$15 * Constraints!$N$5 ) * Constraints!A167 + 0.605 /Performance!$E$15 * (Performance!$E$16  - Constraints!$N$6 * Performance!$E$14) + Constraints!$N$6</f>
        <v>0.29345634523606628</v>
      </c>
      <c r="G167" s="54" t="s">
        <v>198</v>
      </c>
      <c r="H167" s="55">
        <f>SQRT(2/$V$3 * A167 * SQRT(Performance!$E$23 / (3 * Performance!$E$12)))</f>
        <v>11.199722404759381</v>
      </c>
      <c r="I167" s="55">
        <f>SQRT(2/$V$3 * A167 * (SQRT(Performance!$E$23)/(SQRT(3*Performance!$E$12 + 4* Performance!$E$23 * Performance!$E$11^2) - SQRT(Performance!$E$23)*Performance!$E$11)))</f>
        <v>11.781380418503744</v>
      </c>
      <c r="J167" t="e">
        <f xml:space="preserve"> $AC$3/G167 + $AC$6/A167 * Performance!$E$12 + Performance!$E$23/Constraints!$AC$6 * Constraints!A167</f>
        <v>#VALUE!</v>
      </c>
      <c r="K167">
        <f xml:space="preserve"> $AC$3/H167 + $AC$6/A167 * Performance!$E$12 + Performance!$E$23/Constraints!$AC$6 * Constraints!A167</f>
        <v>0.72287814607425482</v>
      </c>
      <c r="L167">
        <f xml:space="preserve"> $AC$3/I167 + $AC$6/A167 * Performance!$E$12 + Performance!$E$23/Constraints!$AC$6 * Constraints!A167</f>
        <v>0.70048433601423399</v>
      </c>
      <c r="M167">
        <f>SIN($AC$9 * PI()/180) + 1/Performance!$AE$5</f>
        <v>0.24073077270730886</v>
      </c>
      <c r="N167">
        <f>SIN($AC$9 * PI()/180) + 1/Performance!$AE$8</f>
        <v>0.22738716112204788</v>
      </c>
      <c r="O167" s="60">
        <f>$AC$16 * (Performance!$E$12/Constraints!A167 + Performance!$E$23 * (Constraints!$AC$13/Constraints!$AC$17)^2 * Constraints!A167)</f>
        <v>3.3516133747715413E-4</v>
      </c>
      <c r="P167" t="e">
        <f t="shared" si="11"/>
        <v>#VALUE!</v>
      </c>
      <c r="Q167">
        <f t="shared" si="12"/>
        <v>32.934990333869955</v>
      </c>
      <c r="R167">
        <f t="shared" si="13"/>
        <v>36.444784156711719</v>
      </c>
      <c r="S167" t="e">
        <f xml:space="preserve"> 1.667/G167 + P167/A167 * Performance!$E$12 + Performance!$E$23 / Constraints!P167 * Constraints!A167</f>
        <v>#VALUE!</v>
      </c>
      <c r="T167">
        <f xml:space="preserve"> 1.667/H167 + Q167/A167 * Performance!$E$12 + Performance!$E$23 / Constraints!Q167 * Constraints!A167</f>
        <v>0.25475594239632848</v>
      </c>
      <c r="U167">
        <f xml:space="preserve"> 1.667/I167 + R167/A167 * Performance!$E$12 + Performance!$E$23 / Constraints!R167 * Constraints!A167</f>
        <v>0.23963720054947746</v>
      </c>
    </row>
    <row r="168" spans="1:21" x14ac:dyDescent="0.3">
      <c r="A168" s="51">
        <v>83</v>
      </c>
      <c r="B168" s="50">
        <f>$V$4*Performance!$E$12*(1/A168)+Performance!$E$23*(1/Constraints!$V$4)*Constraints!A168</f>
        <v>0.3454510504120677</v>
      </c>
      <c r="C168" s="50">
        <f>$V$5*Performance!$E$12*(1/A168)+Performance!$E$23*(1/Constraints!$V$5)*Constraints!A168</f>
        <v>0.53625658161889822</v>
      </c>
      <c r="D168" s="52">
        <f t="shared" si="10"/>
        <v>0.29377442823940908</v>
      </c>
      <c r="E168" s="52">
        <f>$V$4*Performance!$E$12*(1/A168)+Performance!$E$23*(1/Constraints!$V$9)*Constraints!A168</f>
        <v>0.34507620911802978</v>
      </c>
      <c r="F168" s="52">
        <f xml:space="preserve"> 1.21 / (9.81 * Constraints!$N$7 * Performance!$E$15 * Constraints!$N$5 ) * Constraints!A168 + 0.605 /Performance!$E$15 * (Performance!$E$16  - Constraints!$N$6 * Performance!$E$14) + Constraints!$N$6</f>
        <v>0.29372835338901215</v>
      </c>
      <c r="G168" s="54" t="s">
        <v>198</v>
      </c>
      <c r="H168" s="55">
        <f>SQRT(2/$V$3 * A168 * SQRT(Performance!$E$23 / (3 * Performance!$E$12)))</f>
        <v>11.233609690688109</v>
      </c>
      <c r="I168" s="55">
        <f>SQRT(2/$V$3 * A168 * (SQRT(Performance!$E$23)/(SQRT(3*Performance!$E$12 + 4* Performance!$E$23 * Performance!$E$11^2) - SQRT(Performance!$E$23)*Performance!$E$11)))</f>
        <v>11.817027641930219</v>
      </c>
      <c r="J168" t="e">
        <f xml:space="preserve"> $AC$3/G168 + $AC$6/A168 * Performance!$E$12 + Performance!$E$23/Constraints!$AC$6 * Constraints!A168</f>
        <v>#VALUE!</v>
      </c>
      <c r="K168">
        <f xml:space="preserve"> $AC$3/H168 + $AC$6/A168 * Performance!$E$12 + Performance!$E$23/Constraints!$AC$6 * Constraints!A168</f>
        <v>0.72309066925759102</v>
      </c>
      <c r="L168">
        <f xml:space="preserve"> $AC$3/I168 + $AC$6/A168 * Performance!$E$12 + Performance!$E$23/Constraints!$AC$6 * Constraints!A168</f>
        <v>0.70076441232300657</v>
      </c>
      <c r="M168">
        <f>SIN($AC$9 * PI()/180) + 1/Performance!$AE$5</f>
        <v>0.24073077270730886</v>
      </c>
      <c r="N168">
        <f>SIN($AC$9 * PI()/180) + 1/Performance!$AE$8</f>
        <v>0.22738716112204788</v>
      </c>
      <c r="O168" s="60">
        <f>$AC$16 * (Performance!$E$12/Constraints!A168 + Performance!$E$23 * (Constraints!$AC$13/Constraints!$AC$17)^2 * Constraints!A168)</f>
        <v>3.3359310217905192E-4</v>
      </c>
      <c r="P168" t="e">
        <f t="shared" si="11"/>
        <v>#VALUE!</v>
      </c>
      <c r="Q168">
        <f t="shared" si="12"/>
        <v>33.134596335893406</v>
      </c>
      <c r="R168">
        <f t="shared" si="13"/>
        <v>36.665661636449357</v>
      </c>
      <c r="S168" t="e">
        <f xml:space="preserve"> 1.667/G168 + P168/A168 * Performance!$E$12 + Performance!$E$23 / Constraints!P168 * Constraints!A168</f>
        <v>#VALUE!</v>
      </c>
      <c r="T168">
        <f xml:space="preserve"> 1.667/H168 + Q168/A168 * Performance!$E$12 + Performance!$E$23 / Constraints!Q168 * Constraints!A168</f>
        <v>0.25430694295755113</v>
      </c>
      <c r="U168">
        <f xml:space="preserve"> 1.667/I168 + R168/A168 * Performance!$E$12 + Performance!$E$23 / Constraints!R168 * Constraints!A168</f>
        <v>0.23921036864221631</v>
      </c>
    </row>
    <row r="169" spans="1:21" x14ac:dyDescent="0.3">
      <c r="A169" s="51">
        <v>83.5</v>
      </c>
      <c r="B169" s="50">
        <f>$V$4*Performance!$E$12*(1/A169)+Performance!$E$23*(1/Constraints!$V$4)*Constraints!A169</f>
        <v>0.34342197662210727</v>
      </c>
      <c r="C169" s="50">
        <f>$V$5*Performance!$E$12*(1/A169)+Performance!$E$23*(1/Constraints!$V$5)*Constraints!A169</f>
        <v>0.53307076409073828</v>
      </c>
      <c r="D169" s="52">
        <f t="shared" si="10"/>
        <v>0.29404671395169468</v>
      </c>
      <c r="E169" s="52">
        <f>$V$4*Performance!$E$12*(1/A169)+Performance!$E$23*(1/Constraints!$V$9)*Constraints!A169</f>
        <v>0.34304487724798483</v>
      </c>
      <c r="F169" s="52">
        <f xml:space="preserve"> 1.21 / (9.81 * Constraints!$N$7 * Performance!$E$15 * Constraints!$N$5 ) * Constraints!A169 + 0.605 /Performance!$E$15 * (Performance!$E$16  - Constraints!$N$6 * Performance!$E$14) + Constraints!$N$6</f>
        <v>0.29400036154195797</v>
      </c>
      <c r="G169" s="54" t="s">
        <v>198</v>
      </c>
      <c r="H169" s="55">
        <f>SQRT(2/$V$3 * A169 * SQRT(Performance!$E$23 / (3 * Performance!$E$12)))</f>
        <v>11.267395059274985</v>
      </c>
      <c r="I169" s="55">
        <f>SQRT(2/$V$3 * A169 * (SQRT(Performance!$E$23)/(SQRT(3*Performance!$E$12 + 4* Performance!$E$23 * Performance!$E$11^2) - SQRT(Performance!$E$23)*Performance!$E$11)))</f>
        <v>11.852567654933774</v>
      </c>
      <c r="J169" t="e">
        <f xml:space="preserve"> $AC$3/G169 + $AC$6/A169 * Performance!$E$12 + Performance!$E$23/Constraints!$AC$6 * Constraints!A169</f>
        <v>#VALUE!</v>
      </c>
      <c r="K169">
        <f xml:space="preserve"> $AC$3/H169 + $AC$6/A169 * Performance!$E$12 + Performance!$E$23/Constraints!$AC$6 * Constraints!A169</f>
        <v>0.72331580704437659</v>
      </c>
      <c r="L169">
        <f xml:space="preserve"> $AC$3/I169 + $AC$6/A169 * Performance!$E$12 + Performance!$E$23/Constraints!$AC$6 * Constraints!A169</f>
        <v>0.70105649555864979</v>
      </c>
      <c r="M169">
        <f>SIN($AC$9 * PI()/180) + 1/Performance!$AE$5</f>
        <v>0.24073077270730886</v>
      </c>
      <c r="N169">
        <f>SIN($AC$9 * PI()/180) + 1/Performance!$AE$8</f>
        <v>0.22738716112204788</v>
      </c>
      <c r="O169" s="60">
        <f>$AC$16 * (Performance!$E$12/Constraints!A169 + Performance!$E$23 * (Constraints!$AC$13/Constraints!$AC$17)^2 * Constraints!A169)</f>
        <v>3.320463557519688E-4</v>
      </c>
      <c r="P169" t="e">
        <f t="shared" si="11"/>
        <v>#VALUE!</v>
      </c>
      <c r="Q169">
        <f t="shared" si="12"/>
        <v>33.334202337916871</v>
      </c>
      <c r="R169">
        <f t="shared" si="13"/>
        <v>36.886539116187002</v>
      </c>
      <c r="S169" t="e">
        <f xml:space="preserve"> 1.667/G169 + P169/A169 * Performance!$E$12 + Performance!$E$23 / Constraints!P169 * Constraints!A169</f>
        <v>#VALUE!</v>
      </c>
      <c r="T169">
        <f xml:space="preserve"> 1.667/H169 + Q169/A169 * Performance!$E$12 + Performance!$E$23 / Constraints!Q169 * Constraints!A169</f>
        <v>0.25386198250943459</v>
      </c>
      <c r="U169">
        <f xml:space="preserve"> 1.667/I169 + R169/A169 * Performance!$E$12 + Performance!$E$23 / Constraints!R169 * Constraints!A169</f>
        <v>0.23878737631678601</v>
      </c>
    </row>
    <row r="170" spans="1:21" x14ac:dyDescent="0.3">
      <c r="A170" s="51">
        <v>84</v>
      </c>
      <c r="B170" s="50">
        <f>$V$4*Performance!$E$12*(1/A170)+Performance!$E$23*(1/Constraints!$V$4)*Constraints!A170</f>
        <v>0.34141729426999701</v>
      </c>
      <c r="C170" s="50">
        <f>$V$5*Performance!$E$12*(1/A170)+Performance!$E$23*(1/Constraints!$V$5)*Constraints!A170</f>
        <v>0.52992302400756941</v>
      </c>
      <c r="D170" s="52">
        <f t="shared" si="10"/>
        <v>0.29431899966398029</v>
      </c>
      <c r="E170" s="52">
        <f>$V$4*Performance!$E$12*(1/A170)+Performance!$E$23*(1/Constraints!$V$9)*Constraints!A170</f>
        <v>0.34103793681578998</v>
      </c>
      <c r="F170" s="52">
        <f xml:space="preserve"> 1.21 / (9.81 * Constraints!$N$7 * Performance!$E$15 * Constraints!$N$5 ) * Constraints!A170 + 0.605 /Performance!$E$15 * (Performance!$E$16  - Constraints!$N$6 * Performance!$E$14) + Constraints!$N$6</f>
        <v>0.29427236969490383</v>
      </c>
      <c r="G170" s="54" t="s">
        <v>198</v>
      </c>
      <c r="H170" s="55">
        <f>SQRT(2/$V$3 * A170 * SQRT(Performance!$E$23 / (3 * Performance!$E$12)))</f>
        <v>11.301079424587144</v>
      </c>
      <c r="I170" s="55">
        <f>SQRT(2/$V$3 * A170 * (SQRT(Performance!$E$23)/(SQRT(3*Performance!$E$12 + 4* Performance!$E$23 * Performance!$E$11^2) - SQRT(Performance!$E$23)*Performance!$E$11)))</f>
        <v>11.888001419053653</v>
      </c>
      <c r="J170" t="e">
        <f xml:space="preserve"> $AC$3/G170 + $AC$6/A170 * Performance!$E$12 + Performance!$E$23/Constraints!$AC$6 * Constraints!A170</f>
        <v>#VALUE!</v>
      </c>
      <c r="K170">
        <f xml:space="preserve"> $AC$3/H170 + $AC$6/A170 * Performance!$E$12 + Performance!$E$23/Constraints!$AC$6 * Constraints!A170</f>
        <v>0.72355337053200031</v>
      </c>
      <c r="L170">
        <f xml:space="preserve"> $AC$3/I170 + $AC$6/A170 * Performance!$E$12 + Performance!$E$23/Constraints!$AC$6 * Constraints!A170</f>
        <v>0.7013604058748828</v>
      </c>
      <c r="M170">
        <f>SIN($AC$9 * PI()/180) + 1/Performance!$AE$5</f>
        <v>0.24073077270730886</v>
      </c>
      <c r="N170">
        <f>SIN($AC$9 * PI()/180) + 1/Performance!$AE$8</f>
        <v>0.22738716112204788</v>
      </c>
      <c r="O170" s="60">
        <f>$AC$16 * (Performance!$E$12/Constraints!A170 + Performance!$E$23 * (Constraints!$AC$13/Constraints!$AC$17)^2 * Constraints!A170)</f>
        <v>3.3052071446606536E-4</v>
      </c>
      <c r="P170" t="e">
        <f t="shared" si="11"/>
        <v>#VALUE!</v>
      </c>
      <c r="Q170">
        <f t="shared" si="12"/>
        <v>33.533808339940322</v>
      </c>
      <c r="R170">
        <f t="shared" si="13"/>
        <v>37.107416595924647</v>
      </c>
      <c r="S170" t="e">
        <f xml:space="preserve"> 1.667/G170 + P170/A170 * Performance!$E$12 + Performance!$E$23 / Constraints!P170 * Constraints!A170</f>
        <v>#VALUE!</v>
      </c>
      <c r="T170">
        <f xml:space="preserve"> 1.667/H170 + Q170/A170 * Performance!$E$12 + Performance!$E$23 / Constraints!Q170 * Constraints!A170</f>
        <v>0.25342100085806318</v>
      </c>
      <c r="U170">
        <f xml:space="preserve"> 1.667/I170 + R170/A170 * Performance!$E$12 + Performance!$E$23 / Constraints!R170 * Constraints!A170</f>
        <v>0.23836816635110197</v>
      </c>
    </row>
    <row r="171" spans="1:21" x14ac:dyDescent="0.3">
      <c r="A171" s="51">
        <v>84.5</v>
      </c>
      <c r="B171" s="50">
        <f>$V$4*Performance!$E$12*(1/A171)+Performance!$E$23*(1/Constraints!$V$4)*Constraints!A171</f>
        <v>0.33943657037163311</v>
      </c>
      <c r="C171" s="50">
        <f>$V$5*Performance!$E$12*(1/A171)+Performance!$E$23*(1/Constraints!$V$5)*Constraints!A171</f>
        <v>0.52681268543841553</v>
      </c>
      <c r="D171" s="52">
        <f t="shared" si="10"/>
        <v>0.29459128537626589</v>
      </c>
      <c r="E171" s="52">
        <f>$V$4*Performance!$E$12*(1/A171)+Performance!$E$23*(1/Constraints!$V$9)*Constraints!A171</f>
        <v>0.33905495483734155</v>
      </c>
      <c r="F171" s="52">
        <f xml:space="preserve"> 1.21 / (9.81 * Constraints!$N$7 * Performance!$E$15 * Constraints!$N$5 ) * Constraints!A171 + 0.605 /Performance!$E$15 * (Performance!$E$16  - Constraints!$N$6 * Performance!$E$14) + Constraints!$N$6</f>
        <v>0.2945443778478497</v>
      </c>
      <c r="G171" s="54" t="s">
        <v>198</v>
      </c>
      <c r="H171" s="55">
        <f>SQRT(2/$V$3 * A171 * SQRT(Performance!$E$23 / (3 * Performance!$E$12)))</f>
        <v>11.334663687109531</v>
      </c>
      <c r="I171" s="55">
        <f>SQRT(2/$V$3 * A171 * (SQRT(Performance!$E$23)/(SQRT(3*Performance!$E$12 + 4* Performance!$E$23 * Performance!$E$11^2) - SQRT(Performance!$E$23)*Performance!$E$11)))</f>
        <v>11.923329881541527</v>
      </c>
      <c r="J171" t="e">
        <f xml:space="preserve"> $AC$3/G171 + $AC$6/A171 * Performance!$E$12 + Performance!$E$23/Constraints!$AC$6 * Constraints!A171</f>
        <v>#VALUE!</v>
      </c>
      <c r="K171">
        <f xml:space="preserve"> $AC$3/H171 + $AC$6/A171 * Performance!$E$12 + Performance!$E$23/Constraints!$AC$6 * Constraints!A171</f>
        <v>0.72380317475186695</v>
      </c>
      <c r="L171">
        <f xml:space="preserve"> $AC$3/I171 + $AC$6/A171 * Performance!$E$12 + Performance!$E$23/Constraints!$AC$6 * Constraints!A171</f>
        <v>0.70167596717160396</v>
      </c>
      <c r="M171">
        <f>SIN($AC$9 * PI()/180) + 1/Performance!$AE$5</f>
        <v>0.24073077270730886</v>
      </c>
      <c r="N171">
        <f>SIN($AC$9 * PI()/180) + 1/Performance!$AE$8</f>
        <v>0.22738716112204788</v>
      </c>
      <c r="O171" s="60">
        <f>$AC$16 * (Performance!$E$12/Constraints!A171 + Performance!$E$23 * (Constraints!$AC$13/Constraints!$AC$17)^2 * Constraints!A171)</f>
        <v>3.2901580367386481E-4</v>
      </c>
      <c r="P171" t="e">
        <f t="shared" si="11"/>
        <v>#VALUE!</v>
      </c>
      <c r="Q171">
        <f t="shared" si="12"/>
        <v>33.733414341963773</v>
      </c>
      <c r="R171">
        <f t="shared" si="13"/>
        <v>37.328294075662292</v>
      </c>
      <c r="S171" t="e">
        <f xml:space="preserve"> 1.667/G171 + P171/A171 * Performance!$E$12 + Performance!$E$23 / Constraints!P171 * Constraints!A171</f>
        <v>#VALUE!</v>
      </c>
      <c r="T171">
        <f xml:space="preserve"> 1.667/H171 + Q171/A171 * Performance!$E$12 + Performance!$E$23 / Constraints!Q171 * Constraints!A171</f>
        <v>0.25298393905799577</v>
      </c>
      <c r="U171">
        <f xml:space="preserve"> 1.667/I171 + R171/A171 * Performance!$E$12 + Performance!$E$23 / Constraints!R171 * Constraints!A171</f>
        <v>0.23795268270991576</v>
      </c>
    </row>
    <row r="172" spans="1:21" x14ac:dyDescent="0.3">
      <c r="A172" s="51">
        <v>85</v>
      </c>
      <c r="B172" s="50">
        <f>$V$4*Performance!$E$12*(1/A172)+Performance!$E$23*(1/Constraints!$V$4)*Constraints!A172</f>
        <v>0.33747938213077294</v>
      </c>
      <c r="C172" s="50">
        <f>$V$5*Performance!$E$12*(1/A172)+Performance!$E$23*(1/Constraints!$V$5)*Constraints!A172</f>
        <v>0.5237390883565588</v>
      </c>
      <c r="D172" s="52">
        <f t="shared" si="10"/>
        <v>0.29486357108855143</v>
      </c>
      <c r="E172" s="52">
        <f>$V$4*Performance!$E$12*(1/A172)+Performance!$E$23*(1/Constraints!$V$9)*Constraints!A172</f>
        <v>0.3370955085163968</v>
      </c>
      <c r="F172" s="52">
        <f xml:space="preserve"> 1.21 / (9.81 * Constraints!$N$7 * Performance!$E$15 * Constraints!$N$5 ) * Constraints!A172 + 0.605 /Performance!$E$15 * (Performance!$E$16  - Constraints!$N$6 * Performance!$E$14) + Constraints!$N$6</f>
        <v>0.29481638600079557</v>
      </c>
      <c r="G172" s="54" t="s">
        <v>198</v>
      </c>
      <c r="H172" s="55">
        <f>SQRT(2/$V$3 * A172 * SQRT(Performance!$E$23 / (3 * Performance!$E$12)))</f>
        <v>11.36814873402578</v>
      </c>
      <c r="I172" s="55">
        <f>SQRT(2/$V$3 * A172 * (SQRT(Performance!$E$23)/(SQRT(3*Performance!$E$12 + 4* Performance!$E$23 * Performance!$E$11^2) - SQRT(Performance!$E$23)*Performance!$E$11)))</f>
        <v>11.958553975656944</v>
      </c>
      <c r="J172" t="e">
        <f xml:space="preserve"> $AC$3/G172 + $AC$6/A172 * Performance!$E$12 + Performance!$E$23/Constraints!$AC$6 * Constraints!A172</f>
        <v>#VALUE!</v>
      </c>
      <c r="K172">
        <f xml:space="preserve"> $AC$3/H172 + $AC$6/A172 * Performance!$E$12 + Performance!$E$23/Constraints!$AC$6 * Constraints!A172</f>
        <v>0.72406503856473137</v>
      </c>
      <c r="L172">
        <f xml:space="preserve"> $AC$3/I172 + $AC$6/A172 * Performance!$E$12 + Performance!$E$23/Constraints!$AC$6 * Constraints!A172</f>
        <v>0.70200300699520568</v>
      </c>
      <c r="M172">
        <f>SIN($AC$9 * PI()/180) + 1/Performance!$AE$5</f>
        <v>0.24073077270730886</v>
      </c>
      <c r="N172">
        <f>SIN($AC$9 * PI()/180) + 1/Performance!$AE$8</f>
        <v>0.22738716112204788</v>
      </c>
      <c r="O172" s="60">
        <f>$AC$16 * (Performance!$E$12/Constraints!A172 + Performance!$E$23 * (Constraints!$AC$13/Constraints!$AC$17)^2 * Constraints!A172)</f>
        <v>3.2753125754312549E-4</v>
      </c>
      <c r="P172" t="e">
        <f t="shared" si="11"/>
        <v>#VALUE!</v>
      </c>
      <c r="Q172">
        <f t="shared" si="12"/>
        <v>33.933020343987224</v>
      </c>
      <c r="R172">
        <f t="shared" si="13"/>
        <v>37.549171555399944</v>
      </c>
      <c r="S172" t="e">
        <f xml:space="preserve"> 1.667/G172 + P172/A172 * Performance!$E$12 + Performance!$E$23 / Constraints!P172 * Constraints!A172</f>
        <v>#VALUE!</v>
      </c>
      <c r="T172">
        <f xml:space="preserve"> 1.667/H172 + Q172/A172 * Performance!$E$12 + Performance!$E$23 / Constraints!Q172 * Constraints!A172</f>
        <v>0.25255073937916916</v>
      </c>
      <c r="U172">
        <f xml:space="preserve"> 1.667/I172 + R172/A172 * Performance!$E$12 + Performance!$E$23 / Constraints!R172 * Constraints!A172</f>
        <v>0.23754087051335271</v>
      </c>
    </row>
    <row r="173" spans="1:21" x14ac:dyDescent="0.3">
      <c r="A173" s="51">
        <v>85.5</v>
      </c>
      <c r="B173" s="50">
        <f>$V$4*Performance!$E$12*(1/A173)+Performance!$E$23*(1/Constraints!$V$4)*Constraints!A173</f>
        <v>0.33554531664114456</v>
      </c>
      <c r="C173" s="50">
        <f>$V$5*Performance!$E$12*(1/A173)+Performance!$E$23*(1/Constraints!$V$5)*Constraints!A173</f>
        <v>0.52070158817450285</v>
      </c>
      <c r="D173" s="52">
        <f t="shared" si="10"/>
        <v>0.29513585680083704</v>
      </c>
      <c r="E173" s="52">
        <f>$V$4*Performance!$E$12*(1/A173)+Performance!$E$23*(1/Constraints!$V$9)*Constraints!A173</f>
        <v>0.33515918494668384</v>
      </c>
      <c r="F173" s="52">
        <f xml:space="preserve"> 1.21 / (9.81 * Constraints!$N$7 * Performance!$E$15 * Constraints!$N$5 ) * Constraints!A173 + 0.605 /Performance!$E$15 * (Performance!$E$16  - Constraints!$N$6 * Performance!$E$14) + Constraints!$N$6</f>
        <v>0.29508839415374144</v>
      </c>
      <c r="G173" s="54" t="s">
        <v>198</v>
      </c>
      <c r="H173" s="55">
        <f>SQRT(2/$V$3 * A173 * SQRT(Performance!$E$23 / (3 * Performance!$E$12)))</f>
        <v>11.401535439491669</v>
      </c>
      <c r="I173" s="55">
        <f>SQRT(2/$V$3 * A173 * (SQRT(Performance!$E$23)/(SQRT(3*Performance!$E$12 + 4* Performance!$E$23 * Performance!$E$11^2) - SQRT(Performance!$E$23)*Performance!$E$11)))</f>
        <v>11.993674620954994</v>
      </c>
      <c r="J173" t="e">
        <f xml:space="preserve"> $AC$3/G173 + $AC$6/A173 * Performance!$E$12 + Performance!$E$23/Constraints!$AC$6 * Constraints!A173</f>
        <v>#VALUE!</v>
      </c>
      <c r="K173">
        <f xml:space="preserve"> $AC$3/H173 + $AC$6/A173 * Performance!$E$12 + Performance!$E$23/Constraints!$AC$6 * Constraints!A173</f>
        <v>0.72433878455941603</v>
      </c>
      <c r="L173">
        <f xml:space="preserve"> $AC$3/I173 + $AC$6/A173 * Performance!$E$12 + Performance!$E$23/Constraints!$AC$6 * Constraints!A173</f>
        <v>0.70234135644210949</v>
      </c>
      <c r="M173">
        <f>SIN($AC$9 * PI()/180) + 1/Performance!$AE$5</f>
        <v>0.24073077270730886</v>
      </c>
      <c r="N173">
        <f>SIN($AC$9 * PI()/180) + 1/Performance!$AE$8</f>
        <v>0.22738716112204788</v>
      </c>
      <c r="O173" s="60">
        <f>$AC$16 * (Performance!$E$12/Constraints!A173 + Performance!$E$23 * (Constraints!$AC$13/Constraints!$AC$17)^2 * Constraints!A173)</f>
        <v>3.2606671879908489E-4</v>
      </c>
      <c r="P173" t="e">
        <f t="shared" si="11"/>
        <v>#VALUE!</v>
      </c>
      <c r="Q173">
        <f t="shared" si="12"/>
        <v>34.132626346010674</v>
      </c>
      <c r="R173">
        <f t="shared" si="13"/>
        <v>37.770049035137589</v>
      </c>
      <c r="S173" t="e">
        <f xml:space="preserve"> 1.667/G173 + P173/A173 * Performance!$E$12 + Performance!$E$23 / Constraints!P173 * Constraints!A173</f>
        <v>#VALUE!</v>
      </c>
      <c r="T173">
        <f xml:space="preserve"> 1.667/H173 + Q173/A173 * Performance!$E$12 + Performance!$E$23 / Constraints!Q173 * Constraints!A173</f>
        <v>0.2521213452748674</v>
      </c>
      <c r="U173">
        <f xml:space="preserve"> 1.667/I173 + R173/A173 * Performance!$E$12 + Performance!$E$23 / Constraints!R173 * Constraints!A173</f>
        <v>0.23713267600646221</v>
      </c>
    </row>
    <row r="174" spans="1:21" x14ac:dyDescent="0.3">
      <c r="A174" s="51">
        <v>86</v>
      </c>
      <c r="B174" s="50">
        <f>$V$4*Performance!$E$12*(1/A174)+Performance!$E$23*(1/Constraints!$V$4)*Constraints!A174</f>
        <v>0.33363397059894739</v>
      </c>
      <c r="C174" s="50">
        <f>$V$5*Performance!$E$12*(1/A174)+Performance!$E$23*(1/Constraints!$V$5)*Constraints!A174</f>
        <v>0.51769955529515788</v>
      </c>
      <c r="D174" s="52">
        <f t="shared" si="10"/>
        <v>0.29540814251312264</v>
      </c>
      <c r="E174" s="52">
        <f>$V$4*Performance!$E$12*(1/A174)+Performance!$E$23*(1/Constraints!$V$9)*Constraints!A174</f>
        <v>0.33324558082440209</v>
      </c>
      <c r="F174" s="52">
        <f xml:space="preserve"> 1.21 / (9.81 * Constraints!$N$7 * Performance!$E$15 * Constraints!$N$5 ) * Constraints!A174 + 0.605 /Performance!$E$15 * (Performance!$E$16  - Constraints!$N$6 * Performance!$E$14) + Constraints!$N$6</f>
        <v>0.29536040230668725</v>
      </c>
      <c r="G174" s="54" t="s">
        <v>198</v>
      </c>
      <c r="H174" s="55">
        <f>SQRT(2/$V$3 * A174 * SQRT(Performance!$E$23 / (3 * Performance!$E$12)))</f>
        <v>11.434824664901383</v>
      </c>
      <c r="I174" s="55">
        <f>SQRT(2/$V$3 * A174 * (SQRT(Performance!$E$23)/(SQRT(3*Performance!$E$12 + 4* Performance!$E$23 * Performance!$E$11^2) - SQRT(Performance!$E$23)*Performance!$E$11)))</f>
        <v>12.028692723566403</v>
      </c>
      <c r="J174" t="e">
        <f xml:space="preserve"> $AC$3/G174 + $AC$6/A174 * Performance!$E$12 + Performance!$E$23/Constraints!$AC$6 * Constraints!A174</f>
        <v>#VALUE!</v>
      </c>
      <c r="K174">
        <f xml:space="preserve"> $AC$3/H174 + $AC$6/A174 * Performance!$E$12 + Performance!$E$23/Constraints!$AC$6 * Constraints!A174</f>
        <v>0.72462423895478079</v>
      </c>
      <c r="L174">
        <f xml:space="preserve"> $AC$3/I174 + $AC$6/A174 * Performance!$E$12 + Performance!$E$23/Constraints!$AC$6 * Constraints!A174</f>
        <v>0.70269085006540211</v>
      </c>
      <c r="M174">
        <f>SIN($AC$9 * PI()/180) + 1/Performance!$AE$5</f>
        <v>0.24073077270730886</v>
      </c>
      <c r="N174">
        <f>SIN($AC$9 * PI()/180) + 1/Performance!$AE$8</f>
        <v>0.22738716112204788</v>
      </c>
      <c r="O174" s="60">
        <f>$AC$16 * (Performance!$E$12/Constraints!A174 + Performance!$E$23 * (Constraints!$AC$13/Constraints!$AC$17)^2 * Constraints!A174)</f>
        <v>3.2462183847569592E-4</v>
      </c>
      <c r="P174" t="e">
        <f t="shared" si="11"/>
        <v>#VALUE!</v>
      </c>
      <c r="Q174">
        <f t="shared" si="12"/>
        <v>34.332232348034125</v>
      </c>
      <c r="R174">
        <f t="shared" si="13"/>
        <v>37.990926514875234</v>
      </c>
      <c r="S174" t="e">
        <f xml:space="preserve"> 1.667/G174 + P174/A174 * Performance!$E$12 + Performance!$E$23 / Constraints!P174 * Constraints!A174</f>
        <v>#VALUE!</v>
      </c>
      <c r="T174">
        <f xml:space="preserve"> 1.667/H174 + Q174/A174 * Performance!$E$12 + Performance!$E$23 / Constraints!Q174 * Constraints!A174</f>
        <v>0.25169570135071667</v>
      </c>
      <c r="U174">
        <f xml:space="preserve"> 1.667/I174 + R174/A174 * Performance!$E$12 + Performance!$E$23 / Constraints!R174 * Constraints!A174</f>
        <v>0.23672804652974372</v>
      </c>
    </row>
    <row r="175" spans="1:21" x14ac:dyDescent="0.3">
      <c r="A175" s="51">
        <v>86.5</v>
      </c>
      <c r="B175" s="50">
        <f>$V$4*Performance!$E$12*(1/A175)+Performance!$E$23*(1/Constraints!$V$4)*Constraints!A175</f>
        <v>0.33174495002532423</v>
      </c>
      <c r="C175" s="50">
        <f>$V$5*Performance!$E$12*(1/A175)+Performance!$E$23*(1/Constraints!$V$5)*Constraints!A175</f>
        <v>0.51473237467859267</v>
      </c>
      <c r="D175" s="52">
        <f t="shared" si="10"/>
        <v>0.29568042822540824</v>
      </c>
      <c r="E175" s="52">
        <f>$V$4*Performance!$E$12*(1/A175)+Performance!$E$23*(1/Constraints!$V$9)*Constraints!A175</f>
        <v>0.33135430217069439</v>
      </c>
      <c r="F175" s="52">
        <f xml:space="preserve"> 1.21 / (9.81 * Constraints!$N$7 * Performance!$E$15 * Constraints!$N$5 ) * Constraints!A175 + 0.605 /Performance!$E$15 * (Performance!$E$16  - Constraints!$N$6 * Performance!$E$14) + Constraints!$N$6</f>
        <v>0.29563241045963312</v>
      </c>
      <c r="G175" s="54" t="s">
        <v>198</v>
      </c>
      <c r="H175" s="55">
        <f>SQRT(2/$V$3 * A175 * SQRT(Performance!$E$23 / (3 * Performance!$E$12)))</f>
        <v>11.46801725914683</v>
      </c>
      <c r="I175" s="55">
        <f>SQRT(2/$V$3 * A175 * (SQRT(Performance!$E$23)/(SQRT(3*Performance!$E$12 + 4* Performance!$E$23 * Performance!$E$11^2) - SQRT(Performance!$E$23)*Performance!$E$11)))</f>
        <v>12.063609176470313</v>
      </c>
      <c r="J175" t="e">
        <f xml:space="preserve"> $AC$3/G175 + $AC$6/A175 * Performance!$E$12 + Performance!$E$23/Constraints!$AC$6 * Constraints!A175</f>
        <v>#VALUE!</v>
      </c>
      <c r="K175">
        <f xml:space="preserve"> $AC$3/H175 + $AC$6/A175 * Performance!$E$12 + Performance!$E$23/Constraints!$AC$6 * Constraints!A175</f>
        <v>0.72492123150482579</v>
      </c>
      <c r="L175">
        <f xml:space="preserve"> $AC$3/I175 + $AC$6/A175 * Performance!$E$12 + Performance!$E$23/Constraints!$AC$6 * Constraints!A175</f>
        <v>0.70305132578445373</v>
      </c>
      <c r="M175">
        <f>SIN($AC$9 * PI()/180) + 1/Performance!$AE$5</f>
        <v>0.24073077270730886</v>
      </c>
      <c r="N175">
        <f>SIN($AC$9 * PI()/180) + 1/Performance!$AE$8</f>
        <v>0.22738716112204788</v>
      </c>
      <c r="O175" s="60">
        <f>$AC$16 * (Performance!$E$12/Constraints!A175 + Performance!$E$23 * (Constraints!$AC$13/Constraints!$AC$17)^2 * Constraints!A175)</f>
        <v>3.2319627567549067E-4</v>
      </c>
      <c r="P175" t="e">
        <f t="shared" si="11"/>
        <v>#VALUE!</v>
      </c>
      <c r="Q175">
        <f t="shared" si="12"/>
        <v>34.531838350057591</v>
      </c>
      <c r="R175">
        <f t="shared" si="13"/>
        <v>38.211803994612879</v>
      </c>
      <c r="S175" t="e">
        <f xml:space="preserve"> 1.667/G175 + P175/A175 * Performance!$E$12 + Performance!$E$23 / Constraints!P175 * Constraints!A175</f>
        <v>#VALUE!</v>
      </c>
      <c r="T175">
        <f xml:space="preserve"> 1.667/H175 + Q175/A175 * Performance!$E$12 + Performance!$E$23 / Constraints!Q175 * Constraints!A175</f>
        <v>0.25127375333466762</v>
      </c>
      <c r="U175">
        <f xml:space="preserve"> 1.667/I175 + R175/A175 * Performance!$E$12 + Performance!$E$23 / Constraints!R175 * Constraints!A175</f>
        <v>0.23632693049061082</v>
      </c>
    </row>
    <row r="176" spans="1:21" x14ac:dyDescent="0.3">
      <c r="A176" s="51">
        <v>87</v>
      </c>
      <c r="B176" s="50">
        <f>$V$4*Performance!$E$12*(1/A176)+Performance!$E$23*(1/Constraints!$V$4)*Constraints!A176</f>
        <v>0.32987786999840313</v>
      </c>
      <c r="C176" s="50">
        <f>$V$5*Performance!$E$12*(1/A176)+Performance!$E$23*(1/Constraints!$V$5)*Constraints!A176</f>
        <v>0.5117994454237248</v>
      </c>
      <c r="D176" s="52">
        <f t="shared" si="10"/>
        <v>0.29595271393769385</v>
      </c>
      <c r="E176" s="52">
        <f>$V$4*Performance!$E$12*(1/A176)+Performance!$E$23*(1/Constraints!$V$9)*Constraints!A176</f>
        <v>0.32948496406368871</v>
      </c>
      <c r="F176" s="52">
        <f xml:space="preserve"> 1.21 / (9.81 * Constraints!$N$7 * Performance!$E$15 * Constraints!$N$5 ) * Constraints!A176 + 0.605 /Performance!$E$15 * (Performance!$E$16  - Constraints!$N$6 * Performance!$E$14) + Constraints!$N$6</f>
        <v>0.29590441861257899</v>
      </c>
      <c r="G176" s="54" t="s">
        <v>198</v>
      </c>
      <c r="H176" s="55">
        <f>SQRT(2/$V$3 * A176 * SQRT(Performance!$E$23 / (3 * Performance!$E$12)))</f>
        <v>11.501114058870215</v>
      </c>
      <c r="I176" s="55">
        <f>SQRT(2/$V$3 * A176 * (SQRT(Performance!$E$23)/(SQRT(3*Performance!$E$12 + 4* Performance!$E$23 * Performance!$E$11^2) - SQRT(Performance!$E$23)*Performance!$E$11)))</f>
        <v>12.098424859759975</v>
      </c>
      <c r="J176" t="e">
        <f xml:space="preserve"> $AC$3/G176 + $AC$6/A176 * Performance!$E$12 + Performance!$E$23/Constraints!$AC$6 * Constraints!A176</f>
        <v>#VALUE!</v>
      </c>
      <c r="K176">
        <f xml:space="preserve"> $AC$3/H176 + $AC$6/A176 * Performance!$E$12 + Performance!$E$23/Constraints!$AC$6 * Constraints!A176</f>
        <v>0.72522959540680665</v>
      </c>
      <c r="L176">
        <f xml:space="preserve"> $AC$3/I176 + $AC$6/A176 * Performance!$E$12 + Performance!$E$23/Constraints!$AC$6 * Constraints!A176</f>
        <v>0.70342262479740647</v>
      </c>
      <c r="M176">
        <f>SIN($AC$9 * PI()/180) + 1/Performance!$AE$5</f>
        <v>0.24073077270730886</v>
      </c>
      <c r="N176">
        <f>SIN($AC$9 * PI()/180) + 1/Performance!$AE$8</f>
        <v>0.22738716112204788</v>
      </c>
      <c r="O176" s="60">
        <f>$AC$16 * (Performance!$E$12/Constraints!A176 + Performance!$E$23 * (Constraints!$AC$13/Constraints!$AC$17)^2 * Constraints!A176)</f>
        <v>3.2178969733772452E-4</v>
      </c>
      <c r="P176" t="e">
        <f t="shared" si="11"/>
        <v>#VALUE!</v>
      </c>
      <c r="Q176">
        <f t="shared" si="12"/>
        <v>34.731444352081041</v>
      </c>
      <c r="R176">
        <f t="shared" si="13"/>
        <v>38.432681474350531</v>
      </c>
      <c r="S176" t="e">
        <f xml:space="preserve"> 1.667/G176 + P176/A176 * Performance!$E$12 + Performance!$E$23 / Constraints!P176 * Constraints!A176</f>
        <v>#VALUE!</v>
      </c>
      <c r="T176">
        <f xml:space="preserve"> 1.667/H176 + Q176/A176 * Performance!$E$12 + Performance!$E$23 / Constraints!Q176 * Constraints!A176</f>
        <v>0.25085544804792764</v>
      </c>
      <c r="U176">
        <f xml:space="preserve"> 1.667/I176 + R176/A176 * Performance!$E$12 + Performance!$E$23 / Constraints!R176 * Constraints!A176</f>
        <v>0.23592927733575869</v>
      </c>
    </row>
    <row r="177" spans="1:21" x14ac:dyDescent="0.3">
      <c r="A177" s="51">
        <v>87.5</v>
      </c>
      <c r="B177" s="50">
        <f>$V$4*Performance!$E$12*(1/A177)+Performance!$E$23*(1/Constraints!$V$4)*Constraints!A177</f>
        <v>0.32803235439452633</v>
      </c>
      <c r="C177" s="50">
        <f>$V$5*Performance!$E$12*(1/A177)+Performance!$E$23*(1/Constraints!$V$5)*Constraints!A177</f>
        <v>0.50890018036435369</v>
      </c>
      <c r="D177" s="52">
        <f t="shared" si="10"/>
        <v>0.29622499964997945</v>
      </c>
      <c r="E177" s="52">
        <f>$V$4*Performance!$E$12*(1/A177)+Performance!$E$23*(1/Constraints!$V$9)*Constraints!A177</f>
        <v>0.32763719037972733</v>
      </c>
      <c r="F177" s="52">
        <f xml:space="preserve"> 1.21 / (9.81 * Constraints!$N$7 * Performance!$E$15 * Constraints!$N$5 ) * Constraints!A177 + 0.605 /Performance!$E$15 * (Performance!$E$16  - Constraints!$N$6 * Performance!$E$14) + Constraints!$N$6</f>
        <v>0.29617642676552486</v>
      </c>
      <c r="G177" s="54" t="s">
        <v>198</v>
      </c>
      <c r="H177" s="55">
        <f>SQRT(2/$V$3 * A177 * SQRT(Performance!$E$23 / (3 * Performance!$E$12)))</f>
        <v>11.534115888710096</v>
      </c>
      <c r="I177" s="55">
        <f>SQRT(2/$V$3 * A177 * (SQRT(Performance!$E$23)/(SQRT(3*Performance!$E$12 + 4* Performance!$E$23 * Performance!$E$11^2) - SQRT(Performance!$E$23)*Performance!$E$11)))</f>
        <v>12.13314064090158</v>
      </c>
      <c r="J177" t="e">
        <f xml:space="preserve"> $AC$3/G177 + $AC$6/A177 * Performance!$E$12 + Performance!$E$23/Constraints!$AC$6 * Constraints!A177</f>
        <v>#VALUE!</v>
      </c>
      <c r="K177">
        <f xml:space="preserve"> $AC$3/H177 + $AC$6/A177 * Performance!$E$12 + Performance!$E$23/Constraints!$AC$6 * Constraints!A177</f>
        <v>0.72554916721225138</v>
      </c>
      <c r="L177">
        <f xml:space="preserve"> $AC$3/I177 + $AC$6/A177 * Performance!$E$12 + Performance!$E$23/Constraints!$AC$6 * Constraints!A177</f>
        <v>0.70380459149642771</v>
      </c>
      <c r="M177">
        <f>SIN($AC$9 * PI()/180) + 1/Performance!$AE$5</f>
        <v>0.24073077270730886</v>
      </c>
      <c r="N177">
        <f>SIN($AC$9 * PI()/180) + 1/Performance!$AE$8</f>
        <v>0.22738716112204788</v>
      </c>
      <c r="O177" s="60">
        <f>$AC$16 * (Performance!$E$12/Constraints!A177 + Performance!$E$23 * (Constraints!$AC$13/Constraints!$AC$17)^2 * Constraints!A177)</f>
        <v>3.2040177801447007E-4</v>
      </c>
      <c r="P177" t="e">
        <f t="shared" si="11"/>
        <v>#VALUE!</v>
      </c>
      <c r="Q177">
        <f t="shared" si="12"/>
        <v>34.931050354104507</v>
      </c>
      <c r="R177">
        <f t="shared" si="13"/>
        <v>38.653558954088176</v>
      </c>
      <c r="S177" t="e">
        <f xml:space="preserve"> 1.667/G177 + P177/A177 * Performance!$E$12 + Performance!$E$23 / Constraints!P177 * Constraints!A177</f>
        <v>#VALUE!</v>
      </c>
      <c r="T177">
        <f xml:space="preserve"> 1.667/H177 + Q177/A177 * Performance!$E$12 + Performance!$E$23 / Constraints!Q177 * Constraints!A177</f>
        <v>0.25044073337680817</v>
      </c>
      <c r="U177">
        <f xml:space="preserve"> 1.667/I177 + R177/A177 * Performance!$E$12 + Performance!$E$23 / Constraints!R177 * Constraints!A177</f>
        <v>0.23553503752440147</v>
      </c>
    </row>
    <row r="178" spans="1:21" x14ac:dyDescent="0.3">
      <c r="A178" s="51">
        <v>88</v>
      </c>
      <c r="B178" s="50">
        <f>$V$4*Performance!$E$12*(1/A178)+Performance!$E$23*(1/Constraints!$V$4)*Constraints!A178</f>
        <v>0.32620803563830103</v>
      </c>
      <c r="C178" s="50">
        <f>$V$5*Performance!$E$12*(1/A178)+Performance!$E$23*(1/Constraints!$V$5)*Constraints!A178</f>
        <v>0.50603400567896517</v>
      </c>
      <c r="D178" s="52">
        <f t="shared" si="10"/>
        <v>0.29649728536226505</v>
      </c>
      <c r="E178" s="52">
        <f>$V$4*Performance!$E$12*(1/A178)+Performance!$E$23*(1/Constraints!$V$9)*Constraints!A178</f>
        <v>0.3258106135434175</v>
      </c>
      <c r="F178" s="52">
        <f xml:space="preserve"> 1.21 / (9.81 * Constraints!$N$7 * Performance!$E$15 * Constraints!$N$5 ) * Constraints!A178 + 0.605 /Performance!$E$15 * (Performance!$E$16  - Constraints!$N$6 * Performance!$E$14) + Constraints!$N$6</f>
        <v>0.29644843491847073</v>
      </c>
      <c r="G178" s="54" t="s">
        <v>198</v>
      </c>
      <c r="H178" s="55">
        <f>SQRT(2/$V$3 * A178 * SQRT(Performance!$E$23 / (3 * Performance!$E$12)))</f>
        <v>11.567023561541111</v>
      </c>
      <c r="I178" s="55">
        <f>SQRT(2/$V$3 * A178 * (SQRT(Performance!$E$23)/(SQRT(3*Performance!$E$12 + 4* Performance!$E$23 * Performance!$E$11^2) - SQRT(Performance!$E$23)*Performance!$E$11)))</f>
        <v>12.167757374986444</v>
      </c>
      <c r="J178" t="e">
        <f xml:space="preserve"> $AC$3/G178 + $AC$6/A178 * Performance!$E$12 + Performance!$E$23/Constraints!$AC$6 * Constraints!A178</f>
        <v>#VALUE!</v>
      </c>
      <c r="K178">
        <f xml:space="preserve"> $AC$3/H178 + $AC$6/A178 * Performance!$E$12 + Performance!$E$23/Constraints!$AC$6 * Constraints!A178</f>
        <v>0.7258797867407708</v>
      </c>
      <c r="L178">
        <f xml:space="preserve"> $AC$3/I178 + $AC$6/A178 * Performance!$E$12 + Performance!$E$23/Constraints!$AC$6 * Constraints!A178</f>
        <v>0.70419707338562265</v>
      </c>
      <c r="M178">
        <f>SIN($AC$9 * PI()/180) + 1/Performance!$AE$5</f>
        <v>0.24073077270730886</v>
      </c>
      <c r="N178">
        <f>SIN($AC$9 * PI()/180) + 1/Performance!$AE$8</f>
        <v>0.22738716112204788</v>
      </c>
      <c r="O178" s="60">
        <f>$AC$16 * (Performance!$E$12/Constraints!A178 + Performance!$E$23 * (Constraints!$AC$13/Constraints!$AC$17)^2 * Constraints!A178)</f>
        <v>3.1903219965434342E-4</v>
      </c>
      <c r="P178" t="e">
        <f t="shared" si="11"/>
        <v>#VALUE!</v>
      </c>
      <c r="Q178">
        <f t="shared" si="12"/>
        <v>35.13065635612795</v>
      </c>
      <c r="R178">
        <f t="shared" si="13"/>
        <v>38.874436433825821</v>
      </c>
      <c r="S178" t="e">
        <f xml:space="preserve"> 1.667/G178 + P178/A178 * Performance!$E$12 + Performance!$E$23 / Constraints!P178 * Constraints!A178</f>
        <v>#VALUE!</v>
      </c>
      <c r="T178">
        <f xml:space="preserve"> 1.667/H178 + Q178/A178 * Performance!$E$12 + Performance!$E$23 / Constraints!Q178 * Constraints!A178</f>
        <v>0.25002955824545303</v>
      </c>
      <c r="U178">
        <f xml:space="preserve"> 1.667/I178 + R178/A178 * Performance!$E$12 + Performance!$E$23 / Constraints!R178 * Constraints!A178</f>
        <v>0.23514416250234671</v>
      </c>
    </row>
    <row r="179" spans="1:21" x14ac:dyDescent="0.3">
      <c r="A179" s="51">
        <v>88.5</v>
      </c>
      <c r="B179" s="50">
        <f>$V$4*Performance!$E$12*(1/A179)+Performance!$E$23*(1/Constraints!$V$4)*Constraints!A179</f>
        <v>0.32440455446112298</v>
      </c>
      <c r="C179" s="50">
        <f>$V$5*Performance!$E$12*(1/A179)+Performance!$E$23*(1/Constraints!$V$5)*Constraints!A179</f>
        <v>0.50320036051376293</v>
      </c>
      <c r="D179" s="52">
        <f t="shared" si="10"/>
        <v>0.29676957107455065</v>
      </c>
      <c r="E179" s="52">
        <f>$V$4*Performance!$E$12*(1/A179)+Performance!$E$23*(1/Constraints!$V$9)*Constraints!A179</f>
        <v>0.32400487428615482</v>
      </c>
      <c r="F179" s="52">
        <f xml:space="preserve"> 1.21 / (9.81 * Constraints!$N$7 * Performance!$E$15 * Constraints!$N$5 ) * Constraints!A179 + 0.605 /Performance!$E$15 * (Performance!$E$16  - Constraints!$N$6 * Performance!$E$14) + Constraints!$N$6</f>
        <v>0.29672044307141654</v>
      </c>
      <c r="G179" s="54" t="s">
        <v>198</v>
      </c>
      <c r="H179" s="55">
        <f>SQRT(2/$V$3 * A179 * SQRT(Performance!$E$23 / (3 * Performance!$E$12)))</f>
        <v>11.599837878707605</v>
      </c>
      <c r="I179" s="55">
        <f>SQRT(2/$V$3 * A179 * (SQRT(Performance!$E$23)/(SQRT(3*Performance!$E$12 + 4* Performance!$E$23 * Performance!$E$11^2) - SQRT(Performance!$E$23)*Performance!$E$11)))</f>
        <v>12.20227590497676</v>
      </c>
      <c r="J179" t="e">
        <f xml:space="preserve"> $AC$3/G179 + $AC$6/A179 * Performance!$E$12 + Performance!$E$23/Constraints!$AC$6 * Constraints!A179</f>
        <v>#VALUE!</v>
      </c>
      <c r="K179">
        <f xml:space="preserve"> $AC$3/H179 + $AC$6/A179 * Performance!$E$12 + Performance!$E$23/Constraints!$AC$6 * Constraints!A179</f>
        <v>0.72622129699655968</v>
      </c>
      <c r="L179">
        <f xml:space="preserve"> $AC$3/I179 + $AC$6/A179 * Performance!$E$12 + Performance!$E$23/Constraints!$AC$6 * Constraints!A179</f>
        <v>0.70459992100151136</v>
      </c>
      <c r="M179">
        <f>SIN($AC$9 * PI()/180) + 1/Performance!$AE$5</f>
        <v>0.24073077270730886</v>
      </c>
      <c r="N179">
        <f>SIN($AC$9 * PI()/180) + 1/Performance!$AE$8</f>
        <v>0.22738716112204788</v>
      </c>
      <c r="O179" s="60">
        <f>$AC$16 * (Performance!$E$12/Constraints!A179 + Performance!$E$23 * (Constraints!$AC$13/Constraints!$AC$17)^2 * Constraints!A179)</f>
        <v>3.1768065139356293E-4</v>
      </c>
      <c r="P179" t="e">
        <f t="shared" si="11"/>
        <v>#VALUE!</v>
      </c>
      <c r="Q179">
        <f t="shared" si="12"/>
        <v>35.330262358151408</v>
      </c>
      <c r="R179">
        <f t="shared" si="13"/>
        <v>39.095313913563473</v>
      </c>
      <c r="S179" t="e">
        <f xml:space="preserve"> 1.667/G179 + P179/A179 * Performance!$E$12 + Performance!$E$23 / Constraints!P179 * Constraints!A179</f>
        <v>#VALUE!</v>
      </c>
      <c r="T179">
        <f xml:space="preserve"> 1.667/H179 + Q179/A179 * Performance!$E$12 + Performance!$E$23 / Constraints!Q179 * Constraints!A179</f>
        <v>0.24962187258941512</v>
      </c>
      <c r="U179">
        <f xml:space="preserve"> 1.667/I179 + R179/A179 * Performance!$E$12 + Performance!$E$23 / Constraints!R179 * Constraints!A179</f>
        <v>0.23475660467687698</v>
      </c>
    </row>
    <row r="180" spans="1:21" x14ac:dyDescent="0.3">
      <c r="A180" s="51">
        <v>89</v>
      </c>
      <c r="B180" s="50">
        <f>$V$4*Performance!$E$12*(1/A180)+Performance!$E$23*(1/Constraints!$V$4)*Constraints!A180</f>
        <v>0.32262155966783967</v>
      </c>
      <c r="C180" s="50">
        <f>$V$5*Performance!$E$12*(1/A180)+Performance!$E$23*(1/Constraints!$V$5)*Constraints!A180</f>
        <v>0.50039869661840675</v>
      </c>
      <c r="D180" s="52">
        <f t="shared" si="10"/>
        <v>0.29704185678683626</v>
      </c>
      <c r="E180" s="52">
        <f>$V$4*Performance!$E$12*(1/A180)+Performance!$E$23*(1/Constraints!$V$9)*Constraints!A180</f>
        <v>0.32221962141278698</v>
      </c>
      <c r="F180" s="52">
        <f xml:space="preserve"> 1.21 / (9.81 * Constraints!$N$7 * Performance!$E$15 * Constraints!$N$5 ) * Constraints!A180 + 0.605 /Performance!$E$15 * (Performance!$E$16  - Constraints!$N$6 * Performance!$E$14) + Constraints!$N$6</f>
        <v>0.29699245122436241</v>
      </c>
      <c r="G180" s="54" t="s">
        <v>198</v>
      </c>
      <c r="H180" s="55">
        <f>SQRT(2/$V$3 * A180 * SQRT(Performance!$E$23 / (3 * Performance!$E$12)))</f>
        <v>11.632559630251302</v>
      </c>
      <c r="I180" s="55">
        <f>SQRT(2/$V$3 * A180 * (SQRT(Performance!$E$23)/(SQRT(3*Performance!$E$12 + 4* Performance!$E$23 * Performance!$E$11^2) - SQRT(Performance!$E$23)*Performance!$E$11)))</f>
        <v>12.236697061945099</v>
      </c>
      <c r="J180" t="e">
        <f xml:space="preserve"> $AC$3/G180 + $AC$6/A180 * Performance!$E$12 + Performance!$E$23/Constraints!$AC$6 * Constraints!A180</f>
        <v>#VALUE!</v>
      </c>
      <c r="K180">
        <f xml:space="preserve"> $AC$3/H180 + $AC$6/A180 * Performance!$E$12 + Performance!$E$23/Constraints!$AC$6 * Constraints!A180</f>
        <v>0.72657354408748986</v>
      </c>
      <c r="L180">
        <f xml:space="preserve"> $AC$3/I180 + $AC$6/A180 * Performance!$E$12 + Performance!$E$23/Constraints!$AC$6 * Constraints!A180</f>
        <v>0.70501298783597455</v>
      </c>
      <c r="M180">
        <f>SIN($AC$9 * PI()/180) + 1/Performance!$AE$5</f>
        <v>0.24073077270730886</v>
      </c>
      <c r="N180">
        <f>SIN($AC$9 * PI()/180) + 1/Performance!$AE$8</f>
        <v>0.22738716112204788</v>
      </c>
      <c r="O180" s="60">
        <f>$AC$16 * (Performance!$E$12/Constraints!A180 + Performance!$E$23 * (Constraints!$AC$13/Constraints!$AC$17)^2 * Constraints!A180)</f>
        <v>3.1634682935404958E-4</v>
      </c>
      <c r="P180" t="e">
        <f t="shared" si="11"/>
        <v>#VALUE!</v>
      </c>
      <c r="Q180">
        <f t="shared" si="12"/>
        <v>35.529868360174866</v>
      </c>
      <c r="R180">
        <f t="shared" si="13"/>
        <v>39.316191393301111</v>
      </c>
      <c r="S180" t="e">
        <f xml:space="preserve"> 1.667/G180 + P180/A180 * Performance!$E$12 + Performance!$E$23 / Constraints!P180 * Constraints!A180</f>
        <v>#VALUE!</v>
      </c>
      <c r="T180">
        <f xml:space="preserve"> 1.667/H180 + Q180/A180 * Performance!$E$12 + Performance!$E$23 / Constraints!Q180 * Constraints!A180</f>
        <v>0.24921762733005109</v>
      </c>
      <c r="U180">
        <f xml:space="preserve"> 1.667/I180 + R180/A180 * Performance!$E$12 + Performance!$E$23 / Constraints!R180 * Constraints!A180</f>
        <v>0.23437231739240855</v>
      </c>
    </row>
    <row r="181" spans="1:21" x14ac:dyDescent="0.3">
      <c r="A181" s="51">
        <v>89.5</v>
      </c>
      <c r="B181" s="50">
        <f>$V$4*Performance!$E$12*(1/A181)+Performance!$E$23*(1/Constraints!$V$4)*Constraints!A181</f>
        <v>0.32085870791123505</v>
      </c>
      <c r="C181" s="50">
        <f>$V$5*Performance!$E$12*(1/A181)+Performance!$E$23*(1/Constraints!$V$5)*Constraints!A181</f>
        <v>0.49762847799396076</v>
      </c>
      <c r="D181" s="52">
        <f t="shared" si="10"/>
        <v>0.29731414249912186</v>
      </c>
      <c r="E181" s="52">
        <f>$V$4*Performance!$E$12*(1/A181)+Performance!$E$23*(1/Constraints!$V$9)*Constraints!A181</f>
        <v>0.32045451157609778</v>
      </c>
      <c r="F181" s="52">
        <f xml:space="preserve"> 1.21 / (9.81 * Constraints!$N$7 * Performance!$E$15 * Constraints!$N$5 ) * Constraints!A181 + 0.605 /Performance!$E$15 * (Performance!$E$16  - Constraints!$N$6 * Performance!$E$14) + Constraints!$N$6</f>
        <v>0.29726445937730828</v>
      </c>
      <c r="G181" s="54" t="s">
        <v>198</v>
      </c>
      <c r="H181" s="55">
        <f>SQRT(2/$V$3 * A181 * SQRT(Performance!$E$23 / (3 * Performance!$E$12)))</f>
        <v>11.66518959513324</v>
      </c>
      <c r="I181" s="55">
        <f>SQRT(2/$V$3 * A181 * (SQRT(Performance!$E$23)/(SQRT(3*Performance!$E$12 + 4* Performance!$E$23 * Performance!$E$11^2) - SQRT(Performance!$E$23)*Performance!$E$11)))</f>
        <v>12.271021665307874</v>
      </c>
      <c r="J181" t="e">
        <f xml:space="preserve"> $AC$3/G181 + $AC$6/A181 * Performance!$E$12 + Performance!$E$23/Constraints!$AC$6 * Constraints!A181</f>
        <v>#VALUE!</v>
      </c>
      <c r="K181">
        <f xml:space="preserve"> $AC$3/H181 + $AC$6/A181 * Performance!$E$12 + Performance!$E$23/Constraints!$AC$6 * Constraints!A181</f>
        <v>0.72693637714670056</v>
      </c>
      <c r="L181">
        <f xml:space="preserve"> $AC$3/I181 + $AC$6/A181 * Performance!$E$12 + Performance!$E$23/Constraints!$AC$6 * Constraints!A181</f>
        <v>0.70543613026157681</v>
      </c>
      <c r="M181">
        <f>SIN($AC$9 * PI()/180) + 1/Performance!$AE$5</f>
        <v>0.24073077270730886</v>
      </c>
      <c r="N181">
        <f>SIN($AC$9 * PI()/180) + 1/Performance!$AE$8</f>
        <v>0.22738716112204788</v>
      </c>
      <c r="O181" s="60">
        <f>$AC$16 * (Performance!$E$12/Constraints!A181 + Performance!$E$23 * (Constraints!$AC$13/Constraints!$AC$17)^2 * Constraints!A181)</f>
        <v>3.1503043644829623E-4</v>
      </c>
      <c r="P181" t="e">
        <f t="shared" si="11"/>
        <v>#VALUE!</v>
      </c>
      <c r="Q181">
        <f t="shared" si="12"/>
        <v>35.72947436219831</v>
      </c>
      <c r="R181">
        <f t="shared" si="13"/>
        <v>39.537068873038756</v>
      </c>
      <c r="S181" t="e">
        <f xml:space="preserve"> 1.667/G181 + P181/A181 * Performance!$E$12 + Performance!$E$23 / Constraints!P181 * Constraints!A181</f>
        <v>#VALUE!</v>
      </c>
      <c r="T181">
        <f xml:space="preserve"> 1.667/H181 + Q181/A181 * Performance!$E$12 + Performance!$E$23 / Constraints!Q181 * Constraints!A181</f>
        <v>0.24881677434970398</v>
      </c>
      <c r="U181">
        <f xml:space="preserve"> 1.667/I181 + R181/A181 * Performance!$E$12 + Performance!$E$23 / Constraints!R181 * Constraints!A181</f>
        <v>0.23399125490689893</v>
      </c>
    </row>
    <row r="182" spans="1:21" x14ac:dyDescent="0.3">
      <c r="A182" s="51">
        <v>90</v>
      </c>
      <c r="B182" s="50">
        <f>$V$4*Performance!$E$12*(1/A182)+Performance!$E$23*(1/Constraints!$V$4)*Constraints!A182</f>
        <v>0.31911566347403109</v>
      </c>
      <c r="C182" s="50">
        <f>$V$5*Performance!$E$12*(1/A182)+Performance!$E$23*(1/Constraints!$V$5)*Constraints!A182</f>
        <v>0.49488918055257636</v>
      </c>
      <c r="D182" s="52">
        <f t="shared" si="10"/>
        <v>0.29758642821140746</v>
      </c>
      <c r="E182" s="52">
        <f>$V$4*Performance!$E$12*(1/A182)+Performance!$E$23*(1/Constraints!$V$9)*Constraints!A182</f>
        <v>0.31870920905880928</v>
      </c>
      <c r="F182" s="52">
        <f xml:space="preserve"> 1.21 / (9.81 * Constraints!$N$7 * Performance!$E$15 * Constraints!$N$5 ) * Constraints!A182 + 0.605 /Performance!$E$15 * (Performance!$E$16  - Constraints!$N$6 * Performance!$E$14) + Constraints!$N$6</f>
        <v>0.29753646753025415</v>
      </c>
      <c r="G182" s="54" t="s">
        <v>198</v>
      </c>
      <c r="H182" s="55">
        <f>SQRT(2/$V$3 * A182 * SQRT(Performance!$E$23 / (3 * Performance!$E$12)))</f>
        <v>11.697728541450147</v>
      </c>
      <c r="I182" s="55">
        <f>SQRT(2/$V$3 * A182 * (SQRT(Performance!$E$23)/(SQRT(3*Performance!$E$12 + 4* Performance!$E$23 * Performance!$E$11^2) - SQRT(Performance!$E$23)*Performance!$E$11)))</f>
        <v>12.305250523052941</v>
      </c>
      <c r="J182" t="e">
        <f xml:space="preserve"> $AC$3/G182 + $AC$6/A182 * Performance!$E$12 + Performance!$E$23/Constraints!$AC$6 * Constraints!A182</f>
        <v>#VALUE!</v>
      </c>
      <c r="K182">
        <f xml:space="preserve"> $AC$3/H182 + $AC$6/A182 * Performance!$E$12 + Performance!$E$23/Constraints!$AC$6 * Constraints!A182</f>
        <v>0.72730964825659472</v>
      </c>
      <c r="L182">
        <f xml:space="preserve"> $AC$3/I182 + $AC$6/A182 * Performance!$E$12 + Performance!$E$23/Constraints!$AC$6 * Constraints!A182</f>
        <v>0.70586920745918424</v>
      </c>
      <c r="M182">
        <f>SIN($AC$9 * PI()/180) + 1/Performance!$AE$5</f>
        <v>0.24073077270730886</v>
      </c>
      <c r="N182">
        <f>SIN($AC$9 * PI()/180) + 1/Performance!$AE$8</f>
        <v>0.22738716112204788</v>
      </c>
      <c r="O182" s="60">
        <f>$AC$16 * (Performance!$E$12/Constraints!A182 + Performance!$E$23 * (Constraints!$AC$13/Constraints!$AC$17)^2 * Constraints!A182)</f>
        <v>3.1373118219074007E-4</v>
      </c>
      <c r="P182" t="e">
        <f t="shared" si="11"/>
        <v>#VALUE!</v>
      </c>
      <c r="Q182">
        <f t="shared" si="12"/>
        <v>35.929080364221775</v>
      </c>
      <c r="R182">
        <f t="shared" si="13"/>
        <v>39.757946352776408</v>
      </c>
      <c r="S182" t="e">
        <f xml:space="preserve"> 1.667/G182 + P182/A182 * Performance!$E$12 + Performance!$E$23 / Constraints!P182 * Constraints!A182</f>
        <v>#VALUE!</v>
      </c>
      <c r="T182">
        <f xml:space="preserve"> 1.667/H182 + Q182/A182 * Performance!$E$12 + Performance!$E$23 / Constraints!Q182 * Constraints!A182</f>
        <v>0.24841926646764423</v>
      </c>
      <c r="U182">
        <f xml:space="preserve"> 1.667/I182 + R182/A182 * Performance!$E$12 + Performance!$E$23 / Constraints!R182 * Constraints!A182</f>
        <v>0.23361337236897659</v>
      </c>
    </row>
    <row r="183" spans="1:21" x14ac:dyDescent="0.3">
      <c r="A183" s="51">
        <v>90.5</v>
      </c>
      <c r="B183" s="50">
        <f>$V$4*Performance!$E$12*(1/A183)+Performance!$E$23*(1/Constraints!$V$4)*Constraints!A183</f>
        <v>0.31739209805811608</v>
      </c>
      <c r="C183" s="50">
        <f>$V$5*Performance!$E$12*(1/A183)+Performance!$E$23*(1/Constraints!$V$5)*Constraints!A183</f>
        <v>0.49218029178845696</v>
      </c>
      <c r="D183" s="52">
        <f t="shared" si="10"/>
        <v>0.29785871392369301</v>
      </c>
      <c r="E183" s="52">
        <f>$V$4*Performance!$E$12*(1/A183)+Performance!$E$23*(1/Constraints!$V$9)*Constraints!A183</f>
        <v>0.31698338556280969</v>
      </c>
      <c r="F183" s="52">
        <f xml:space="preserve"> 1.21 / (9.81 * Constraints!$N$7 * Performance!$E$15 * Constraints!$N$5 ) * Constraints!A183 + 0.605 /Performance!$E$15 * (Performance!$E$16  - Constraints!$N$6 * Performance!$E$14) + Constraints!$N$6</f>
        <v>0.29780847568319996</v>
      </c>
      <c r="G183" s="54" t="s">
        <v>198</v>
      </c>
      <c r="H183" s="55">
        <f>SQRT(2/$V$3 * A183 * SQRT(Performance!$E$23 / (3 * Performance!$E$12)))</f>
        <v>11.730177226645381</v>
      </c>
      <c r="I183" s="55">
        <f>SQRT(2/$V$3 * A183 * (SQRT(Performance!$E$23)/(SQRT(3*Performance!$E$12 + 4* Performance!$E$23 * Performance!$E$11^2) - SQRT(Performance!$E$23)*Performance!$E$11)))</f>
        <v>12.339384431961511</v>
      </c>
      <c r="J183" t="e">
        <f xml:space="preserve"> $AC$3/G183 + $AC$6/A183 * Performance!$E$12 + Performance!$E$23/Constraints!$AC$6 * Constraints!A183</f>
        <v>#VALUE!</v>
      </c>
      <c r="K183">
        <f xml:space="preserve"> $AC$3/H183 + $AC$6/A183 * Performance!$E$12 + Performance!$E$23/Constraints!$AC$6 * Constraints!A183</f>
        <v>0.72769321237515783</v>
      </c>
      <c r="L183">
        <f xml:space="preserve"> $AC$3/I183 + $AC$6/A183 * Performance!$E$12 + Performance!$E$23/Constraints!$AC$6 * Constraints!A183</f>
        <v>0.70631208134779089</v>
      </c>
      <c r="M183">
        <f>SIN($AC$9 * PI()/180) + 1/Performance!$AE$5</f>
        <v>0.24073077270730886</v>
      </c>
      <c r="N183">
        <f>SIN($AC$9 * PI()/180) + 1/Performance!$AE$8</f>
        <v>0.22738716112204788</v>
      </c>
      <c r="O183" s="60">
        <f>$AC$16 * (Performance!$E$12/Constraints!A183 + Performance!$E$23 * (Constraints!$AC$13/Constraints!$AC$17)^2 * Constraints!A183)</f>
        <v>3.1244878251538897E-4</v>
      </c>
      <c r="P183" t="e">
        <f t="shared" si="11"/>
        <v>#VALUE!</v>
      </c>
      <c r="Q183">
        <f t="shared" si="12"/>
        <v>36.128686366245226</v>
      </c>
      <c r="R183">
        <f t="shared" si="13"/>
        <v>39.978823832514067</v>
      </c>
      <c r="S183" t="e">
        <f xml:space="preserve"> 1.667/G183 + P183/A183 * Performance!$E$12 + Performance!$E$23 / Constraints!P183 * Constraints!A183</f>
        <v>#VALUE!</v>
      </c>
      <c r="T183">
        <f xml:space="preserve"> 1.667/H183 + Q183/A183 * Performance!$E$12 + Performance!$E$23 / Constraints!Q183 * Constraints!A183</f>
        <v>0.24802505741674441</v>
      </c>
      <c r="U183">
        <f xml:space="preserve"> 1.667/I183 + R183/A183 * Performance!$E$12 + Performance!$E$23 / Constraints!R183 * Constraints!A183</f>
        <v>0.23323862579576624</v>
      </c>
    </row>
    <row r="184" spans="1:21" x14ac:dyDescent="0.3">
      <c r="A184" s="51">
        <v>91</v>
      </c>
      <c r="B184" s="50">
        <f>$V$4*Performance!$E$12*(1/A184)+Performance!$E$23*(1/Constraints!$V$4)*Constraints!A184</f>
        <v>0.31568769058072177</v>
      </c>
      <c r="C184" s="50">
        <f>$V$5*Performance!$E$12*(1/A184)+Performance!$E$23*(1/Constraints!$V$5)*Constraints!A184</f>
        <v>0.48950131045966966</v>
      </c>
      <c r="D184" s="52">
        <f t="shared" si="10"/>
        <v>0.29813099963597861</v>
      </c>
      <c r="E184" s="52">
        <f>$V$4*Performance!$E$12*(1/A184)+Performance!$E$23*(1/Constraints!$V$9)*Constraints!A184</f>
        <v>0.31527672000533086</v>
      </c>
      <c r="F184" s="52">
        <f xml:space="preserve"> 1.21 / (9.81 * Constraints!$N$7 * Performance!$E$15 * Constraints!$N$5 ) * Constraints!A184 + 0.605 /Performance!$E$15 * (Performance!$E$16  - Constraints!$N$6 * Performance!$E$14) + Constraints!$N$6</f>
        <v>0.29808048383614583</v>
      </c>
      <c r="G184" s="54" t="s">
        <v>198</v>
      </c>
      <c r="H184" s="55">
        <f>SQRT(2/$V$3 * A184 * SQRT(Performance!$E$23 / (3 * Performance!$E$12)))</f>
        <v>11.762536397714673</v>
      </c>
      <c r="I184" s="55">
        <f>SQRT(2/$V$3 * A184 * (SQRT(Performance!$E$23)/(SQRT(3*Performance!$E$12 + 4* Performance!$E$23 * Performance!$E$11^2) - SQRT(Performance!$E$23)*Performance!$E$11)))</f>
        <v>12.373424177824564</v>
      </c>
      <c r="J184" t="e">
        <f xml:space="preserve"> $AC$3/G184 + $AC$6/A184 * Performance!$E$12 + Performance!$E$23/Constraints!$AC$6 * Constraints!A184</f>
        <v>#VALUE!</v>
      </c>
      <c r="K184">
        <f xml:space="preserve"> $AC$3/H184 + $AC$6/A184 * Performance!$E$12 + Performance!$E$23/Constraints!$AC$6 * Constraints!A184</f>
        <v>0.72808692726451052</v>
      </c>
      <c r="L184">
        <f xml:space="preserve"> $AC$3/I184 + $AC$6/A184 * Performance!$E$12 + Performance!$E$23/Constraints!$AC$6 * Constraints!A184</f>
        <v>0.70676461651647593</v>
      </c>
      <c r="M184">
        <f>SIN($AC$9 * PI()/180) + 1/Performance!$AE$5</f>
        <v>0.24073077270730886</v>
      </c>
      <c r="N184">
        <f>SIN($AC$9 * PI()/180) + 1/Performance!$AE$8</f>
        <v>0.22738716112204788</v>
      </c>
      <c r="O184" s="60">
        <f>$AC$16 * (Performance!$E$12/Constraints!A184 + Performance!$E$23 * (Constraints!$AC$13/Constraints!$AC$17)^2 * Constraints!A184)</f>
        <v>3.1118295959945932E-4</v>
      </c>
      <c r="P184" t="e">
        <f t="shared" si="11"/>
        <v>#VALUE!</v>
      </c>
      <c r="Q184">
        <f t="shared" si="12"/>
        <v>36.328292368268684</v>
      </c>
      <c r="R184">
        <f t="shared" si="13"/>
        <v>40.199701312251698</v>
      </c>
      <c r="S184" t="e">
        <f xml:space="preserve"> 1.667/G184 + P184/A184 * Performance!$E$12 + Performance!$E$23 / Constraints!P184 * Constraints!A184</f>
        <v>#VALUE!</v>
      </c>
      <c r="T184">
        <f xml:space="preserve"> 1.667/H184 + Q184/A184 * Performance!$E$12 + Performance!$E$23 / Constraints!Q184 * Constraints!A184</f>
        <v>0.24763410182085838</v>
      </c>
      <c r="U184">
        <f xml:space="preserve"> 1.667/I184 + R184/A184 * Performance!$E$12 + Performance!$E$23 / Constraints!R184 * Constraints!A184</f>
        <v>0.23286697205138551</v>
      </c>
    </row>
    <row r="185" spans="1:21" x14ac:dyDescent="0.3">
      <c r="A185" s="51">
        <v>91.5</v>
      </c>
      <c r="B185" s="50">
        <f>$V$4*Performance!$E$12*(1/A185)+Performance!$E$23*(1/Constraints!$V$4)*Constraints!A185</f>
        <v>0.31400212697728197</v>
      </c>
      <c r="C185" s="50">
        <f>$V$5*Performance!$E$12*(1/A185)+Performance!$E$23*(1/Constraints!$V$5)*Constraints!A185</f>
        <v>0.4868517462803893</v>
      </c>
      <c r="D185" s="52">
        <f t="shared" si="10"/>
        <v>0.29840328534826421</v>
      </c>
      <c r="E185" s="52">
        <f>$V$4*Performance!$E$12*(1/A185)+Performance!$E$23*(1/Constraints!$V$9)*Constraints!A185</f>
        <v>0.31358889832180648</v>
      </c>
      <c r="F185" s="52">
        <f xml:space="preserve"> 1.21 / (9.81 * Constraints!$N$7 * Performance!$E$15 * Constraints!$N$5 ) * Constraints!A185 + 0.605 /Performance!$E$15 * (Performance!$E$16  - Constraints!$N$6 * Performance!$E$14) + Constraints!$N$6</f>
        <v>0.29835249198909169</v>
      </c>
      <c r="G185" s="54" t="s">
        <v>198</v>
      </c>
      <c r="H185" s="55">
        <f>SQRT(2/$V$3 * A185 * SQRT(Performance!$E$23 / (3 * Performance!$E$12)))</f>
        <v>11.794806791406758</v>
      </c>
      <c r="I185" s="55">
        <f>SQRT(2/$V$3 * A185 * (SQRT(Performance!$E$23)/(SQRT(3*Performance!$E$12 + 4* Performance!$E$23 * Performance!$E$11^2) - SQRT(Performance!$E$23)*Performance!$E$11)))</f>
        <v>12.407370535653914</v>
      </c>
      <c r="J185" t="e">
        <f xml:space="preserve"> $AC$3/G185 + $AC$6/A185 * Performance!$E$12 + Performance!$E$23/Constraints!$AC$6 * Constraints!A185</f>
        <v>#VALUE!</v>
      </c>
      <c r="K185">
        <f xml:space="preserve"> $AC$3/H185 + $AC$6/A185 * Performance!$E$12 + Performance!$E$23/Constraints!$AC$6 * Constraints!A185</f>
        <v>0.72849065342162</v>
      </c>
      <c r="L185">
        <f xml:space="preserve"> $AC$3/I185 + $AC$6/A185 * Performance!$E$12 + Performance!$E$23/Constraints!$AC$6 * Constraints!A185</f>
        <v>0.70722668015841517</v>
      </c>
      <c r="M185">
        <f>SIN($AC$9 * PI()/180) + 1/Performance!$AE$5</f>
        <v>0.24073077270730886</v>
      </c>
      <c r="N185">
        <f>SIN($AC$9 * PI()/180) + 1/Performance!$AE$8</f>
        <v>0.22738716112204788</v>
      </c>
      <c r="O185" s="60">
        <f>$AC$16 * (Performance!$E$12/Constraints!A185 + Performance!$E$23 * (Constraints!$AC$13/Constraints!$AC$17)^2 * Constraints!A185)</f>
        <v>3.0993344169279668E-4</v>
      </c>
      <c r="P185" t="e">
        <f t="shared" si="11"/>
        <v>#VALUE!</v>
      </c>
      <c r="Q185">
        <f t="shared" si="12"/>
        <v>36.527898370292128</v>
      </c>
      <c r="R185">
        <f t="shared" si="13"/>
        <v>40.42057879198935</v>
      </c>
      <c r="S185" t="e">
        <f xml:space="preserve"> 1.667/G185 + P185/A185 * Performance!$E$12 + Performance!$E$23 / Constraints!P185 * Constraints!A185</f>
        <v>#VALUE!</v>
      </c>
      <c r="T185">
        <f xml:space="preserve"> 1.667/H185 + Q185/A185 * Performance!$E$12 + Performance!$E$23 / Constraints!Q185 * Constraints!A185</f>
        <v>0.2472463551728819</v>
      </c>
      <c r="U185">
        <f xml:space="preserve"> 1.667/I185 + R185/A185 * Performance!$E$12 + Performance!$E$23 / Constraints!R185 * Constraints!A185</f>
        <v>0.2324983688260884</v>
      </c>
    </row>
    <row r="186" spans="1:21" x14ac:dyDescent="0.3">
      <c r="A186" s="51">
        <v>92</v>
      </c>
      <c r="B186" s="50">
        <f>$V$4*Performance!$E$12*(1/A186)+Performance!$E$23*(1/Constraints!$V$4)*Constraints!A186</f>
        <v>0.31233510001072157</v>
      </c>
      <c r="C186" s="50">
        <f>$V$5*Performance!$E$12*(1/A186)+Performance!$E$23*(1/Constraints!$V$5)*Constraints!A186</f>
        <v>0.48423111962317827</v>
      </c>
      <c r="D186" s="52">
        <f t="shared" si="10"/>
        <v>0.29867557106054982</v>
      </c>
      <c r="E186" s="52">
        <f>$V$4*Performance!$E$12*(1/A186)+Performance!$E$23*(1/Constraints!$V$9)*Constraints!A186</f>
        <v>0.31191961327516149</v>
      </c>
      <c r="F186" s="52">
        <f xml:space="preserve"> 1.21 / (9.81 * Constraints!$N$7 * Performance!$E$15 * Constraints!$N$5 ) * Constraints!A186 + 0.605 /Performance!$E$15 * (Performance!$E$16  - Constraints!$N$6 * Performance!$E$14) + Constraints!$N$6</f>
        <v>0.29862450014203756</v>
      </c>
      <c r="G186" s="54" t="s">
        <v>198</v>
      </c>
      <c r="H186" s="55">
        <f>SQRT(2/$V$3 * A186 * SQRT(Performance!$E$23 / (3 * Performance!$E$12)))</f>
        <v>11.826989134419104</v>
      </c>
      <c r="I186" s="55">
        <f>SQRT(2/$V$3 * A186 * (SQRT(Performance!$E$23)/(SQRT(3*Performance!$E$12 + 4* Performance!$E$23 * Performance!$E$11^2) - SQRT(Performance!$E$23)*Performance!$E$11)))</f>
        <v>12.441224269888085</v>
      </c>
      <c r="J186" t="e">
        <f xml:space="preserve"> $AC$3/G186 + $AC$6/A186 * Performance!$E$12 + Performance!$E$23/Constraints!$AC$6 * Constraints!A186</f>
        <v>#VALUE!</v>
      </c>
      <c r="K186">
        <f xml:space="preserve"> $AC$3/H186 + $AC$6/A186 * Performance!$E$12 + Performance!$E$23/Constraints!$AC$6 * Constraints!A186</f>
        <v>0.72890425401109149</v>
      </c>
      <c r="L186">
        <f xml:space="preserve"> $AC$3/I186 + $AC$6/A186 * Performance!$E$12 + Performance!$E$23/Constraints!$AC$6 * Constraints!A186</f>
        <v>0.70769814200687531</v>
      </c>
      <c r="M186">
        <f>SIN($AC$9 * PI()/180) + 1/Performance!$AE$5</f>
        <v>0.24073077270730886</v>
      </c>
      <c r="N186">
        <f>SIN($AC$9 * PI()/180) + 1/Performance!$AE$8</f>
        <v>0.22738716112204788</v>
      </c>
      <c r="O186" s="60">
        <f>$AC$16 * (Performance!$E$12/Constraints!A186 + Performance!$E$23 * (Constraints!$AC$13/Constraints!$AC$17)^2 * Constraints!A186)</f>
        <v>3.0869996295285863E-4</v>
      </c>
      <c r="P186" t="e">
        <f t="shared" si="11"/>
        <v>#VALUE!</v>
      </c>
      <c r="Q186">
        <f t="shared" si="12"/>
        <v>36.727504372315593</v>
      </c>
      <c r="R186">
        <f t="shared" si="13"/>
        <v>40.641456271726994</v>
      </c>
      <c r="S186" t="e">
        <f xml:space="preserve"> 1.667/G186 + P186/A186 * Performance!$E$12 + Performance!$E$23 / Constraints!P186 * Constraints!A186</f>
        <v>#VALUE!</v>
      </c>
      <c r="T186">
        <f xml:space="preserve"> 1.667/H186 + Q186/A186 * Performance!$E$12 + Performance!$E$23 / Constraints!Q186 * Constraints!A186</f>
        <v>0.24686177381346983</v>
      </c>
      <c r="U186">
        <f xml:space="preserve"> 1.667/I186 + R186/A186 * Performance!$E$12 + Performance!$E$23 / Constraints!R186 * Constraints!A186</f>
        <v>0.23213277461603346</v>
      </c>
    </row>
    <row r="187" spans="1:21" x14ac:dyDescent="0.3">
      <c r="A187" s="51">
        <v>92.5</v>
      </c>
      <c r="B187" s="50">
        <f>$V$4*Performance!$E$12*(1/A187)+Performance!$E$23*(1/Constraints!$V$4)*Constraints!A187</f>
        <v>0.3106863090869289</v>
      </c>
      <c r="C187" s="50">
        <f>$V$5*Performance!$E$12*(1/A187)+Performance!$E$23*(1/Constraints!$V$5)*Constraints!A187</f>
        <v>0.48163896123092204</v>
      </c>
      <c r="D187" s="52">
        <f t="shared" si="10"/>
        <v>0.29894785677283542</v>
      </c>
      <c r="E187" s="52">
        <f>$V$4*Performance!$E$12*(1/A187)+Performance!$E$23*(1/Constraints!$V$9)*Constraints!A187</f>
        <v>0.31026856427128424</v>
      </c>
      <c r="F187" s="52">
        <f xml:space="preserve"> 1.21 / (9.81 * Constraints!$N$7 * Performance!$E$15 * Constraints!$N$5 ) * Constraints!A187 + 0.605 /Performance!$E$15 * (Performance!$E$16  - Constraints!$N$6 * Performance!$E$14) + Constraints!$N$6</f>
        <v>0.29889650829498338</v>
      </c>
      <c r="G187" s="54" t="s">
        <v>198</v>
      </c>
      <c r="H187" s="55">
        <f>SQRT(2/$V$3 * A187 * SQRT(Performance!$E$23 / (3 * Performance!$E$12)))</f>
        <v>11.859084143588833</v>
      </c>
      <c r="I187" s="55">
        <f>SQRT(2/$V$3 * A187 * (SQRT(Performance!$E$23)/(SQRT(3*Performance!$E$12 + 4* Performance!$E$23 * Performance!$E$11^2) - SQRT(Performance!$E$23)*Performance!$E$11)))</f>
        <v>12.474986134593165</v>
      </c>
      <c r="J187" t="e">
        <f xml:space="preserve"> $AC$3/G187 + $AC$6/A187 * Performance!$E$12 + Performance!$E$23/Constraints!$AC$6 * Constraints!A187</f>
        <v>#VALUE!</v>
      </c>
      <c r="K187">
        <f xml:space="preserve"> $AC$3/H187 + $AC$6/A187 * Performance!$E$12 + Performance!$E$23/Constraints!$AC$6 * Constraints!A187</f>
        <v>0.72932759479996689</v>
      </c>
      <c r="L187">
        <f xml:space="preserve"> $AC$3/I187 + $AC$6/A187 * Performance!$E$12 + Performance!$E$23/Constraints!$AC$6 * Constraints!A187</f>
        <v>0.70817887427311843</v>
      </c>
      <c r="M187">
        <f>SIN($AC$9 * PI()/180) + 1/Performance!$AE$5</f>
        <v>0.24073077270730886</v>
      </c>
      <c r="N187">
        <f>SIN($AC$9 * PI()/180) + 1/Performance!$AE$8</f>
        <v>0.22738716112204788</v>
      </c>
      <c r="O187" s="60">
        <f>$AC$16 * (Performance!$E$12/Constraints!A187 + Performance!$E$23 * (Constraints!$AC$13/Constraints!$AC$17)^2 * Constraints!A187)</f>
        <v>3.0748226328504967E-4</v>
      </c>
      <c r="P187" t="e">
        <f t="shared" si="11"/>
        <v>#VALUE!</v>
      </c>
      <c r="Q187">
        <f t="shared" si="12"/>
        <v>36.927110374339044</v>
      </c>
      <c r="R187">
        <f t="shared" si="13"/>
        <v>40.862333751464639</v>
      </c>
      <c r="S187" t="e">
        <f xml:space="preserve"> 1.667/G187 + P187/A187 * Performance!$E$12 + Performance!$E$23 / Constraints!P187 * Constraints!A187</f>
        <v>#VALUE!</v>
      </c>
      <c r="T187">
        <f xml:space="preserve"> 1.667/H187 + Q187/A187 * Performance!$E$12 + Performance!$E$23 / Constraints!Q187 * Constraints!A187</f>
        <v>0.24648031491038705</v>
      </c>
      <c r="U187">
        <f xml:space="preserve"> 1.667/I187 + R187/A187 * Performance!$E$12 + Performance!$E$23 / Constraints!R187 * Constraints!A187</f>
        <v>0.23177014870365384</v>
      </c>
    </row>
    <row r="188" spans="1:21" x14ac:dyDescent="0.3">
      <c r="A188" s="51">
        <v>93</v>
      </c>
      <c r="B188" s="50">
        <f>$V$4*Performance!$E$12*(1/A188)+Performance!$E$23*(1/Constraints!$V$4)*Constraints!A188</f>
        <v>0.3090554600761819</v>
      </c>
      <c r="C188" s="50">
        <f>$V$5*Performance!$E$12*(1/A188)+Performance!$E$23*(1/Constraints!$V$5)*Constraints!A188</f>
        <v>0.47907481193805673</v>
      </c>
      <c r="D188" s="52">
        <f t="shared" si="10"/>
        <v>0.29922014248512102</v>
      </c>
      <c r="E188" s="52">
        <f>$V$4*Performance!$E$12*(1/A188)+Performance!$E$23*(1/Constraints!$V$9)*Constraints!A188</f>
        <v>0.30863545718045271</v>
      </c>
      <c r="F188" s="52">
        <f xml:space="preserve"> 1.21 / (9.81 * Constraints!$N$7 * Performance!$E$15 * Constraints!$N$5 ) * Constraints!A188 + 0.605 /Performance!$E$15 * (Performance!$E$16  - Constraints!$N$6 * Performance!$E$14) + Constraints!$N$6</f>
        <v>0.29916851644792924</v>
      </c>
      <c r="G188" s="54" t="s">
        <v>198</v>
      </c>
      <c r="H188" s="55">
        <f>SQRT(2/$V$3 * A188 * SQRT(Performance!$E$23 / (3 * Performance!$E$12)))</f>
        <v>11.891092526079033</v>
      </c>
      <c r="I188" s="55">
        <f>SQRT(2/$V$3 * A188 * (SQRT(Performance!$E$23)/(SQRT(3*Performance!$E$12 + 4* Performance!$E$23 * Performance!$E$11^2) - SQRT(Performance!$E$23)*Performance!$E$11)))</f>
        <v>12.508656873658785</v>
      </c>
      <c r="J188" t="e">
        <f xml:space="preserve"> $AC$3/G188 + $AC$6/A188 * Performance!$E$12 + Performance!$E$23/Constraints!$AC$6 * Constraints!A188</f>
        <v>#VALUE!</v>
      </c>
      <c r="K188">
        <f xml:space="preserve"> $AC$3/H188 + $AC$6/A188 * Performance!$E$12 + Performance!$E$23/Constraints!$AC$6 * Constraints!A188</f>
        <v>0.72976054409445945</v>
      </c>
      <c r="L188">
        <f xml:space="preserve"> $AC$3/I188 + $AC$6/A188 * Performance!$E$12 + Performance!$E$23/Constraints!$AC$6 * Constraints!A188</f>
        <v>0.70866875158615228</v>
      </c>
      <c r="M188">
        <f>SIN($AC$9 * PI()/180) + 1/Performance!$AE$5</f>
        <v>0.24073077270730886</v>
      </c>
      <c r="N188">
        <f>SIN($AC$9 * PI()/180) + 1/Performance!$AE$8</f>
        <v>0.22738716112204788</v>
      </c>
      <c r="O188" s="60">
        <f>$AC$16 * (Performance!$E$12/Constraints!A188 + Performance!$E$23 * (Constraints!$AC$13/Constraints!$AC$17)^2 * Constraints!A188)</f>
        <v>3.0628008818820639E-4</v>
      </c>
      <c r="P188" t="e">
        <f t="shared" si="11"/>
        <v>#VALUE!</v>
      </c>
      <c r="Q188">
        <f t="shared" si="12"/>
        <v>37.126716376362502</v>
      </c>
      <c r="R188">
        <f t="shared" si="13"/>
        <v>41.083211231202291</v>
      </c>
      <c r="S188" t="e">
        <f xml:space="preserve"> 1.667/G188 + P188/A188 * Performance!$E$12 + Performance!$E$23 / Constraints!P188 * Constraints!A188</f>
        <v>#VALUE!</v>
      </c>
      <c r="T188">
        <f xml:space="preserve"> 1.667/H188 + Q188/A188 * Performance!$E$12 + Performance!$E$23 / Constraints!Q188 * Constraints!A188</f>
        <v>0.24610193643847039</v>
      </c>
      <c r="U188">
        <f xml:space="preserve"> 1.667/I188 + R188/A188 * Performance!$E$12 + Performance!$E$23 / Constraints!R188 * Constraints!A188</f>
        <v>0.23141045113860897</v>
      </c>
    </row>
    <row r="189" spans="1:21" x14ac:dyDescent="0.3">
      <c r="A189" s="51">
        <v>93.5</v>
      </c>
      <c r="B189" s="50">
        <f>$V$4*Performance!$E$12*(1/A189)+Performance!$E$23*(1/Constraints!$V$4)*Constraints!A189</f>
        <v>0.30744226514030332</v>
      </c>
      <c r="C189" s="50">
        <f>$V$5*Performance!$E$12*(1/A189)+Performance!$E$23*(1/Constraints!$V$5)*Constraints!A189</f>
        <v>0.47653822240074167</v>
      </c>
      <c r="D189" s="52">
        <f t="shared" si="10"/>
        <v>0.29949242819740662</v>
      </c>
      <c r="E189" s="52">
        <f>$V$4*Performance!$E$12*(1/A189)+Performance!$E$23*(1/Constraints!$V$9)*Constraints!A189</f>
        <v>0.30702000416448955</v>
      </c>
      <c r="F189" s="52">
        <f xml:space="preserve"> 1.21 / (9.81 * Constraints!$N$7 * Performance!$E$15 * Constraints!$N$5 ) * Constraints!A189 + 0.605 /Performance!$E$15 * (Performance!$E$16  - Constraints!$N$6 * Performance!$E$14) + Constraints!$N$6</f>
        <v>0.29944052460087511</v>
      </c>
      <c r="G189" s="54" t="s">
        <v>198</v>
      </c>
      <c r="H189" s="55">
        <f>SQRT(2/$V$3 * A189 * SQRT(Performance!$E$23 / (3 * Performance!$E$12)))</f>
        <v>11.923014979560547</v>
      </c>
      <c r="I189" s="55">
        <f>SQRT(2/$V$3 * A189 * (SQRT(Performance!$E$23)/(SQRT(3*Performance!$E$12 + 4* Performance!$E$23 * Performance!$E$11^2) - SQRT(Performance!$E$23)*Performance!$E$11)))</f>
        <v>12.542237220989346</v>
      </c>
      <c r="J189" t="e">
        <f xml:space="preserve"> $AC$3/G189 + $AC$6/A189 * Performance!$E$12 + Performance!$E$23/Constraints!$AC$6 * Constraints!A189</f>
        <v>#VALUE!</v>
      </c>
      <c r="K189">
        <f xml:space="preserve"> $AC$3/H189 + $AC$6/A189 * Performance!$E$12 + Performance!$E$23/Constraints!$AC$6 * Constraints!A189</f>
        <v>0.73020297267855849</v>
      </c>
      <c r="L189">
        <f xml:space="preserve"> $AC$3/I189 + $AC$6/A189 * Performance!$E$12 + Performance!$E$23/Constraints!$AC$6 * Constraints!A189</f>
        <v>0.70916765093426049</v>
      </c>
      <c r="M189">
        <f>SIN($AC$9 * PI()/180) + 1/Performance!$AE$5</f>
        <v>0.24073077270730886</v>
      </c>
      <c r="N189">
        <f>SIN($AC$9 * PI()/180) + 1/Performance!$AE$8</f>
        <v>0.22738716112204788</v>
      </c>
      <c r="O189" s="60">
        <f>$AC$16 * (Performance!$E$12/Constraints!A189 + Performance!$E$23 * (Constraints!$AC$13/Constraints!$AC$17)^2 * Constraints!A189)</f>
        <v>3.0509318860504059E-4</v>
      </c>
      <c r="P189" t="e">
        <f t="shared" si="11"/>
        <v>#VALUE!</v>
      </c>
      <c r="Q189">
        <f t="shared" si="12"/>
        <v>37.32632237838596</v>
      </c>
      <c r="R189">
        <f t="shared" si="13"/>
        <v>41.304088710939936</v>
      </c>
      <c r="S189" t="e">
        <f xml:space="preserve"> 1.667/G189 + P189/A189 * Performance!$E$12 + Performance!$E$23 / Constraints!P189 * Constraints!A189</f>
        <v>#VALUE!</v>
      </c>
      <c r="T189">
        <f xml:space="preserve"> 1.667/H189 + Q189/A189 * Performance!$E$12 + Performance!$E$23 / Constraints!Q189 * Constraints!A189</f>
        <v>0.24572659716018136</v>
      </c>
      <c r="U189">
        <f xml:space="preserve"> 1.667/I189 + R189/A189 * Performance!$E$12 + Performance!$E$23 / Constraints!R189 * Constraints!A189</f>
        <v>0.23105364271929693</v>
      </c>
    </row>
    <row r="190" spans="1:21" x14ac:dyDescent="0.3">
      <c r="A190" s="51">
        <v>94</v>
      </c>
      <c r="B190" s="50">
        <f>$V$4*Performance!$E$12*(1/A190)+Performance!$E$23*(1/Constraints!$V$4)*Constraints!A190</f>
        <v>0.30584644256533255</v>
      </c>
      <c r="C190" s="50">
        <f>$V$5*Performance!$E$12*(1/A190)+Performance!$E$23*(1/Constraints!$V$5)*Constraints!A190</f>
        <v>0.47402875283564394</v>
      </c>
      <c r="D190" s="52">
        <f t="shared" si="10"/>
        <v>0.29976471390969223</v>
      </c>
      <c r="E190" s="52">
        <f>$V$4*Performance!$E$12*(1/A190)+Performance!$E$23*(1/Constraints!$V$9)*Constraints!A190</f>
        <v>0.3054219235094342</v>
      </c>
      <c r="F190" s="52">
        <f xml:space="preserve"> 1.21 / (9.81 * Constraints!$N$7 * Performance!$E$15 * Constraints!$N$5 ) * Constraints!A190 + 0.605 /Performance!$E$15 * (Performance!$E$16  - Constraints!$N$6 * Performance!$E$14) + Constraints!$N$6</f>
        <v>0.29971253275382098</v>
      </c>
      <c r="G190" s="54" t="s">
        <v>198</v>
      </c>
      <c r="H190" s="55">
        <f>SQRT(2/$V$3 * A190 * SQRT(Performance!$E$23 / (3 * Performance!$E$12)))</f>
        <v>11.954852192389403</v>
      </c>
      <c r="I190" s="55">
        <f>SQRT(2/$V$3 * A190 * (SQRT(Performance!$E$23)/(SQRT(3*Performance!$E$12 + 4* Performance!$E$23 * Performance!$E$11^2) - SQRT(Performance!$E$23)*Performance!$E$11)))</f>
        <v>12.575727900690678</v>
      </c>
      <c r="J190" t="e">
        <f xml:space="preserve"> $AC$3/G190 + $AC$6/A190 * Performance!$E$12 + Performance!$E$23/Constraints!$AC$6 * Constraints!A190</f>
        <v>#VALUE!</v>
      </c>
      <c r="K190">
        <f xml:space="preserve"> $AC$3/H190 + $AC$6/A190 * Performance!$E$12 + Performance!$E$23/Constraints!$AC$6 * Constraints!A190</f>
        <v>0.73065475375443767</v>
      </c>
      <c r="L190">
        <f xml:space="preserve"> $AC$3/I190 + $AC$6/A190 * Performance!$E$12 + Performance!$E$23/Constraints!$AC$6 * Constraints!A190</f>
        <v>0.70967545160825085</v>
      </c>
      <c r="M190">
        <f>SIN($AC$9 * PI()/180) + 1/Performance!$AE$5</f>
        <v>0.24073077270730886</v>
      </c>
      <c r="N190">
        <f>SIN($AC$9 * PI()/180) + 1/Performance!$AE$8</f>
        <v>0.22738716112204788</v>
      </c>
      <c r="O190" s="60">
        <f>$AC$16 * (Performance!$E$12/Constraints!A190 + Performance!$E$23 * (Constraints!$AC$13/Constraints!$AC$17)^2 * Constraints!A190)</f>
        <v>3.0392132077735522E-4</v>
      </c>
      <c r="P190" t="e">
        <f t="shared" si="11"/>
        <v>#VALUE!</v>
      </c>
      <c r="Q190">
        <f t="shared" si="12"/>
        <v>37.525928380409404</v>
      </c>
      <c r="R190">
        <f t="shared" si="13"/>
        <v>41.524966190677581</v>
      </c>
      <c r="S190" t="e">
        <f xml:space="preserve"> 1.667/G190 + P190/A190 * Performance!$E$12 + Performance!$E$23 / Constraints!P190 * Constraints!A190</f>
        <v>#VALUE!</v>
      </c>
      <c r="T190">
        <f xml:space="preserve"> 1.667/H190 + Q190/A190 * Performance!$E$12 + Performance!$E$23 / Constraints!Q190 * Constraints!A190</f>
        <v>0.24535425660672783</v>
      </c>
      <c r="U190">
        <f xml:space="preserve"> 1.667/I190 + R190/A190 * Performance!$E$12 + Performance!$E$23 / Constraints!R190 * Constraints!A190</f>
        <v>0.23069968497490861</v>
      </c>
    </row>
    <row r="191" spans="1:21" x14ac:dyDescent="0.3">
      <c r="A191" s="51">
        <v>94.5</v>
      </c>
      <c r="B191" s="50">
        <f>$V$4*Performance!$E$12*(1/A191)+Performance!$E$23*(1/Constraints!$V$4)*Constraints!A191</f>
        <v>0.30426771659950919</v>
      </c>
      <c r="C191" s="50">
        <f>$V$5*Performance!$E$12*(1/A191)+Performance!$E$23*(1/Constraints!$V$5)*Constraints!A191</f>
        <v>0.47154597276701388</v>
      </c>
      <c r="D191" s="52">
        <f t="shared" si="10"/>
        <v>0.30003699962197783</v>
      </c>
      <c r="E191" s="52">
        <f>$V$4*Performance!$E$12*(1/A191)+Performance!$E$23*(1/Constraints!$V$9)*Constraints!A191</f>
        <v>0.3038409394635263</v>
      </c>
      <c r="F191" s="52">
        <f xml:space="preserve"> 1.21 / (9.81 * Constraints!$N$7 * Performance!$E$15 * Constraints!$N$5 ) * Constraints!A191 + 0.605 /Performance!$E$15 * (Performance!$E$16  - Constraints!$N$6 * Performance!$E$14) + Constraints!$N$6</f>
        <v>0.29998454090676685</v>
      </c>
      <c r="G191" s="54" t="s">
        <v>198</v>
      </c>
      <c r="H191" s="55">
        <f>SQRT(2/$V$3 * A191 * SQRT(Performance!$E$23 / (3 * Performance!$E$12)))</f>
        <v>11.986604843780004</v>
      </c>
      <c r="I191" s="55">
        <f>SQRT(2/$V$3 * A191 * (SQRT(Performance!$E$23)/(SQRT(3*Performance!$E$12 + 4* Performance!$E$23 * Performance!$E$11^2) - SQRT(Performance!$E$23)*Performance!$E$11)))</f>
        <v>12.609129627252207</v>
      </c>
      <c r="J191" t="e">
        <f xml:space="preserve"> $AC$3/G191 + $AC$6/A191 * Performance!$E$12 + Performance!$E$23/Constraints!$AC$6 * Constraints!A191</f>
        <v>#VALUE!</v>
      </c>
      <c r="K191">
        <f xml:space="preserve"> $AC$3/H191 + $AC$6/A191 * Performance!$E$12 + Performance!$E$23/Constraints!$AC$6 * Constraints!A191</f>
        <v>0.73111576288460478</v>
      </c>
      <c r="L191">
        <f xml:space="preserve"> $AC$3/I191 + $AC$6/A191 * Performance!$E$12 + Performance!$E$23/Constraints!$AC$6 * Constraints!A191</f>
        <v>0.7101920351463632</v>
      </c>
      <c r="M191">
        <f>SIN($AC$9 * PI()/180) + 1/Performance!$AE$5</f>
        <v>0.24073077270730886</v>
      </c>
      <c r="N191">
        <f>SIN($AC$9 * PI()/180) + 1/Performance!$AE$8</f>
        <v>0.22738716112204788</v>
      </c>
      <c r="O191" s="60">
        <f>$AC$16 * (Performance!$E$12/Constraints!A191 + Performance!$E$23 * (Constraints!$AC$13/Constraints!$AC$17)^2 * Constraints!A191)</f>
        <v>3.0276424610585706E-4</v>
      </c>
      <c r="P191" t="e">
        <f t="shared" si="11"/>
        <v>#VALUE!</v>
      </c>
      <c r="Q191">
        <f t="shared" si="12"/>
        <v>37.725534382432862</v>
      </c>
      <c r="R191">
        <f t="shared" si="13"/>
        <v>41.745843670415226</v>
      </c>
      <c r="S191" t="e">
        <f xml:space="preserve"> 1.667/G191 + P191/A191 * Performance!$E$12 + Performance!$E$23 / Constraints!P191 * Constraints!A191</f>
        <v>#VALUE!</v>
      </c>
      <c r="T191">
        <f xml:space="preserve"> 1.667/H191 + Q191/A191 * Performance!$E$12 + Performance!$E$23 / Constraints!Q191 * Constraints!A191</f>
        <v>0.24498487505973632</v>
      </c>
      <c r="U191">
        <f xml:space="preserve"> 1.667/I191 + R191/A191 * Performance!$E$12 + Performance!$E$23 / Constraints!R191 * Constraints!A191</f>
        <v>0.23034854014800465</v>
      </c>
    </row>
    <row r="192" spans="1:21" x14ac:dyDescent="0.3">
      <c r="A192" s="51">
        <v>95</v>
      </c>
      <c r="B192" s="50">
        <f>$V$4*Performance!$E$12*(1/A192)+Performance!$E$23*(1/Constraints!$V$4)*Constraints!A192</f>
        <v>0.30270581729637297</v>
      </c>
      <c r="C192" s="50">
        <f>$V$5*Performance!$E$12*(1/A192)+Performance!$E$23*(1/Constraints!$V$5)*Constraints!A192</f>
        <v>0.4690894607817494</v>
      </c>
      <c r="D192" s="52">
        <f t="shared" si="10"/>
        <v>0.30030928533426338</v>
      </c>
      <c r="E192" s="52">
        <f>$V$4*Performance!$E$12*(1/A192)+Performance!$E$23*(1/Constraints!$V$9)*Constraints!A192</f>
        <v>0.30227678208030551</v>
      </c>
      <c r="F192" s="52">
        <f xml:space="preserve"> 1.21 / (9.81 * Constraints!$N$7 * Performance!$E$15 * Constraints!$N$5 ) * Constraints!A192 + 0.605 /Performance!$E$15 * (Performance!$E$16  - Constraints!$N$6 * Performance!$E$14) + Constraints!$N$6</f>
        <v>0.30025654905971266</v>
      </c>
      <c r="G192" s="54" t="s">
        <v>198</v>
      </c>
      <c r="H192" s="55">
        <f>SQRT(2/$V$3 * A192 * SQRT(Performance!$E$23 / (3 * Performance!$E$12)))</f>
        <v>12.01827360397419</v>
      </c>
      <c r="I192" s="55">
        <f>SQRT(2/$V$3 * A192 * (SQRT(Performance!$E$23)/(SQRT(3*Performance!$E$12 + 4* Performance!$E$23 * Performance!$E$11^2) - SQRT(Performance!$E$23)*Performance!$E$11)))</f>
        <v>12.64244310572481</v>
      </c>
      <c r="J192" t="e">
        <f xml:space="preserve"> $AC$3/G192 + $AC$6/A192 * Performance!$E$12 + Performance!$E$23/Constraints!$AC$6 * Constraints!A192</f>
        <v>#VALUE!</v>
      </c>
      <c r="K192">
        <f xml:space="preserve"> $AC$3/H192 + $AC$6/A192 * Performance!$E$12 + Performance!$E$23/Constraints!$AC$6 * Constraints!A192</f>
        <v>0.73158587793573426</v>
      </c>
      <c r="L192">
        <f xml:space="preserve"> $AC$3/I192 + $AC$6/A192 * Performance!$E$12 + Performance!$E$23/Constraints!$AC$6 * Constraints!A192</f>
        <v>0.71071728528077882</v>
      </c>
      <c r="M192">
        <f>SIN($AC$9 * PI()/180) + 1/Performance!$AE$5</f>
        <v>0.24073077270730886</v>
      </c>
      <c r="N192">
        <f>SIN($AC$9 * PI()/180) + 1/Performance!$AE$8</f>
        <v>0.22738716112204788</v>
      </c>
      <c r="O192" s="60">
        <f>$AC$16 * (Performance!$E$12/Constraints!A192 + Performance!$E$23 * (Constraints!$AC$13/Constraints!$AC$17)^2 * Constraints!A192)</f>
        <v>3.0162173101439574E-4</v>
      </c>
      <c r="P192" t="e">
        <f t="shared" si="11"/>
        <v>#VALUE!</v>
      </c>
      <c r="Q192">
        <f t="shared" si="12"/>
        <v>37.925140384456313</v>
      </c>
      <c r="R192">
        <f t="shared" si="13"/>
        <v>41.966721150152871</v>
      </c>
      <c r="S192" t="e">
        <f xml:space="preserve"> 1.667/G192 + P192/A192 * Performance!$E$12 + Performance!$E$23 / Constraints!P192 * Constraints!A192</f>
        <v>#VALUE!</v>
      </c>
      <c r="T192">
        <f xml:space="preserve"> 1.667/H192 + Q192/A192 * Performance!$E$12 + Performance!$E$23 / Constraints!Q192 * Constraints!A192</f>
        <v>0.24461841353345556</v>
      </c>
      <c r="U192">
        <f xml:space="preserve"> 1.667/I192 + R192/A192 * Performance!$E$12 + Performance!$E$23 / Constraints!R192 * Constraints!A192</f>
        <v>0.2300001711775975</v>
      </c>
    </row>
    <row r="193" spans="1:21" x14ac:dyDescent="0.3">
      <c r="A193" s="51">
        <v>95.5</v>
      </c>
      <c r="B193" s="50">
        <f>$V$4*Performance!$E$12*(1/A193)+Performance!$E$23*(1/Constraints!$V$4)*Constraints!A193</f>
        <v>0.30116048036279275</v>
      </c>
      <c r="C193" s="50">
        <f>$V$5*Performance!$E$12*(1/A193)+Performance!$E$23*(1/Constraints!$V$5)*Constraints!A193</f>
        <v>0.46665880429215373</v>
      </c>
      <c r="D193" s="52">
        <f t="shared" si="10"/>
        <v>0.30058157104654898</v>
      </c>
      <c r="E193" s="52">
        <f>$V$4*Performance!$E$12*(1/A193)+Performance!$E$23*(1/Constraints!$V$9)*Constraints!A193</f>
        <v>0.3007291870666407</v>
      </c>
      <c r="F193" s="52">
        <f xml:space="preserve"> 1.21 / (9.81 * Constraints!$N$7 * Performance!$E$15 * Constraints!$N$5 ) * Constraints!A193 + 0.605 /Performance!$E$15 * (Performance!$E$16  - Constraints!$N$6 * Performance!$E$14) + Constraints!$N$6</f>
        <v>0.30052855721265853</v>
      </c>
      <c r="G193" s="54" t="s">
        <v>198</v>
      </c>
      <c r="H193" s="55">
        <f>SQRT(2/$V$3 * A193 * SQRT(Performance!$E$23 / (3 * Performance!$E$12)))</f>
        <v>12.049859134406315</v>
      </c>
      <c r="I193" s="55">
        <f>SQRT(2/$V$3 * A193 * (SQRT(Performance!$E$23)/(SQRT(3*Performance!$E$12 + 4* Performance!$E$23 * Performance!$E$11^2) - SQRT(Performance!$E$23)*Performance!$E$11)))</f>
        <v>12.67566903189446</v>
      </c>
      <c r="J193" t="e">
        <f xml:space="preserve"> $AC$3/G193 + $AC$6/A193 * Performance!$E$12 + Performance!$E$23/Constraints!$AC$6 * Constraints!A193</f>
        <v>#VALUE!</v>
      </c>
      <c r="K193">
        <f xml:space="preserve"> $AC$3/H193 + $AC$6/A193 * Performance!$E$12 + Performance!$E$23/Constraints!$AC$6 * Constraints!A193</f>
        <v>0.73206497902412371</v>
      </c>
      <c r="L193">
        <f xml:space="preserve"> $AC$3/I193 + $AC$6/A193 * Performance!$E$12 + Performance!$E$23/Constraints!$AC$6 * Constraints!A193</f>
        <v>0.7112510878856777</v>
      </c>
      <c r="M193">
        <f>SIN($AC$9 * PI()/180) + 1/Performance!$AE$5</f>
        <v>0.24073077270730886</v>
      </c>
      <c r="N193">
        <f>SIN($AC$9 * PI()/180) + 1/Performance!$AE$8</f>
        <v>0.22738716112204788</v>
      </c>
      <c r="O193" s="60">
        <f>$AC$16 * (Performance!$E$12/Constraints!A193 + Performance!$E$23 * (Constraints!$AC$13/Constraints!$AC$17)^2 * Constraints!A193)</f>
        <v>3.0049354681846804E-4</v>
      </c>
      <c r="P193" t="e">
        <f t="shared" si="11"/>
        <v>#VALUE!</v>
      </c>
      <c r="Q193">
        <f t="shared" si="12"/>
        <v>38.124746386479764</v>
      </c>
      <c r="R193">
        <f t="shared" si="13"/>
        <v>42.18759862989053</v>
      </c>
      <c r="S193" t="e">
        <f xml:space="preserve"> 1.667/G193 + P193/A193 * Performance!$E$12 + Performance!$E$23 / Constraints!P193 * Constraints!A193</f>
        <v>#VALUE!</v>
      </c>
      <c r="T193">
        <f xml:space="preserve"> 1.667/H193 + Q193/A193 * Performance!$E$12 + Performance!$E$23 / Constraints!Q193 * Constraints!A193</f>
        <v>0.24425483375747281</v>
      </c>
      <c r="U193">
        <f xml:space="preserve"> 1.667/I193 + R193/A193 * Performance!$E$12 + Performance!$E$23 / Constraints!R193 * Constraints!A193</f>
        <v>0.22965454168272129</v>
      </c>
    </row>
    <row r="194" spans="1:21" x14ac:dyDescent="0.3">
      <c r="A194" s="51">
        <v>96</v>
      </c>
      <c r="B194" s="50">
        <f>$V$4*Performance!$E$12*(1/A194)+Performance!$E$23*(1/Constraints!$V$4)*Constraints!A194</f>
        <v>0.29963144701174405</v>
      </c>
      <c r="C194" s="50">
        <f>$V$5*Performance!$E$12*(1/A194)+Performance!$E$23*(1/Constraints!$V$5)*Constraints!A194</f>
        <v>0.46425359930610677</v>
      </c>
      <c r="D194" s="52">
        <f t="shared" si="10"/>
        <v>0.30085385675883458</v>
      </c>
      <c r="E194" s="52">
        <f>$V$4*Performance!$E$12*(1/A194)+Performance!$E$23*(1/Constraints!$V$9)*Constraints!A194</f>
        <v>0.29919789563550742</v>
      </c>
      <c r="F194" s="52">
        <f xml:space="preserve"> 1.21 / (9.81 * Constraints!$N$7 * Performance!$E$15 * Constraints!$N$5 ) * Constraints!A194 + 0.605 /Performance!$E$15 * (Performance!$E$16  - Constraints!$N$6 * Performance!$E$14) + Constraints!$N$6</f>
        <v>0.3008005653656044</v>
      </c>
      <c r="G194" s="54" t="s">
        <v>198</v>
      </c>
      <c r="H194" s="55">
        <f>SQRT(2/$V$3 * A194 * SQRT(Performance!$E$23 / (3 * Performance!$E$12)))</f>
        <v>12.081362087864425</v>
      </c>
      <c r="I194" s="55">
        <f>SQRT(2/$V$3 * A194 * (SQRT(Performance!$E$23)/(SQRT(3*Performance!$E$12 + 4* Performance!$E$23 * Performance!$E$11^2) - SQRT(Performance!$E$23)*Performance!$E$11)))</f>
        <v>12.708808092451772</v>
      </c>
      <c r="J194" t="e">
        <f xml:space="preserve"> $AC$3/G194 + $AC$6/A194 * Performance!$E$12 + Performance!$E$23/Constraints!$AC$6 * Constraints!A194</f>
        <v>#VALUE!</v>
      </c>
      <c r="K194">
        <f xml:space="preserve"> $AC$3/H194 + $AC$6/A194 * Performance!$E$12 + Performance!$E$23/Constraints!$AC$6 * Constraints!A194</f>
        <v>0.73255294846272012</v>
      </c>
      <c r="L194">
        <f xml:space="preserve"> $AC$3/I194 + $AC$6/A194 * Performance!$E$12 + Performance!$E$23/Constraints!$AC$6 * Constraints!A194</f>
        <v>0.71179333092679087</v>
      </c>
      <c r="M194">
        <f>SIN($AC$9 * PI()/180) + 1/Performance!$AE$5</f>
        <v>0.24073077270730886</v>
      </c>
      <c r="N194">
        <f>SIN($AC$9 * PI()/180) + 1/Performance!$AE$8</f>
        <v>0.22738716112204788</v>
      </c>
      <c r="O194" s="60">
        <f>$AC$16 * (Performance!$E$12/Constraints!A194 + Performance!$E$23 * (Constraints!$AC$13/Constraints!$AC$17)^2 * Constraints!A194)</f>
        <v>2.9937946959783128E-4</v>
      </c>
      <c r="P194" t="e">
        <f t="shared" si="11"/>
        <v>#VALUE!</v>
      </c>
      <c r="Q194">
        <f t="shared" si="12"/>
        <v>38.324352388503222</v>
      </c>
      <c r="R194">
        <f t="shared" si="13"/>
        <v>42.408476109628175</v>
      </c>
      <c r="S194" t="e">
        <f xml:space="preserve"> 1.667/G194 + P194/A194 * Performance!$E$12 + Performance!$E$23 / Constraints!P194 * Constraints!A194</f>
        <v>#VALUE!</v>
      </c>
      <c r="T194">
        <f xml:space="preserve"> 1.667/H194 + Q194/A194 * Performance!$E$12 + Performance!$E$23 / Constraints!Q194 * Constraints!A194</f>
        <v>0.24389409815992616</v>
      </c>
      <c r="U194">
        <f xml:space="preserve"> 1.667/I194 + R194/A194 * Performance!$E$12 + Performance!$E$23 / Constraints!R194 * Constraints!A194</f>
        <v>0.22931161594647298</v>
      </c>
    </row>
    <row r="195" spans="1:21" x14ac:dyDescent="0.3">
      <c r="A195" s="51">
        <v>96.5</v>
      </c>
      <c r="B195" s="50">
        <f>$V$4*Performance!$E$12*(1/A195)+Performance!$E$23*(1/Constraints!$V$4)*Constraints!A195</f>
        <v>0.29811846381966434</v>
      </c>
      <c r="C195" s="50">
        <f>$V$5*Performance!$E$12*(1/A195)+Performance!$E$23*(1/Constraints!$V$5)*Constraints!A195</f>
        <v>0.46187345020438275</v>
      </c>
      <c r="D195" s="52">
        <f t="shared" si="10"/>
        <v>0.30112614247112018</v>
      </c>
      <c r="E195" s="52">
        <f>$V$4*Performance!$E$12*(1/A195)+Performance!$E$23*(1/Constraints!$V$9)*Constraints!A195</f>
        <v>0.29768265436334318</v>
      </c>
      <c r="F195" s="52">
        <f xml:space="preserve"> 1.21 / (9.81 * Constraints!$N$7 * Performance!$E$15 * Constraints!$N$5 ) * Constraints!A195 + 0.605 /Performance!$E$15 * (Performance!$E$16  - Constraints!$N$6 * Performance!$E$14) + Constraints!$N$6</f>
        <v>0.30107257351855027</v>
      </c>
      <c r="G195" s="54" t="s">
        <v>198</v>
      </c>
      <c r="H195" s="55">
        <f>SQRT(2/$V$3 * A195 * SQRT(Performance!$E$23 / (3 * Performance!$E$12)))</f>
        <v>12.112783108647674</v>
      </c>
      <c r="I195" s="55">
        <f>SQRT(2/$V$3 * A195 * (SQRT(Performance!$E$23)/(SQRT(3*Performance!$E$12 + 4* Performance!$E$23 * Performance!$E$11^2) - SQRT(Performance!$E$23)*Performance!$E$11)))</f>
        <v>12.741860965157603</v>
      </c>
      <c r="J195" t="e">
        <f xml:space="preserve"> $AC$3/G195 + $AC$6/A195 * Performance!$E$12 + Performance!$E$23/Constraints!$AC$6 * Constraints!A195</f>
        <v>#VALUE!</v>
      </c>
      <c r="K195">
        <f xml:space="preserve"> $AC$3/H195 + $AC$6/A195 * Performance!$E$12 + Performance!$E$23/Constraints!$AC$6 * Constraints!A195</f>
        <v>0.73304967070966187</v>
      </c>
      <c r="L195">
        <f xml:space="preserve"> $AC$3/I195 + $AC$6/A195 * Performance!$E$12 + Performance!$E$23/Constraints!$AC$6 * Constraints!A195</f>
        <v>0.71234390441239503</v>
      </c>
      <c r="M195">
        <f>SIN($AC$9 * PI()/180) + 1/Performance!$AE$5</f>
        <v>0.24073077270730886</v>
      </c>
      <c r="N195">
        <f>SIN($AC$9 * PI()/180) + 1/Performance!$AE$8</f>
        <v>0.22738716112204788</v>
      </c>
      <c r="O195" s="60">
        <f>$AC$16 * (Performance!$E$12/Constraints!A195 + Performance!$E$23 * (Constraints!$AC$13/Constraints!$AC$17)^2 * Constraints!A195)</f>
        <v>2.9827928007307669E-4</v>
      </c>
      <c r="P195" t="e">
        <f t="shared" si="11"/>
        <v>#VALUE!</v>
      </c>
      <c r="Q195">
        <f t="shared" si="12"/>
        <v>38.523958390526673</v>
      </c>
      <c r="R195">
        <f t="shared" si="13"/>
        <v>42.629353589365813</v>
      </c>
      <c r="S195" t="e">
        <f xml:space="preserve"> 1.667/G195 + P195/A195 * Performance!$E$12 + Performance!$E$23 / Constraints!P195 * Constraints!A195</f>
        <v>#VALUE!</v>
      </c>
      <c r="T195">
        <f xml:space="preserve"> 1.667/H195 + Q195/A195 * Performance!$E$12 + Performance!$E$23 / Constraints!Q195 * Constraints!A195</f>
        <v>0.24353616985119608</v>
      </c>
      <c r="U195">
        <f xml:space="preserve"> 1.667/I195 + R195/A195 * Performance!$E$12 + Performance!$E$23 / Constraints!R195 * Constraints!A195</f>
        <v>0.22897135890050865</v>
      </c>
    </row>
    <row r="196" spans="1:21" x14ac:dyDescent="0.3">
      <c r="A196" s="51">
        <v>97</v>
      </c>
      <c r="B196" s="50">
        <f>$V$4*Performance!$E$12*(1/A196)+Performance!$E$23*(1/Constraints!$V$4)*Constraints!A196</f>
        <v>0.29662128258821902</v>
      </c>
      <c r="C196" s="50">
        <f>$V$5*Performance!$E$12*(1/A196)+Performance!$E$23*(1/Constraints!$V$5)*Constraints!A196</f>
        <v>0.45951796952485274</v>
      </c>
      <c r="D196" s="52">
        <f t="shared" si="10"/>
        <v>0.30139842818340579</v>
      </c>
      <c r="E196" s="52">
        <f>$V$4*Performance!$E$12*(1/A196)+Performance!$E$23*(1/Constraints!$V$9)*Constraints!A196</f>
        <v>0.29618321505181328</v>
      </c>
      <c r="F196" s="52">
        <f xml:space="preserve"> 1.21 / (9.81 * Constraints!$N$7 * Performance!$E$15 * Constraints!$N$5 ) * Constraints!A196 + 0.605 /Performance!$E$15 * (Performance!$E$16  - Constraints!$N$6 * Performance!$E$14) + Constraints!$N$6</f>
        <v>0.30134458167149614</v>
      </c>
      <c r="G196" s="54" t="s">
        <v>198</v>
      </c>
      <c r="H196" s="55">
        <f>SQRT(2/$V$3 * A196 * SQRT(Performance!$E$23 / (3 * Performance!$E$12)))</f>
        <v>12.14412283272007</v>
      </c>
      <c r="I196" s="55">
        <f>SQRT(2/$V$3 * A196 * (SQRT(Performance!$E$23)/(SQRT(3*Performance!$E$12 + 4* Performance!$E$23 * Performance!$E$11^2) - SQRT(Performance!$E$23)*Performance!$E$11)))</f>
        <v>12.774828319004779</v>
      </c>
      <c r="J196" t="e">
        <f xml:space="preserve"> $AC$3/G196 + $AC$6/A196 * Performance!$E$12 + Performance!$E$23/Constraints!$AC$6 * Constraints!A196</f>
        <v>#VALUE!</v>
      </c>
      <c r="K196">
        <f xml:space="preserve"> $AC$3/H196 + $AC$6/A196 * Performance!$E$12 + Performance!$E$23/Constraints!$AC$6 * Constraints!A196</f>
        <v>0.73355503231828623</v>
      </c>
      <c r="L196">
        <f xml:space="preserve"> $AC$3/I196 + $AC$6/A196 * Performance!$E$12 + Performance!$E$23/Constraints!$AC$6 * Constraints!A196</f>
        <v>0.71290270034570469</v>
      </c>
      <c r="M196">
        <f>SIN($AC$9 * PI()/180) + 1/Performance!$AE$5</f>
        <v>0.24073077270730886</v>
      </c>
      <c r="N196">
        <f>SIN($AC$9 * PI()/180) + 1/Performance!$AE$8</f>
        <v>0.22738716112204788</v>
      </c>
      <c r="O196" s="60">
        <f>$AC$16 * (Performance!$E$12/Constraints!A196 + Performance!$E$23 * (Constraints!$AC$13/Constraints!$AC$17)^2 * Constraints!A196)</f>
        <v>2.9719276348602066E-4</v>
      </c>
      <c r="P196" t="e">
        <f t="shared" si="11"/>
        <v>#VALUE!</v>
      </c>
      <c r="Q196">
        <f t="shared" si="12"/>
        <v>38.723564392550131</v>
      </c>
      <c r="R196">
        <f t="shared" si="13"/>
        <v>42.850231069103465</v>
      </c>
      <c r="S196" t="e">
        <f xml:space="preserve"> 1.667/G196 + P196/A196 * Performance!$E$12 + Performance!$E$23 / Constraints!P196 * Constraints!A196</f>
        <v>#VALUE!</v>
      </c>
      <c r="T196">
        <f xml:space="preserve"> 1.667/H196 + Q196/A196 * Performance!$E$12 + Performance!$E$23 / Constraints!Q196 * Constraints!A196</f>
        <v>0.24318101260805935</v>
      </c>
      <c r="U196">
        <f xml:space="preserve"> 1.667/I196 + R196/A196 * Performance!$E$12 + Performance!$E$23 / Constraints!R196 * Constraints!A196</f>
        <v>0.22863373610998033</v>
      </c>
    </row>
    <row r="197" spans="1:21" x14ac:dyDescent="0.3">
      <c r="A197" s="51">
        <v>97.5</v>
      </c>
      <c r="B197" s="50">
        <f>$V$4*Performance!$E$12*(1/A197)+Performance!$E$23*(1/Constraints!$V$4)*Constraints!A197</f>
        <v>0.2951396602103214</v>
      </c>
      <c r="C197" s="50">
        <f>$V$5*Performance!$E$12*(1/A197)+Performance!$E$23*(1/Constraints!$V$5)*Constraints!A197</f>
        <v>0.45718677775332917</v>
      </c>
      <c r="D197" s="52">
        <f t="shared" si="10"/>
        <v>0.30167071389569139</v>
      </c>
      <c r="E197" s="52">
        <f>$V$4*Performance!$E$12*(1/A197)+Performance!$E$23*(1/Constraints!$V$9)*Constraints!A197</f>
        <v>0.29469933459383113</v>
      </c>
      <c r="F197" s="52">
        <f xml:space="preserve"> 1.21 / (9.81 * Constraints!$N$7 * Performance!$E$15 * Constraints!$N$5 ) * Constraints!A197 + 0.605 /Performance!$E$15 * (Performance!$E$16  - Constraints!$N$6 * Performance!$E$14) + Constraints!$N$6</f>
        <v>0.30161658982444195</v>
      </c>
      <c r="G197" s="54" t="s">
        <v>198</v>
      </c>
      <c r="H197" s="55">
        <f>SQRT(2/$V$3 * A197 * SQRT(Performance!$E$23 / (3 * Performance!$E$12)))</f>
        <v>12.175381887860663</v>
      </c>
      <c r="I197" s="55">
        <f>SQRT(2/$V$3 * A197 * (SQRT(Performance!$E$23)/(SQRT(3*Performance!$E$12 + 4* Performance!$E$23 * Performance!$E$11^2) - SQRT(Performance!$E$23)*Performance!$E$11)))</f>
        <v>12.807710814376074</v>
      </c>
      <c r="J197" t="e">
        <f xml:space="preserve"> $AC$3/G197 + $AC$6/A197 * Performance!$E$12 + Performance!$E$23/Constraints!$AC$6 * Constraints!A197</f>
        <v>#VALUE!</v>
      </c>
      <c r="K197">
        <f xml:space="preserve"> $AC$3/H197 + $AC$6/A197 * Performance!$E$12 + Performance!$E$23/Constraints!$AC$6 * Constraints!A197</f>
        <v>0.73406892188855277</v>
      </c>
      <c r="L197">
        <f xml:space="preserve"> $AC$3/I197 + $AC$6/A197 * Performance!$E$12 + Performance!$E$23/Constraints!$AC$6 * Constraints!A197</f>
        <v>0.71346961267861309</v>
      </c>
      <c r="M197">
        <f>SIN($AC$9 * PI()/180) + 1/Performance!$AE$5</f>
        <v>0.24073077270730886</v>
      </c>
      <c r="N197">
        <f>SIN($AC$9 * PI()/180) + 1/Performance!$AE$8</f>
        <v>0.22738716112204788</v>
      </c>
      <c r="O197" s="60">
        <f>$AC$16 * (Performance!$E$12/Constraints!A197 + Performance!$E$23 * (Constraints!$AC$13/Constraints!$AC$17)^2 * Constraints!A197)</f>
        <v>2.9611970948377551E-4</v>
      </c>
      <c r="P197" t="e">
        <f t="shared" si="11"/>
        <v>#VALUE!</v>
      </c>
      <c r="Q197">
        <f t="shared" si="12"/>
        <v>38.923170394573582</v>
      </c>
      <c r="R197">
        <f t="shared" si="13"/>
        <v>43.071108548841096</v>
      </c>
      <c r="S197" t="e">
        <f xml:space="preserve"> 1.667/G197 + P197/A197 * Performance!$E$12 + Performance!$E$23 / Constraints!P197 * Constraints!A197</f>
        <v>#VALUE!</v>
      </c>
      <c r="T197">
        <f xml:space="preserve"> 1.667/H197 + Q197/A197 * Performance!$E$12 + Performance!$E$23 / Constraints!Q197 * Constraints!A197</f>
        <v>0.24282859085829117</v>
      </c>
      <c r="U197">
        <f xml:space="preserve"> 1.667/I197 + R197/A197 * Performance!$E$12 + Performance!$E$23 / Constraints!R197 * Constraints!A197</f>
        <v>0.22829871375889796</v>
      </c>
    </row>
    <row r="198" spans="1:21" x14ac:dyDescent="0.3">
      <c r="A198" s="51">
        <v>98</v>
      </c>
      <c r="B198" s="50">
        <f>$V$4*Performance!$E$12*(1/A198)+Performance!$E$23*(1/Constraints!$V$4)*Constraints!A198</f>
        <v>0.29367335854025384</v>
      </c>
      <c r="C198" s="50">
        <f>$V$5*Performance!$E$12*(1/A198)+Performance!$E$23*(1/Constraints!$V$5)*Constraints!A198</f>
        <v>0.45487950312081193</v>
      </c>
      <c r="D198" s="52">
        <f t="shared" si="10"/>
        <v>0.30194299960797699</v>
      </c>
      <c r="E198" s="52">
        <f>$V$4*Performance!$E$12*(1/A198)+Performance!$E$23*(1/Constraints!$V$9)*Constraints!A198</f>
        <v>0.29323077484367899</v>
      </c>
      <c r="F198" s="52">
        <f xml:space="preserve"> 1.21 / (9.81 * Constraints!$N$7 * Performance!$E$15 * Constraints!$N$5 ) * Constraints!A198 + 0.605 /Performance!$E$15 * (Performance!$E$16  - Constraints!$N$6 * Performance!$E$14) + Constraints!$N$6</f>
        <v>0.30188859797738782</v>
      </c>
      <c r="G198" s="54" t="s">
        <v>198</v>
      </c>
      <c r="H198" s="55">
        <f>SQRT(2/$V$3 * A198 * SQRT(Performance!$E$23 / (3 * Performance!$E$12)))</f>
        <v>12.206560893810265</v>
      </c>
      <c r="I198" s="55">
        <f>SQRT(2/$V$3 * A198 * (SQRT(Performance!$E$23)/(SQRT(3*Performance!$E$12 + 4* Performance!$E$23 * Performance!$E$11^2) - SQRT(Performance!$E$23)*Performance!$E$11)))</f>
        <v>12.840509103198569</v>
      </c>
      <c r="J198" t="e">
        <f xml:space="preserve"> $AC$3/G198 + $AC$6/A198 * Performance!$E$12 + Performance!$E$23/Constraints!$AC$6 * Constraints!A198</f>
        <v>#VALUE!</v>
      </c>
      <c r="K198">
        <f xml:space="preserve"> $AC$3/H198 + $AC$6/A198 * Performance!$E$12 + Performance!$E$23/Constraints!$AC$6 * Constraints!A198</f>
        <v>0.73459123001983651</v>
      </c>
      <c r="L198">
        <f xml:space="preserve"> $AC$3/I198 + $AC$6/A198 * Performance!$E$12 + Performance!$E$23/Constraints!$AC$6 * Constraints!A198</f>
        <v>0.71404453726673522</v>
      </c>
      <c r="M198">
        <f>SIN($AC$9 * PI()/180) + 1/Performance!$AE$5</f>
        <v>0.24073077270730886</v>
      </c>
      <c r="N198">
        <f>SIN($AC$9 * PI()/180) + 1/Performance!$AE$8</f>
        <v>0.22738716112204788</v>
      </c>
      <c r="O198" s="60">
        <f>$AC$16 * (Performance!$E$12/Constraints!A198 + Performance!$E$23 * (Constraints!$AC$13/Constraints!$AC$17)^2 * Constraints!A198)</f>
        <v>2.9505991200636954E-4</v>
      </c>
      <c r="P198" t="e">
        <f t="shared" si="11"/>
        <v>#VALUE!</v>
      </c>
      <c r="Q198">
        <f t="shared" si="12"/>
        <v>39.122776396597047</v>
      </c>
      <c r="R198">
        <f t="shared" si="13"/>
        <v>43.291986028578762</v>
      </c>
      <c r="S198" t="e">
        <f xml:space="preserve"> 1.667/G198 + P198/A198 * Performance!$E$12 + Performance!$E$23 / Constraints!P198 * Constraints!A198</f>
        <v>#VALUE!</v>
      </c>
      <c r="T198">
        <f xml:space="preserve"> 1.667/H198 + Q198/A198 * Performance!$E$12 + Performance!$E$23 / Constraints!Q198 * Constraints!A198</f>
        <v>0.24247886966569926</v>
      </c>
      <c r="U198">
        <f xml:space="preserve"> 1.667/I198 + R198/A198 * Performance!$E$12 + Performance!$E$23 / Constraints!R198 * Constraints!A198</f>
        <v>0.22796625863590242</v>
      </c>
    </row>
    <row r="199" spans="1:21" x14ac:dyDescent="0.3">
      <c r="A199" s="51">
        <v>98.5</v>
      </c>
      <c r="B199" s="50">
        <f>$V$4*Performance!$E$12*(1/A199)+Performance!$E$23*(1/Constraints!$V$4)*Constraints!A199</f>
        <v>0.29222214426774501</v>
      </c>
      <c r="C199" s="50">
        <f>$V$5*Performance!$E$12*(1/A199)+Performance!$E$23*(1/Constraints!$V$5)*Constraints!A199</f>
        <v>0.45259578140691009</v>
      </c>
      <c r="D199" s="52">
        <f t="shared" si="10"/>
        <v>0.30221528532026259</v>
      </c>
      <c r="E199" s="52">
        <f>$V$4*Performance!$E$12*(1/A199)+Performance!$E$23*(1/Constraints!$V$9)*Constraints!A199</f>
        <v>0.29177730249108558</v>
      </c>
      <c r="F199" s="52">
        <f xml:space="preserve"> 1.21 / (9.81 * Constraints!$N$7 * Performance!$E$15 * Constraints!$N$5 ) * Constraints!A199 + 0.605 /Performance!$E$15 * (Performance!$E$16  - Constraints!$N$6 * Performance!$E$14) + Constraints!$N$6</f>
        <v>0.30216060613033369</v>
      </c>
      <c r="G199" s="54" t="s">
        <v>198</v>
      </c>
      <c r="H199" s="55">
        <f>SQRT(2/$V$3 * A199 * SQRT(Performance!$E$23 / (3 * Performance!$E$12)))</f>
        <v>12.237660462414807</v>
      </c>
      <c r="I199" s="55">
        <f>SQRT(2/$V$3 * A199 * (SQRT(Performance!$E$23)/(SQRT(3*Performance!$E$12 + 4* Performance!$E$23 * Performance!$E$11^2) - SQRT(Performance!$E$23)*Performance!$E$11)))</f>
        <v>12.873223829094432</v>
      </c>
      <c r="J199" t="e">
        <f xml:space="preserve"> $AC$3/G199 + $AC$6/A199 * Performance!$E$12 + Performance!$E$23/Constraints!$AC$6 * Constraints!A199</f>
        <v>#VALUE!</v>
      </c>
      <c r="K199">
        <f xml:space="preserve"> $AC$3/H199 + $AC$6/A199 * Performance!$E$12 + Performance!$E$23/Constraints!$AC$6 * Constraints!A199</f>
        <v>0.73512184926504376</v>
      </c>
      <c r="L199">
        <f xml:space="preserve"> $AC$3/I199 + $AC$6/A199 * Performance!$E$12 + Performance!$E$23/Constraints!$AC$6 * Constraints!A199</f>
        <v>0.71462737182571368</v>
      </c>
      <c r="M199">
        <f>SIN($AC$9 * PI()/180) + 1/Performance!$AE$5</f>
        <v>0.24073077270730886</v>
      </c>
      <c r="N199">
        <f>SIN($AC$9 * PI()/180) + 1/Performance!$AE$8</f>
        <v>0.22738716112204788</v>
      </c>
      <c r="O199" s="60">
        <f>$AC$16 * (Performance!$E$12/Constraints!A199 + Performance!$E$23 * (Constraints!$AC$13/Constraints!$AC$17)^2 * Constraints!A199)</f>
        <v>2.9401316917779003E-4</v>
      </c>
      <c r="P199" t="e">
        <f t="shared" si="11"/>
        <v>#VALUE!</v>
      </c>
      <c r="Q199">
        <f t="shared" si="12"/>
        <v>39.322382398620498</v>
      </c>
      <c r="R199">
        <f t="shared" si="13"/>
        <v>43.5128635083164</v>
      </c>
      <c r="S199" t="e">
        <f xml:space="preserve"> 1.667/G199 + P199/A199 * Performance!$E$12 + Performance!$E$23 / Constraints!P199 * Constraints!A199</f>
        <v>#VALUE!</v>
      </c>
      <c r="T199">
        <f xml:space="preserve"> 1.667/H199 + Q199/A199 * Performance!$E$12 + Performance!$E$23 / Constraints!Q199 * Constraints!A199</f>
        <v>0.2421318147155771</v>
      </c>
      <c r="U199">
        <f xml:space="preserve"> 1.667/I199 + R199/A199 * Performance!$E$12 + Performance!$E$23 / Constraints!R199 * Constraints!A199</f>
        <v>0.2276363381204371</v>
      </c>
    </row>
    <row r="200" spans="1:21" x14ac:dyDescent="0.3">
      <c r="A200" s="51">
        <v>99</v>
      </c>
      <c r="B200" s="50">
        <f>$V$4*Performance!$E$12*(1/A200)+Performance!$E$23*(1/Constraints!$V$4)*Constraints!A200</f>
        <v>0.29078578879586209</v>
      </c>
      <c r="C200" s="50">
        <f>$V$5*Performance!$E$12*(1/A200)+Performance!$E$23*(1/Constraints!$V$5)*Constraints!A200</f>
        <v>0.45033525574922051</v>
      </c>
      <c r="D200" s="52">
        <f t="shared" si="10"/>
        <v>0.3024875710325482</v>
      </c>
      <c r="E200" s="52">
        <f>$V$4*Performance!$E$12*(1/A200)+Performance!$E$23*(1/Constraints!$V$9)*Constraints!A200</f>
        <v>0.29033868893911807</v>
      </c>
      <c r="F200" s="52">
        <f xml:space="preserve"> 1.21 / (9.81 * Constraints!$N$7 * Performance!$E$15 * Constraints!$N$5 ) * Constraints!A200 + 0.605 /Performance!$E$15 * (Performance!$E$16  - Constraints!$N$6 * Performance!$E$14) + Constraints!$N$6</f>
        <v>0.30243261428327955</v>
      </c>
      <c r="G200" s="54" t="s">
        <v>198</v>
      </c>
      <c r="H200" s="55">
        <f>SQRT(2/$V$3 * A200 * SQRT(Performance!$E$23 / (3 * Performance!$E$12)))</f>
        <v>12.268681197765435</v>
      </c>
      <c r="I200" s="55">
        <f>SQRT(2/$V$3 * A200 * (SQRT(Performance!$E$23)/(SQRT(3*Performance!$E$12 + 4* Performance!$E$23 * Performance!$E$11^2) - SQRT(Performance!$E$23)*Performance!$E$11)))</f>
        <v>12.905855627528309</v>
      </c>
      <c r="J200" t="e">
        <f xml:space="preserve"> $AC$3/G200 + $AC$6/A200 * Performance!$E$12 + Performance!$E$23/Constraints!$AC$6 * Constraints!A200</f>
        <v>#VALUE!</v>
      </c>
      <c r="K200">
        <f xml:space="preserve"> $AC$3/H200 + $AC$6/A200 * Performance!$E$12 + Performance!$E$23/Constraints!$AC$6 * Constraints!A200</f>
        <v>0.73566067408600833</v>
      </c>
      <c r="L200">
        <f xml:space="preserve"> $AC$3/I200 + $AC$6/A200 * Performance!$E$12 + Performance!$E$23/Constraints!$AC$6 * Constraints!A200</f>
        <v>0.71521801588874245</v>
      </c>
      <c r="M200">
        <f>SIN($AC$9 * PI()/180) + 1/Performance!$AE$5</f>
        <v>0.24073077270730886</v>
      </c>
      <c r="N200">
        <f>SIN($AC$9 * PI()/180) + 1/Performance!$AE$8</f>
        <v>0.22738716112204788</v>
      </c>
      <c r="O200" s="60">
        <f>$AC$16 * (Performance!$E$12/Constraints!A200 + Performance!$E$23 * (Constraints!$AC$13/Constraints!$AC$17)^2 * Constraints!A200)</f>
        <v>2.9297928320032757E-4</v>
      </c>
      <c r="P200" t="e">
        <f t="shared" si="11"/>
        <v>#VALUE!</v>
      </c>
      <c r="Q200">
        <f t="shared" si="12"/>
        <v>39.521988400643949</v>
      </c>
      <c r="R200">
        <f t="shared" si="13"/>
        <v>43.733740988054052</v>
      </c>
      <c r="S200" t="e">
        <f xml:space="preserve"> 1.667/G200 + P200/A200 * Performance!$E$12 + Performance!$E$23 / Constraints!P200 * Constraints!A200</f>
        <v>#VALUE!</v>
      </c>
      <c r="T200">
        <f xml:space="preserve"> 1.667/H200 + Q200/A200 * Performance!$E$12 + Performance!$E$23 / Constraints!Q200 * Constraints!A200</f>
        <v>0.24178739230056079</v>
      </c>
      <c r="U200">
        <f xml:space="preserve"> 1.667/I200 + R200/A200 * Performance!$E$12 + Performance!$E$23 / Constraints!R200 * Constraints!A200</f>
        <v>0.22730892016930285</v>
      </c>
    </row>
    <row r="201" spans="1:21" x14ac:dyDescent="0.3">
      <c r="A201" s="51">
        <v>99.5</v>
      </c>
      <c r="B201" s="50">
        <f>$V$4*Performance!$E$12*(1/A201)+Performance!$E$23*(1/Constraints!$V$4)*Constraints!A201</f>
        <v>0.28936406812258547</v>
      </c>
      <c r="C201" s="50">
        <f>$V$5*Performance!$E$12*(1/A201)+Performance!$E$23*(1/Constraints!$V$5)*Constraints!A201</f>
        <v>0.44809757645845333</v>
      </c>
      <c r="D201" s="52">
        <f t="shared" si="10"/>
        <v>0.30275985674483374</v>
      </c>
      <c r="E201" s="52">
        <f>$V$4*Performance!$E$12*(1/A201)+Performance!$E$23*(1/Constraints!$V$9)*Constraints!A201</f>
        <v>0.28891471018575693</v>
      </c>
      <c r="F201" s="52">
        <f xml:space="preserve"> 1.21 / (9.81 * Constraints!$N$7 * Performance!$E$15 * Constraints!$N$5 ) * Constraints!A201 + 0.605 /Performance!$E$15 * (Performance!$E$16  - Constraints!$N$6 * Performance!$E$14) + Constraints!$N$6</f>
        <v>0.30270462243622537</v>
      </c>
      <c r="G201" s="54" t="s">
        <v>198</v>
      </c>
      <c r="H201" s="55">
        <f>SQRT(2/$V$3 * A201 * SQRT(Performance!$E$23 / (3 * Performance!$E$12)))</f>
        <v>12.299623696335416</v>
      </c>
      <c r="I201" s="55">
        <f>SQRT(2/$V$3 * A201 * (SQRT(Performance!$E$23)/(SQRT(3*Performance!$E$12 + 4* Performance!$E$23 * Performance!$E$11^2) - SQRT(Performance!$E$23)*Performance!$E$11)))</f>
        <v>12.938405125951325</v>
      </c>
      <c r="J201" t="e">
        <f xml:space="preserve"> $AC$3/G201 + $AC$6/A201 * Performance!$E$12 + Performance!$E$23/Constraints!$AC$6 * Constraints!A201</f>
        <v>#VALUE!</v>
      </c>
      <c r="K201">
        <f xml:space="preserve"> $AC$3/H201 + $AC$6/A201 * Performance!$E$12 + Performance!$E$23/Constraints!$AC$6 * Constraints!A201</f>
        <v>0.73620760081012648</v>
      </c>
      <c r="L201">
        <f xml:space="preserve"> $AC$3/I201 + $AC$6/A201 * Performance!$E$12 + Performance!$E$23/Constraints!$AC$6 * Constraints!A201</f>
        <v>0.71581637076527027</v>
      </c>
      <c r="M201">
        <f>SIN($AC$9 * PI()/180) + 1/Performance!$AE$5</f>
        <v>0.24073077270730886</v>
      </c>
      <c r="N201">
        <f>SIN($AC$9 * PI()/180) + 1/Performance!$AE$8</f>
        <v>0.22738716112204788</v>
      </c>
      <c r="O201" s="60">
        <f>$AC$16 * (Performance!$E$12/Constraints!A201 + Performance!$E$23 * (Constraints!$AC$13/Constraints!$AC$17)^2 * Constraints!A201)</f>
        <v>2.9195806025210581E-4</v>
      </c>
      <c r="P201" t="e">
        <f t="shared" si="11"/>
        <v>#VALUE!</v>
      </c>
      <c r="Q201">
        <f t="shared" si="12"/>
        <v>39.721594402667414</v>
      </c>
      <c r="R201">
        <f t="shared" si="13"/>
        <v>43.95461846779169</v>
      </c>
      <c r="S201" t="e">
        <f xml:space="preserve"> 1.667/G201 + P201/A201 * Performance!$E$12 + Performance!$E$23 / Constraints!P201 * Constraints!A201</f>
        <v>#VALUE!</v>
      </c>
      <c r="T201">
        <f xml:space="preserve"> 1.667/H201 + Q201/A201 * Performance!$E$12 + Performance!$E$23 / Constraints!Q201 * Constraints!A201</f>
        <v>0.24144556930687816</v>
      </c>
      <c r="U201">
        <f xml:space="preserve"> 1.667/I201 + R201/A201 * Performance!$E$12 + Performance!$E$23 / Constraints!R201 * Constraints!A201</f>
        <v>0.22698397330358616</v>
      </c>
    </row>
    <row r="202" spans="1:21" x14ac:dyDescent="0.3">
      <c r="A202" s="51">
        <v>100</v>
      </c>
      <c r="B202" s="50">
        <f>$V$4*Performance!$E$12*(1/A202)+Performance!$E$23*(1/Constraints!$V$4)*Constraints!A202</f>
        <v>0.28795676272593623</v>
      </c>
      <c r="C202" s="50">
        <f>$V$5*Performance!$E$12*(1/A202)+Performance!$E$23*(1/Constraints!$V$5)*Constraints!A202</f>
        <v>0.44588240083910485</v>
      </c>
      <c r="D202" s="52">
        <f t="shared" si="10"/>
        <v>0.30303214245711935</v>
      </c>
      <c r="E202" s="52">
        <f>$V$4*Performance!$E$12*(1/A202)+Performance!$E$23*(1/Constraints!$V$9)*Constraints!A202</f>
        <v>0.28750514670902311</v>
      </c>
      <c r="F202" s="52">
        <f xml:space="preserve"> 1.21 / (9.81 * Constraints!$N$7 * Performance!$E$15 * Constraints!$N$5 ) * Constraints!A202 + 0.605 /Performance!$E$15 * (Performance!$E$16  - Constraints!$N$6 * Performance!$E$14) + Constraints!$N$6</f>
        <v>0.30297663058917124</v>
      </c>
      <c r="G202" s="54" t="s">
        <v>198</v>
      </c>
      <c r="H202" s="55">
        <f>SQRT(2/$V$3 * A202 * SQRT(Performance!$E$23 / (3 * Performance!$E$12)))</f>
        <v>12.330488547113946</v>
      </c>
      <c r="I202" s="55">
        <f>SQRT(2/$V$3 * A202 * (SQRT(Performance!$E$23)/(SQRT(3*Performance!$E$12 + 4* Performance!$E$23 * Performance!$E$11^2) - SQRT(Performance!$E$23)*Performance!$E$11)))</f>
        <v>12.970872943941858</v>
      </c>
      <c r="J202" t="e">
        <f xml:space="preserve"> $AC$3/G202 + $AC$6/A202 * Performance!$E$12 + Performance!$E$23/Constraints!$AC$6 * Constraints!A202</f>
        <v>#VALUE!</v>
      </c>
      <c r="K202">
        <f xml:space="preserve"> $AC$3/H202 + $AC$6/A202 * Performance!$E$12 + Performance!$E$23/Constraints!$AC$6 * Constraints!A202</f>
        <v>0.73676252758818861</v>
      </c>
      <c r="L202">
        <f xml:space="preserve"> $AC$3/I202 + $AC$6/A202 * Performance!$E$12 + Performance!$E$23/Constraints!$AC$6 * Constraints!A202</f>
        <v>0.71642233950084444</v>
      </c>
      <c r="M202">
        <f>SIN($AC$9 * PI()/180) + 1/Performance!$AE$5</f>
        <v>0.24073077270730886</v>
      </c>
      <c r="N202">
        <f>SIN($AC$9 * PI()/180) + 1/Performance!$AE$8</f>
        <v>0.22738716112204788</v>
      </c>
      <c r="O202" s="60">
        <f>$AC$16 * (Performance!$E$12/Constraints!A202 + Performance!$E$23 * (Constraints!$AC$13/Constraints!$AC$17)^2 * Constraints!A202)</f>
        <v>2.909493103876864E-4</v>
      </c>
      <c r="P202" t="e">
        <f t="shared" si="11"/>
        <v>#VALUE!</v>
      </c>
      <c r="Q202">
        <f t="shared" si="12"/>
        <v>39.921200404690858</v>
      </c>
      <c r="R202">
        <f t="shared" si="13"/>
        <v>44.175495947529335</v>
      </c>
      <c r="S202" t="e">
        <f xml:space="preserve"> 1.667/G202 + P202/A202 * Performance!$E$12 + Performance!$E$23 / Constraints!P202 * Constraints!A202</f>
        <v>#VALUE!</v>
      </c>
      <c r="T202">
        <f xml:space="preserve"> 1.667/H202 + Q202/A202 * Performance!$E$12 + Performance!$E$23 / Constraints!Q202 * Constraints!A202</f>
        <v>0.2411063132009762</v>
      </c>
      <c r="U202">
        <f xml:space="preserve"> 1.667/I202 + R202/A202 * Performance!$E$12 + Performance!$E$23 / Constraints!R202 * Constraints!A202</f>
        <v>0.22666146659594649</v>
      </c>
    </row>
    <row r="203" spans="1:21" x14ac:dyDescent="0.3">
      <c r="A203" s="51">
        <v>100.5</v>
      </c>
      <c r="B203" s="50">
        <f>$V$4*Performance!$E$12*(1/A203)+Performance!$E$23*(1/Constraints!$V$4)*Constraints!A203</f>
        <v>0.28656365745253182</v>
      </c>
      <c r="C203" s="50">
        <f>$V$5*Performance!$E$12*(1/A203)+Performance!$E$23*(1/Constraints!$V$5)*Constraints!A203</f>
        <v>0.44368939301548221</v>
      </c>
      <c r="D203" s="52">
        <f t="shared" si="10"/>
        <v>0.30330442816940495</v>
      </c>
      <c r="E203" s="52">
        <f>$V$4*Performance!$E$12*(1/A203)+Performance!$E$23*(1/Constraints!$V$9)*Constraints!A203</f>
        <v>0.28610978335553411</v>
      </c>
      <c r="F203" s="52">
        <f xml:space="preserve"> 1.21 / (9.81 * Constraints!$N$7 * Performance!$E$15 * Constraints!$N$5 ) * Constraints!A203 + 0.605 /Performance!$E$15 * (Performance!$E$16  - Constraints!$N$6 * Performance!$E$14) + Constraints!$N$6</f>
        <v>0.3032486387421171</v>
      </c>
      <c r="G203" s="54" t="s">
        <v>198</v>
      </c>
      <c r="H203" s="55">
        <f>SQRT(2/$V$3 * A203 * SQRT(Performance!$E$23 / (3 * Performance!$E$12)))</f>
        <v>12.361276331736976</v>
      </c>
      <c r="I203" s="55">
        <f>SQRT(2/$V$3 * A203 * (SQRT(Performance!$E$23)/(SQRT(3*Performance!$E$12 + 4* Performance!$E$23 * Performance!$E$11^2) - SQRT(Performance!$E$23)*Performance!$E$11)))</f>
        <v>13.003259693343141</v>
      </c>
      <c r="J203" t="e">
        <f xml:space="preserve"> $AC$3/G203 + $AC$6/A203 * Performance!$E$12 + Performance!$E$23/Constraints!$AC$6 * Constraints!A203</f>
        <v>#VALUE!</v>
      </c>
      <c r="K203">
        <f xml:space="preserve"> $AC$3/H203 + $AC$6/A203 * Performance!$E$12 + Performance!$E$23/Constraints!$AC$6 * Constraints!A203</f>
        <v>0.73732535435336977</v>
      </c>
      <c r="L203">
        <f xml:space="preserve"> $AC$3/I203 + $AC$6/A203 * Performance!$E$12 + Performance!$E$23/Constraints!$AC$6 * Constraints!A203</f>
        <v>0.71703582683805878</v>
      </c>
      <c r="M203">
        <f>SIN($AC$9 * PI()/180) + 1/Performance!$AE$5</f>
        <v>0.24073077270730886</v>
      </c>
      <c r="N203">
        <f>SIN($AC$9 * PI()/180) + 1/Performance!$AE$8</f>
        <v>0.22738716112204788</v>
      </c>
      <c r="O203" s="60">
        <f>$AC$16 * (Performance!$E$12/Constraints!A203 + Performance!$E$23 * (Constraints!$AC$13/Constraints!$AC$17)^2 * Constraints!A203)</f>
        <v>2.8995284744163927E-4</v>
      </c>
      <c r="P203" t="e">
        <f t="shared" si="11"/>
        <v>#VALUE!</v>
      </c>
      <c r="Q203">
        <f t="shared" si="12"/>
        <v>40.120806406714316</v>
      </c>
      <c r="R203">
        <f t="shared" si="13"/>
        <v>44.396373427266987</v>
      </c>
      <c r="S203" t="e">
        <f xml:space="preserve"> 1.667/G203 + P203/A203 * Performance!$E$12 + Performance!$E$23 / Constraints!P203 * Constraints!A203</f>
        <v>#VALUE!</v>
      </c>
      <c r="T203">
        <f xml:space="preserve"> 1.667/H203 + Q203/A203 * Performance!$E$12 + Performance!$E$23 / Constraints!Q203 * Constraints!A203</f>
        <v>0.24076959201651443</v>
      </c>
      <c r="U203">
        <f xml:space="preserve"> 1.667/I203 + R203/A203 * Performance!$E$12 + Performance!$E$23 / Constraints!R203 * Constraints!A203</f>
        <v>0.22634136965825233</v>
      </c>
    </row>
    <row r="204" spans="1:21" x14ac:dyDescent="0.3">
      <c r="A204" s="51">
        <v>101</v>
      </c>
      <c r="B204" s="50">
        <f>$V$4*Performance!$E$12*(1/A204)+Performance!$E$23*(1/Constraints!$V$4)*Constraints!A204</f>
        <v>0.28518454140945271</v>
      </c>
      <c r="C204" s="50">
        <f>$V$5*Performance!$E$12*(1/A204)+Performance!$E$23*(1/Constraints!$V$5)*Constraints!A204</f>
        <v>0.4415182237628964</v>
      </c>
      <c r="D204" s="52">
        <f t="shared" si="10"/>
        <v>0.30357671388169055</v>
      </c>
      <c r="E204" s="52">
        <f>$V$4*Performance!$E$12*(1/A204)+Performance!$E$23*(1/Constraints!$V$9)*Constraints!A204</f>
        <v>0.28472840923237047</v>
      </c>
      <c r="F204" s="52">
        <f xml:space="preserve"> 1.21 / (9.81 * Constraints!$N$7 * Performance!$E$15 * Constraints!$N$5 ) * Constraints!A204 + 0.605 /Performance!$E$15 * (Performance!$E$16  - Constraints!$N$6 * Performance!$E$14) + Constraints!$N$6</f>
        <v>0.30352064689506297</v>
      </c>
      <c r="G204" s="54" t="s">
        <v>198</v>
      </c>
      <c r="H204" s="55">
        <f>SQRT(2/$V$3 * A204 * SQRT(Performance!$E$23 / (3 * Performance!$E$12)))</f>
        <v>12.39198762461508</v>
      </c>
      <c r="I204" s="55">
        <f>SQRT(2/$V$3 * A204 * (SQRT(Performance!$E$23)/(SQRT(3*Performance!$E$12 + 4* Performance!$E$23 * Performance!$E$11^2) - SQRT(Performance!$E$23)*Performance!$E$11)))</f>
        <v>13.035565978397784</v>
      </c>
      <c r="J204" t="e">
        <f xml:space="preserve"> $AC$3/G204 + $AC$6/A204 * Performance!$E$12 + Performance!$E$23/Constraints!$AC$6 * Constraints!A204</f>
        <v>#VALUE!</v>
      </c>
      <c r="K204">
        <f xml:space="preserve"> $AC$3/H204 + $AC$6/A204 * Performance!$E$12 + Performance!$E$23/Constraints!$AC$6 * Constraints!A204</f>
        <v>0.73789598278134227</v>
      </c>
      <c r="L204">
        <f xml:space="preserve"> $AC$3/I204 + $AC$6/A204 * Performance!$E$12 + Performance!$E$23/Constraints!$AC$6 * Constraints!A204</f>
        <v>0.71765673917856876</v>
      </c>
      <c r="M204">
        <f>SIN($AC$9 * PI()/180) + 1/Performance!$AE$5</f>
        <v>0.24073077270730886</v>
      </c>
      <c r="N204">
        <f>SIN($AC$9 * PI()/180) + 1/Performance!$AE$8</f>
        <v>0.22738716112204788</v>
      </c>
      <c r="O204" s="60">
        <f>$AC$16 * (Performance!$E$12/Constraints!A204 + Performance!$E$23 * (Constraints!$AC$13/Constraints!$AC$17)^2 * Constraints!A204)</f>
        <v>2.8896848893497878E-4</v>
      </c>
      <c r="P204" t="e">
        <f t="shared" si="11"/>
        <v>#VALUE!</v>
      </c>
      <c r="Q204">
        <f t="shared" si="12"/>
        <v>40.320412408737766</v>
      </c>
      <c r="R204">
        <f t="shared" si="13"/>
        <v>44.617250907004639</v>
      </c>
      <c r="S204" t="e">
        <f xml:space="preserve"> 1.667/G204 + P204/A204 * Performance!$E$12 + Performance!$E$23 / Constraints!P204 * Constraints!A204</f>
        <v>#VALUE!</v>
      </c>
      <c r="T204">
        <f xml:space="preserve"> 1.667/H204 + Q204/A204 * Performance!$E$12 + Performance!$E$23 / Constraints!Q204 * Constraints!A204</f>
        <v>0.24043537434171386</v>
      </c>
      <c r="U204">
        <f xml:space="preserve"> 1.667/I204 + R204/A204 * Performance!$E$12 + Performance!$E$23 / Constraints!R204 * Constraints!A204</f>
        <v>0.22602365262955404</v>
      </c>
    </row>
    <row r="205" spans="1:21" x14ac:dyDescent="0.3">
      <c r="A205" s="51">
        <v>101.5</v>
      </c>
      <c r="B205" s="50">
        <f>$V$4*Performance!$E$12*(1/A205)+Performance!$E$23*(1/Constraints!$V$4)*Constraints!A205</f>
        <v>0.28381920785930503</v>
      </c>
      <c r="C205" s="50">
        <f>$V$5*Performance!$E$12*(1/A205)+Performance!$E$23*(1/Constraints!$V$5)*Constraints!A205</f>
        <v>0.43936857034384447</v>
      </c>
      <c r="D205" s="52">
        <f t="shared" si="10"/>
        <v>0.30384899959397615</v>
      </c>
      <c r="E205" s="52">
        <f>$V$4*Performance!$E$12*(1/A205)+Performance!$E$23*(1/Constraints!$V$9)*Constraints!A205</f>
        <v>0.28336081760213822</v>
      </c>
      <c r="F205" s="52">
        <f xml:space="preserve"> 1.21 / (9.81 * Constraints!$N$7 * Performance!$E$15 * Constraints!$N$5 ) * Constraints!A205 + 0.605 /Performance!$E$15 * (Performance!$E$16  - Constraints!$N$6 * Performance!$E$14) + Constraints!$N$6</f>
        <v>0.30379265504800879</v>
      </c>
      <c r="G205" s="54" t="s">
        <v>198</v>
      </c>
      <c r="H205" s="55">
        <f>SQRT(2/$V$3 * A205 * SQRT(Performance!$E$23 / (3 * Performance!$E$12)))</f>
        <v>12.422622993058503</v>
      </c>
      <c r="I205" s="55">
        <f>SQRT(2/$V$3 * A205 * (SQRT(Performance!$E$23)/(SQRT(3*Performance!$E$12 + 4* Performance!$E$23 * Performance!$E$11^2) - SQRT(Performance!$E$23)*Performance!$E$11)))</f>
        <v>13.067792395879312</v>
      </c>
      <c r="J205" t="e">
        <f xml:space="preserve"> $AC$3/G205 + $AC$6/A205 * Performance!$E$12 + Performance!$E$23/Constraints!$AC$6 * Constraints!A205</f>
        <v>#VALUE!</v>
      </c>
      <c r="K205">
        <f xml:space="preserve"> $AC$3/H205 + $AC$6/A205 * Performance!$E$12 + Performance!$E$23/Constraints!$AC$6 * Constraints!A205</f>
        <v>0.73847431625147331</v>
      </c>
      <c r="L205">
        <f xml:space="preserve"> $AC$3/I205 + $AC$6/A205 * Performance!$E$12 + Performance!$E$23/Constraints!$AC$6 * Constraints!A205</f>
        <v>0.71828498454614143</v>
      </c>
      <c r="M205">
        <f>SIN($AC$9 * PI()/180) + 1/Performance!$AE$5</f>
        <v>0.24073077270730886</v>
      </c>
      <c r="N205">
        <f>SIN($AC$9 * PI()/180) + 1/Performance!$AE$8</f>
        <v>0.22738716112204788</v>
      </c>
      <c r="O205" s="60">
        <f>$AC$16 * (Performance!$E$12/Constraints!A205 + Performance!$E$23 * (Constraints!$AC$13/Constraints!$AC$17)^2 * Constraints!A205)</f>
        <v>2.8799605598436417E-4</v>
      </c>
      <c r="P205" t="e">
        <f t="shared" si="11"/>
        <v>#VALUE!</v>
      </c>
      <c r="Q205">
        <f t="shared" si="12"/>
        <v>40.520018410761217</v>
      </c>
      <c r="R205">
        <f t="shared" si="13"/>
        <v>44.838128386742277</v>
      </c>
      <c r="S205" t="e">
        <f xml:space="preserve"> 1.667/G205 + P205/A205 * Performance!$E$12 + Performance!$E$23 / Constraints!P205 * Constraints!A205</f>
        <v>#VALUE!</v>
      </c>
      <c r="T205">
        <f xml:space="preserve"> 1.667/H205 + Q205/A205 * Performance!$E$12 + Performance!$E$23 / Constraints!Q205 * Constraints!A205</f>
        <v>0.24010362930704787</v>
      </c>
      <c r="U205">
        <f xml:space="preserve"> 1.667/I205 + R205/A205 * Performance!$E$12 + Performance!$E$23 / Constraints!R205 * Constraints!A205</f>
        <v>0.22570828616438321</v>
      </c>
    </row>
    <row r="206" spans="1:21" x14ac:dyDescent="0.3">
      <c r="A206" s="51">
        <v>102</v>
      </c>
      <c r="B206" s="50">
        <f>$V$4*Performance!$E$12*(1/A206)+Performance!$E$23*(1/Constraints!$V$4)*Constraints!A206</f>
        <v>0.28246745411836915</v>
      </c>
      <c r="C206" s="50">
        <f>$V$5*Performance!$E$12*(1/A206)+Performance!$E$23*(1/Constraints!$V$5)*Constraints!A206</f>
        <v>0.43724011634900967</v>
      </c>
      <c r="D206" s="52">
        <f t="shared" si="10"/>
        <v>0.30412128530626176</v>
      </c>
      <c r="E206" s="52">
        <f>$V$4*Performance!$E$12*(1/A206)+Performance!$E$23*(1/Constraints!$V$9)*Constraints!A206</f>
        <v>0.28200680578111775</v>
      </c>
      <c r="F206" s="52">
        <f xml:space="preserve"> 1.21 / (9.81 * Constraints!$N$7 * Performance!$E$15 * Constraints!$N$5 ) * Constraints!A206 + 0.605 /Performance!$E$15 * (Performance!$E$16  - Constraints!$N$6 * Performance!$E$14) + Constraints!$N$6</f>
        <v>0.30406466320095465</v>
      </c>
      <c r="G206" s="54" t="s">
        <v>198</v>
      </c>
      <c r="H206" s="55">
        <f>SQRT(2/$V$3 * A206 * SQRT(Performance!$E$23 / (3 * Performance!$E$12)))</f>
        <v>12.453182997399434</v>
      </c>
      <c r="I206" s="55">
        <f>SQRT(2/$V$3 * A206 * (SQRT(Performance!$E$23)/(SQRT(3*Performance!$E$12 + 4* Performance!$E$23 * Performance!$E$11^2) - SQRT(Performance!$E$23)*Performance!$E$11)))</f>
        <v>13.099939535220786</v>
      </c>
      <c r="J206" t="e">
        <f xml:space="preserve"> $AC$3/G206 + $AC$6/A206 * Performance!$E$12 + Performance!$E$23/Constraints!$AC$6 * Constraints!A206</f>
        <v>#VALUE!</v>
      </c>
      <c r="K206">
        <f xml:space="preserve"> $AC$3/H206 + $AC$6/A206 * Performance!$E$12 + Performance!$E$23/Constraints!$AC$6 * Constraints!A206</f>
        <v>0.73906025980907186</v>
      </c>
      <c r="L206">
        <f xml:space="preserve"> $AC$3/I206 + $AC$6/A206 * Performance!$E$12 + Performance!$E$23/Constraints!$AC$6 * Constraints!A206</f>
        <v>0.71892047255070468</v>
      </c>
      <c r="M206">
        <f>SIN($AC$9 * PI()/180) + 1/Performance!$AE$5</f>
        <v>0.24073077270730886</v>
      </c>
      <c r="N206">
        <f>SIN($AC$9 * PI()/180) + 1/Performance!$AE$8</f>
        <v>0.22738716112204788</v>
      </c>
      <c r="O206" s="60">
        <f>$AC$16 * (Performance!$E$12/Constraints!A206 + Performance!$E$23 * (Constraints!$AC$13/Constraints!$AC$17)^2 * Constraints!A206)</f>
        <v>2.8703537321397128E-4</v>
      </c>
      <c r="P206" t="e">
        <f t="shared" si="11"/>
        <v>#VALUE!</v>
      </c>
      <c r="Q206">
        <f t="shared" si="12"/>
        <v>40.719624412784668</v>
      </c>
      <c r="R206">
        <f t="shared" si="13"/>
        <v>45.059005866479929</v>
      </c>
      <c r="S206" t="e">
        <f xml:space="preserve"> 1.667/G206 + P206/A206 * Performance!$E$12 + Performance!$E$23 / Constraints!P206 * Constraints!A206</f>
        <v>#VALUE!</v>
      </c>
      <c r="T206">
        <f xml:space="preserve"> 1.667/H206 + Q206/A206 * Performance!$E$12 + Performance!$E$23 / Constraints!Q206 * Constraints!A206</f>
        <v>0.23977432657326647</v>
      </c>
      <c r="U206">
        <f xml:space="preserve"> 1.667/I206 + R206/A206 * Performance!$E$12 + Performance!$E$23 / Constraints!R206 * Constraints!A206</f>
        <v>0.22539524142136758</v>
      </c>
    </row>
    <row r="207" spans="1:21" x14ac:dyDescent="0.3">
      <c r="A207" s="51">
        <v>102.5</v>
      </c>
      <c r="B207" s="50">
        <f>$V$4*Performance!$E$12*(1/A207)+Performance!$E$23*(1/Constraints!$V$4)*Constraints!A207</f>
        <v>0.28112908145772975</v>
      </c>
      <c r="C207" s="50">
        <f>$V$5*Performance!$E$12*(1/A207)+Performance!$E$23*(1/Constraints!$V$5)*Constraints!A207</f>
        <v>0.43513255154291575</v>
      </c>
      <c r="D207" s="52">
        <f t="shared" si="10"/>
        <v>0.30439357101854736</v>
      </c>
      <c r="E207" s="52">
        <f>$V$4*Performance!$E$12*(1/A207)+Performance!$E$23*(1/Constraints!$V$9)*Constraints!A207</f>
        <v>0.28066617504039376</v>
      </c>
      <c r="F207" s="52">
        <f xml:space="preserve"> 1.21 / (9.81 * Constraints!$N$7 * Performance!$E$15 * Constraints!$N$5 ) * Constraints!A207 + 0.605 /Performance!$E$15 * (Performance!$E$16  - Constraints!$N$6 * Performance!$E$14) + Constraints!$N$6</f>
        <v>0.30433667135390052</v>
      </c>
      <c r="G207" s="54" t="s">
        <v>198</v>
      </c>
      <c r="H207" s="55">
        <f>SQRT(2/$V$3 * A207 * SQRT(Performance!$E$23 / (3 * Performance!$E$12)))</f>
        <v>12.483668191111574</v>
      </c>
      <c r="I207" s="55">
        <f>SQRT(2/$V$3 * A207 * (SQRT(Performance!$E$23)/(SQRT(3*Performance!$E$12 + 4* Performance!$E$23 * Performance!$E$11^2) - SQRT(Performance!$E$23)*Performance!$E$11)))</f>
        <v>13.132007978640587</v>
      </c>
      <c r="J207" t="e">
        <f xml:space="preserve"> $AC$3/G207 + $AC$6/A207 * Performance!$E$12 + Performance!$E$23/Constraints!$AC$6 * Constraints!A207</f>
        <v>#VALUE!</v>
      </c>
      <c r="K207">
        <f xml:space="preserve"> $AC$3/H207 + $AC$6/A207 * Performance!$E$12 + Performance!$E$23/Constraints!$AC$6 * Constraints!A207</f>
        <v>0.73965372012865516</v>
      </c>
      <c r="L207">
        <f xml:space="preserve"> $AC$3/I207 + $AC$6/A207 * Performance!$E$12 + Performance!$E$23/Constraints!$AC$6 * Constraints!A207</f>
        <v>0.71956311435336595</v>
      </c>
      <c r="M207">
        <f>SIN($AC$9 * PI()/180) + 1/Performance!$AE$5</f>
        <v>0.24073077270730886</v>
      </c>
      <c r="N207">
        <f>SIN($AC$9 * PI()/180) + 1/Performance!$AE$8</f>
        <v>0.22738716112204788</v>
      </c>
      <c r="O207" s="60">
        <f>$AC$16 * (Performance!$E$12/Constraints!A207 + Performance!$E$23 * (Constraints!$AC$13/Constraints!$AC$17)^2 * Constraints!A207)</f>
        <v>2.8608626866994324E-4</v>
      </c>
      <c r="P207" t="e">
        <f t="shared" si="11"/>
        <v>#VALUE!</v>
      </c>
      <c r="Q207">
        <f t="shared" si="12"/>
        <v>40.919230414808133</v>
      </c>
      <c r="R207">
        <f t="shared" si="13"/>
        <v>45.279883346217581</v>
      </c>
      <c r="S207" t="e">
        <f xml:space="preserve"> 1.667/G207 + P207/A207 * Performance!$E$12 + Performance!$E$23 / Constraints!P207 * Constraints!A207</f>
        <v>#VALUE!</v>
      </c>
      <c r="T207">
        <f xml:space="preserve"> 1.667/H207 + Q207/A207 * Performance!$E$12 + Performance!$E$23 / Constraints!Q207 * Constraints!A207</f>
        <v>0.23944743631974169</v>
      </c>
      <c r="U207">
        <f xml:space="preserve"> 1.667/I207 + R207/A207 * Performance!$E$12 + Performance!$E$23 / Constraints!R207 * Constraints!A207</f>
        <v>0.22508449005215203</v>
      </c>
    </row>
    <row r="208" spans="1:21" x14ac:dyDescent="0.3">
      <c r="A208" s="51">
        <v>103</v>
      </c>
      <c r="B208" s="50">
        <f>$V$4*Performance!$E$12*(1/A208)+Performance!$E$23*(1/Constraints!$V$4)*Constraints!A208</f>
        <v>0.27980389500728542</v>
      </c>
      <c r="C208" s="50">
        <f>$V$5*Performance!$E$12*(1/A208)+Performance!$E$23*(1/Constraints!$V$5)*Constraints!A208</f>
        <v>0.43304557171407609</v>
      </c>
      <c r="D208" s="52">
        <f t="shared" si="10"/>
        <v>0.30466585673083296</v>
      </c>
      <c r="E208" s="52">
        <f>$V$4*Performance!$E$12*(1/A208)+Performance!$E$23*(1/Constraints!$V$9)*Constraints!A208</f>
        <v>0.27933873050986491</v>
      </c>
      <c r="F208" s="52">
        <f xml:space="preserve"> 1.21 / (9.81 * Constraints!$N$7 * Performance!$E$15 * Constraints!$N$5 ) * Constraints!A208 + 0.605 /Performance!$E$15 * (Performance!$E$16  - Constraints!$N$6 * Performance!$E$14) + Constraints!$N$6</f>
        <v>0.30460867950684639</v>
      </c>
      <c r="G208" s="54" t="s">
        <v>198</v>
      </c>
      <c r="H208" s="55">
        <f>SQRT(2/$V$3 * A208 * SQRT(Performance!$E$23 / (3 * Performance!$E$12)))</f>
        <v>12.514079120927093</v>
      </c>
      <c r="I208" s="55">
        <f>SQRT(2/$V$3 * A208 * (SQRT(Performance!$E$23)/(SQRT(3*Performance!$E$12 + 4* Performance!$E$23 * Performance!$E$11^2) - SQRT(Performance!$E$23)*Performance!$E$11)))</f>
        <v>13.163998301265442</v>
      </c>
      <c r="J208" t="e">
        <f xml:space="preserve"> $AC$3/G208 + $AC$6/A208 * Performance!$E$12 + Performance!$E$23/Constraints!$AC$6 * Constraints!A208</f>
        <v>#VALUE!</v>
      </c>
      <c r="K208">
        <f xml:space="preserve"> $AC$3/H208 + $AC$6/A208 * Performance!$E$12 + Performance!$E$23/Constraints!$AC$6 * Constraints!A208</f>
        <v>0.74025460547819777</v>
      </c>
      <c r="L208">
        <f xml:space="preserve"> $AC$3/I208 + $AC$6/A208 * Performance!$E$12 + Performance!$E$23/Constraints!$AC$6 * Constraints!A208</f>
        <v>0.72021282263236897</v>
      </c>
      <c r="M208">
        <f>SIN($AC$9 * PI()/180) + 1/Performance!$AE$5</f>
        <v>0.24073077270730886</v>
      </c>
      <c r="N208">
        <f>SIN($AC$9 * PI()/180) + 1/Performance!$AE$8</f>
        <v>0.22738716112204788</v>
      </c>
      <c r="O208" s="60">
        <f>$AC$16 * (Performance!$E$12/Constraints!A208 + Performance!$E$23 * (Constraints!$AC$13/Constraints!$AC$17)^2 * Constraints!A208)</f>
        <v>2.8514857373733291E-4</v>
      </c>
      <c r="P208" t="e">
        <f t="shared" si="11"/>
        <v>#VALUE!</v>
      </c>
      <c r="Q208">
        <f t="shared" si="12"/>
        <v>41.11883641683157</v>
      </c>
      <c r="R208">
        <f t="shared" si="13"/>
        <v>45.500760825955233</v>
      </c>
      <c r="S208" t="e">
        <f xml:space="preserve"> 1.667/G208 + P208/A208 * Performance!$E$12 + Performance!$E$23 / Constraints!P208 * Constraints!A208</f>
        <v>#VALUE!</v>
      </c>
      <c r="T208">
        <f xml:space="preserve"> 1.667/H208 + Q208/A208 * Performance!$E$12 + Performance!$E$23 / Constraints!Q208 * Constraints!A208</f>
        <v>0.23912292923312467</v>
      </c>
      <c r="U208">
        <f xml:space="preserve"> 1.667/I208 + R208/A208 * Performance!$E$12 + Performance!$E$23 / Constraints!R208 * Constraints!A208</f>
        <v>0.22477600419061577</v>
      </c>
    </row>
    <row r="209" spans="1:21" x14ac:dyDescent="0.3">
      <c r="A209" s="51">
        <v>103.5</v>
      </c>
      <c r="B209" s="50">
        <f>$V$4*Performance!$E$12*(1/A209)+Performance!$E$23*(1/Constraints!$V$4)*Constraints!A209</f>
        <v>0.27849170366254061</v>
      </c>
      <c r="C209" s="50">
        <f>$V$5*Performance!$E$12*(1/A209)+Performance!$E$23*(1/Constraints!$V$5)*Constraints!A209</f>
        <v>0.43097887852948707</v>
      </c>
      <c r="D209" s="52">
        <f t="shared" si="10"/>
        <v>0.30493814244311856</v>
      </c>
      <c r="E209" s="52">
        <f>$V$4*Performance!$E$12*(1/A209)+Performance!$E$23*(1/Constraints!$V$9)*Constraints!A209</f>
        <v>0.27802428108503552</v>
      </c>
      <c r="F209" s="52">
        <f xml:space="preserve"> 1.21 / (9.81 * Constraints!$N$7 * Performance!$E$15 * Constraints!$N$5 ) * Constraints!A209 + 0.605 /Performance!$E$15 * (Performance!$E$16  - Constraints!$N$6 * Performance!$E$14) + Constraints!$N$6</f>
        <v>0.30488068765979226</v>
      </c>
      <c r="G209" s="54" t="s">
        <v>198</v>
      </c>
      <c r="H209" s="55">
        <f>SQRT(2/$V$3 * A209 * SQRT(Performance!$E$23 / (3 * Performance!$E$12)))</f>
        <v>12.544416326951048</v>
      </c>
      <c r="I209" s="55">
        <f>SQRT(2/$V$3 * A209 * (SQRT(Performance!$E$23)/(SQRT(3*Performance!$E$12 + 4* Performance!$E$23 * Performance!$E$11^2) - SQRT(Performance!$E$23)*Performance!$E$11)))</f>
        <v>13.195911071250778</v>
      </c>
      <c r="J209" t="e">
        <f xml:space="preserve"> $AC$3/G209 + $AC$6/A209 * Performance!$E$12 + Performance!$E$23/Constraints!$AC$6 * Constraints!A209</f>
        <v>#VALUE!</v>
      </c>
      <c r="K209">
        <f xml:space="preserve"> $AC$3/H209 + $AC$6/A209 * Performance!$E$12 + Performance!$E$23/Constraints!$AC$6 * Constraints!A209</f>
        <v>0.7408628256843357</v>
      </c>
      <c r="L209">
        <f xml:space="preserve"> $AC$3/I209 + $AC$6/A209 * Performance!$E$12 + Performance!$E$23/Constraints!$AC$6 * Constraints!A209</f>
        <v>0.7208695115499586</v>
      </c>
      <c r="M209">
        <f>SIN($AC$9 * PI()/180) + 1/Performance!$AE$5</f>
        <v>0.24073077270730886</v>
      </c>
      <c r="N209">
        <f>SIN($AC$9 * PI()/180) + 1/Performance!$AE$8</f>
        <v>0.22738716112204788</v>
      </c>
      <c r="O209" s="60">
        <f>$AC$16 * (Performance!$E$12/Constraints!A209 + Performance!$E$23 * (Constraints!$AC$13/Constraints!$AC$17)^2 * Constraints!A209)</f>
        <v>2.8422212305945319E-4</v>
      </c>
      <c r="P209" t="e">
        <f t="shared" si="11"/>
        <v>#VALUE!</v>
      </c>
      <c r="Q209">
        <f t="shared" si="12"/>
        <v>41.318442418855049</v>
      </c>
      <c r="R209">
        <f t="shared" si="13"/>
        <v>45.721638305692871</v>
      </c>
      <c r="S209" t="e">
        <f xml:space="preserve"> 1.667/G209 + P209/A209 * Performance!$E$12 + Performance!$E$23 / Constraints!P209 * Constraints!A209</f>
        <v>#VALUE!</v>
      </c>
      <c r="T209">
        <f xml:space="preserve"> 1.667/H209 + Q209/A209 * Performance!$E$12 + Performance!$E$23 / Constraints!Q209 * Constraints!A209</f>
        <v>0.2388007764963041</v>
      </c>
      <c r="U209">
        <f xml:space="preserve"> 1.667/I209 + R209/A209 * Performance!$E$12 + Performance!$E$23 / Constraints!R209 * Constraints!A209</f>
        <v>0.22446975644237599</v>
      </c>
    </row>
    <row r="210" spans="1:21" x14ac:dyDescent="0.3">
      <c r="A210" s="51">
        <v>104</v>
      </c>
      <c r="B210" s="50">
        <f>$V$4*Performance!$E$12*(1/A210)+Performance!$E$23*(1/Constraints!$V$4)*Constraints!A210</f>
        <v>0.27719231999408628</v>
      </c>
      <c r="C210" s="50">
        <f>$V$5*Performance!$E$12*(1/A210)+Performance!$E$23*(1/Constraints!$V$5)*Constraints!A210</f>
        <v>0.42893217939331818</v>
      </c>
      <c r="D210" s="52">
        <f t="shared" si="10"/>
        <v>0.30521042815540417</v>
      </c>
      <c r="E210" s="52">
        <f>$V$4*Performance!$E$12*(1/A210)+Performance!$E$23*(1/Constraints!$V$9)*Constraints!A210</f>
        <v>0.27672263933649666</v>
      </c>
      <c r="F210" s="52">
        <f xml:space="preserve"> 1.21 / (9.81 * Constraints!$N$7 * Performance!$E$15 * Constraints!$N$5 ) * Constraints!A210 + 0.605 /Performance!$E$15 * (Performance!$E$16  - Constraints!$N$6 * Performance!$E$14) + Constraints!$N$6</f>
        <v>0.30515269581273807</v>
      </c>
      <c r="G210" s="54" t="s">
        <v>198</v>
      </c>
      <c r="H210" s="55">
        <f>SQRT(2/$V$3 * A210 * SQRT(Performance!$E$23 / (3 * Performance!$E$12)))</f>
        <v>12.574680342773272</v>
      </c>
      <c r="I210" s="55">
        <f>SQRT(2/$V$3 * A210 * (SQRT(Performance!$E$23)/(SQRT(3*Performance!$E$12 + 4* Performance!$E$23 * Performance!$E$11^2) - SQRT(Performance!$E$23)*Performance!$E$11)))</f>
        <v>13.227746849898447</v>
      </c>
      <c r="J210" t="e">
        <f xml:space="preserve"> $AC$3/G210 + $AC$6/A210 * Performance!$E$12 + Performance!$E$23/Constraints!$AC$6 * Constraints!A210</f>
        <v>#VALUE!</v>
      </c>
      <c r="K210">
        <f xml:space="preserve"> $AC$3/H210 + $AC$6/A210 * Performance!$E$12 + Performance!$E$23/Constraints!$AC$6 * Constraints!A210</f>
        <v>0.74147829209849436</v>
      </c>
      <c r="L210">
        <f xml:space="preserve"> $AC$3/I210 + $AC$6/A210 * Performance!$E$12 + Performance!$E$23/Constraints!$AC$6 * Constraints!A210</f>
        <v>0.72153309672012611</v>
      </c>
      <c r="M210">
        <f>SIN($AC$9 * PI()/180) + 1/Performance!$AE$5</f>
        <v>0.24073077270730886</v>
      </c>
      <c r="N210">
        <f>SIN($AC$9 * PI()/180) + 1/Performance!$AE$8</f>
        <v>0.22738716112204788</v>
      </c>
      <c r="O210" s="60">
        <f>$AC$16 * (Performance!$E$12/Constraints!A210 + Performance!$E$23 * (Constraints!$AC$13/Constraints!$AC$17)^2 * Constraints!A210)</f>
        <v>2.8330675445955298E-4</v>
      </c>
      <c r="P210" t="e">
        <f t="shared" si="11"/>
        <v>#VALUE!</v>
      </c>
      <c r="Q210">
        <f t="shared" si="12"/>
        <v>41.518048420878493</v>
      </c>
      <c r="R210">
        <f t="shared" si="13"/>
        <v>45.942515785430516</v>
      </c>
      <c r="S210" t="e">
        <f xml:space="preserve"> 1.667/G210 + P210/A210 * Performance!$E$12 + Performance!$E$23 / Constraints!P210 * Constraints!A210</f>
        <v>#VALUE!</v>
      </c>
      <c r="T210">
        <f xml:space="preserve"> 1.667/H210 + Q210/A210 * Performance!$E$12 + Performance!$E$23 / Constraints!Q210 * Constraints!A210</f>
        <v>0.23848094977765807</v>
      </c>
      <c r="U210">
        <f xml:space="preserve"> 1.667/I210 + R210/A210 * Performance!$E$12 + Performance!$E$23 / Constraints!R210 * Constraints!A210</f>
        <v>0.22416571987456982</v>
      </c>
    </row>
    <row r="211" spans="1:21" x14ac:dyDescent="0.3">
      <c r="A211" s="51">
        <v>104.5</v>
      </c>
      <c r="B211" s="50">
        <f>$V$4*Performance!$E$12*(1/A211)+Performance!$E$23*(1/Constraints!$V$4)*Constraints!A211</f>
        <v>0.27590556015967882</v>
      </c>
      <c r="C211" s="50">
        <f>$V$5*Performance!$E$12*(1/A211)+Performance!$E$23*(1/Constraints!$V$5)*Constraints!A211</f>
        <v>0.42690518730965898</v>
      </c>
      <c r="D211" s="52">
        <f t="shared" si="10"/>
        <v>0.30548271386768977</v>
      </c>
      <c r="E211" s="52">
        <f>$V$4*Performance!$E$12*(1/A211)+Performance!$E$23*(1/Constraints!$V$9)*Constraints!A211</f>
        <v>0.27543362142200462</v>
      </c>
      <c r="F211" s="52">
        <f xml:space="preserve"> 1.21 / (9.81 * Constraints!$N$7 * Performance!$E$15 * Constraints!$N$5 ) * Constraints!A211 + 0.605 /Performance!$E$15 * (Performance!$E$16  - Constraints!$N$6 * Performance!$E$14) + Constraints!$N$6</f>
        <v>0.30542470396568394</v>
      </c>
      <c r="G211" s="54" t="s">
        <v>198</v>
      </c>
      <c r="H211" s="55">
        <f>SQRT(2/$V$3 * A211 * SQRT(Performance!$E$23 / (3 * Performance!$E$12)))</f>
        <v>12.604871695577906</v>
      </c>
      <c r="I211" s="55">
        <f>SQRT(2/$V$3 * A211 * (SQRT(Performance!$E$23)/(SQRT(3*Performance!$E$12 + 4* Performance!$E$23 * Performance!$E$11^2) - SQRT(Performance!$E$23)*Performance!$E$11)))</f>
        <v>13.259506191771912</v>
      </c>
      <c r="J211" t="e">
        <f xml:space="preserve"> $AC$3/G211 + $AC$6/A211 * Performance!$E$12 + Performance!$E$23/Constraints!$AC$6 * Constraints!A211</f>
        <v>#VALUE!</v>
      </c>
      <c r="K211">
        <f xml:space="preserve"> $AC$3/H211 + $AC$6/A211 * Performance!$E$12 + Performance!$E$23/Constraints!$AC$6 * Constraints!A211</f>
        <v>0.74210091756391161</v>
      </c>
      <c r="L211">
        <f xml:space="preserve"> $AC$3/I211 + $AC$6/A211 * Performance!$E$12 + Performance!$E$23/Constraints!$AC$6 * Constraints!A211</f>
        <v>0.72220349517720617</v>
      </c>
      <c r="M211">
        <f>SIN($AC$9 * PI()/180) + 1/Performance!$AE$5</f>
        <v>0.24073077270730886</v>
      </c>
      <c r="N211">
        <f>SIN($AC$9 * PI()/180) + 1/Performance!$AE$8</f>
        <v>0.22738716112204788</v>
      </c>
      <c r="O211" s="60">
        <f>$AC$16 * (Performance!$E$12/Constraints!A211 + Performance!$E$23 * (Constraints!$AC$13/Constraints!$AC$17)^2 * Constraints!A211)</f>
        <v>2.8240230886474282E-4</v>
      </c>
      <c r="P211" t="e">
        <f t="shared" si="11"/>
        <v>#VALUE!</v>
      </c>
      <c r="Q211">
        <f t="shared" si="12"/>
        <v>41.71765442290193</v>
      </c>
      <c r="R211">
        <f t="shared" si="13"/>
        <v>46.16339326516816</v>
      </c>
      <c r="S211" t="e">
        <f xml:space="preserve"> 1.667/G211 + P211/A211 * Performance!$E$12 + Performance!$E$23 / Constraints!P211 * Constraints!A211</f>
        <v>#VALUE!</v>
      </c>
      <c r="T211">
        <f xml:space="preserve"> 1.667/H211 + Q211/A211 * Performance!$E$12 + Performance!$E$23 / Constraints!Q211 * Constraints!A211</f>
        <v>0.23816342122058762</v>
      </c>
      <c r="U211">
        <f xml:space="preserve"> 1.667/I211 + R211/A211 * Performance!$E$12 + Performance!$E$23 / Constraints!R211 * Constraints!A211</f>
        <v>0.2238638680059053</v>
      </c>
    </row>
    <row r="212" spans="1:21" x14ac:dyDescent="0.3">
      <c r="A212" s="51">
        <v>105</v>
      </c>
      <c r="B212" s="50">
        <f>$V$4*Performance!$E$12*(1/A212)+Performance!$E$23*(1/Constraints!$V$4)*Constraints!A212</f>
        <v>0.27463124381883203</v>
      </c>
      <c r="C212" s="50">
        <f>$V$5*Performance!$E$12*(1/A212)+Performance!$E$23*(1/Constraints!$V$5)*Constraints!A212</f>
        <v>0.42489762074918802</v>
      </c>
      <c r="D212" s="52">
        <f t="shared" si="10"/>
        <v>0.30575499957997532</v>
      </c>
      <c r="E212" s="52">
        <f>$V$4*Performance!$E$12*(1/A212)+Performance!$E$23*(1/Constraints!$V$9)*Constraints!A212</f>
        <v>0.2741570470010733</v>
      </c>
      <c r="F212" s="52">
        <f xml:space="preserve"> 1.21 / (9.81 * Constraints!$N$7 * Performance!$E$15 * Constraints!$N$5 ) * Constraints!A212 + 0.605 /Performance!$E$15 * (Performance!$E$16  - Constraints!$N$6 * Performance!$E$14) + Constraints!$N$6</f>
        <v>0.30569671211862981</v>
      </c>
      <c r="G212" s="54" t="s">
        <v>198</v>
      </c>
      <c r="H212" s="55">
        <f>SQRT(2/$V$3 * A212 * SQRT(Performance!$E$23 / (3 * Performance!$E$12)))</f>
        <v>12.634990906250531</v>
      </c>
      <c r="I212" s="55">
        <f>SQRT(2/$V$3 * A212 * (SQRT(Performance!$E$23)/(SQRT(3*Performance!$E$12 + 4* Performance!$E$23 * Performance!$E$11^2) - SQRT(Performance!$E$23)*Performance!$E$11)))</f>
        <v>13.291189644808966</v>
      </c>
      <c r="J212" t="e">
        <f xml:space="preserve"> $AC$3/G212 + $AC$6/A212 * Performance!$E$12 + Performance!$E$23/Constraints!$AC$6 * Constraints!A212</f>
        <v>#VALUE!</v>
      </c>
      <c r="K212">
        <f xml:space="preserve"> $AC$3/H212 + $AC$6/A212 * Performance!$E$12 + Performance!$E$23/Constraints!$AC$6 * Constraints!A212</f>
        <v>0.74273061638352711</v>
      </c>
      <c r="L212">
        <f xml:space="preserve"> $AC$3/I212 + $AC$6/A212 * Performance!$E$12 + Performance!$E$23/Constraints!$AC$6 * Constraints!A212</f>
        <v>0.72288062534530106</v>
      </c>
      <c r="M212">
        <f>SIN($AC$9 * PI()/180) + 1/Performance!$AE$5</f>
        <v>0.24073077270730886</v>
      </c>
      <c r="N212">
        <f>SIN($AC$9 * PI()/180) + 1/Performance!$AE$8</f>
        <v>0.22738716112204788</v>
      </c>
      <c r="O212" s="60">
        <f>$AC$16 * (Performance!$E$12/Constraints!A212 + Performance!$E$23 * (Constraints!$AC$13/Constraints!$AC$17)^2 * Constraints!A212)</f>
        <v>2.8150863023209273E-4</v>
      </c>
      <c r="P212" t="e">
        <f t="shared" si="11"/>
        <v>#VALUE!</v>
      </c>
      <c r="Q212">
        <f t="shared" si="12"/>
        <v>41.917260424925402</v>
      </c>
      <c r="R212">
        <f t="shared" si="13"/>
        <v>46.384270744905805</v>
      </c>
      <c r="S212" t="e">
        <f xml:space="preserve"> 1.667/G212 + P212/A212 * Performance!$E$12 + Performance!$E$23 / Constraints!P212 * Constraints!A212</f>
        <v>#VALUE!</v>
      </c>
      <c r="T212">
        <f xml:space="preserve"> 1.667/H212 + Q212/A212 * Performance!$E$12 + Performance!$E$23 / Constraints!Q212 * Constraints!A212</f>
        <v>0.23784816343332579</v>
      </c>
      <c r="U212">
        <f xml:space="preserve"> 1.667/I212 + R212/A212 * Performance!$E$12 + Performance!$E$23 / Constraints!R212 * Constraints!A212</f>
        <v>0.22356417479697327</v>
      </c>
    </row>
    <row r="213" spans="1:21" x14ac:dyDescent="0.3">
      <c r="A213" s="51">
        <v>105.5</v>
      </c>
      <c r="B213" s="50">
        <f>$V$4*Performance!$E$12*(1/A213)+Performance!$E$23*(1/Constraints!$V$4)*Constraints!A213</f>
        <v>0.27336919404983645</v>
      </c>
      <c r="C213" s="50">
        <f>$V$5*Performance!$E$12*(1/A213)+Performance!$E$23*(1/Constraints!$V$5)*Constraints!A213</f>
        <v>0.42290920351963235</v>
      </c>
      <c r="D213" s="52">
        <f t="shared" si="10"/>
        <v>0.30602728529226092</v>
      </c>
      <c r="E213" s="52">
        <f>$V$4*Performance!$E$12*(1/A213)+Performance!$E$23*(1/Constraints!$V$9)*Constraints!A213</f>
        <v>0.27289273915199308</v>
      </c>
      <c r="F213" s="52">
        <f xml:space="preserve"> 1.21 / (9.81 * Constraints!$N$7 * Performance!$E$15 * Constraints!$N$5 ) * Constraints!A213 + 0.605 /Performance!$E$15 * (Performance!$E$16  - Constraints!$N$6 * Performance!$E$14) + Constraints!$N$6</f>
        <v>0.30596872027157568</v>
      </c>
      <c r="G213" s="54" t="s">
        <v>198</v>
      </c>
      <c r="H213" s="55">
        <f>SQRT(2/$V$3 * A213 * SQRT(Performance!$E$23 / (3 * Performance!$E$12)))</f>
        <v>12.665038489483013</v>
      </c>
      <c r="I213" s="55">
        <f>SQRT(2/$V$3 * A213 * (SQRT(Performance!$E$23)/(SQRT(3*Performance!$E$12 + 4* Performance!$E$23 * Performance!$E$11^2) - SQRT(Performance!$E$23)*Performance!$E$11)))</f>
        <v>13.32279775043202</v>
      </c>
      <c r="J213" t="e">
        <f xml:space="preserve"> $AC$3/G213 + $AC$6/A213 * Performance!$E$12 + Performance!$E$23/Constraints!$AC$6 * Constraints!A213</f>
        <v>#VALUE!</v>
      </c>
      <c r="K213">
        <f xml:space="preserve"> $AC$3/H213 + $AC$6/A213 * Performance!$E$12 + Performance!$E$23/Constraints!$AC$6 * Constraints!A213</f>
        <v>0.74336730428871389</v>
      </c>
      <c r="L213">
        <f xml:space="preserve"> $AC$3/I213 + $AC$6/A213 * Performance!$E$12 + Performance!$E$23/Constraints!$AC$6 * Constraints!A213</f>
        <v>0.72356440700850366</v>
      </c>
      <c r="M213">
        <f>SIN($AC$9 * PI()/180) + 1/Performance!$AE$5</f>
        <v>0.24073077270730886</v>
      </c>
      <c r="N213">
        <f>SIN($AC$9 * PI()/180) + 1/Performance!$AE$8</f>
        <v>0.22738716112204788</v>
      </c>
      <c r="O213" s="60">
        <f>$AC$16 * (Performance!$E$12/Constraints!A213 + Performance!$E$23 * (Constraints!$AC$13/Constraints!$AC$17)^2 * Constraints!A213)</f>
        <v>2.8062556547683263E-4</v>
      </c>
      <c r="P213" t="e">
        <f t="shared" si="11"/>
        <v>#VALUE!</v>
      </c>
      <c r="Q213">
        <f t="shared" si="12"/>
        <v>42.116866426948853</v>
      </c>
      <c r="R213">
        <f t="shared" si="13"/>
        <v>46.605148224643457</v>
      </c>
      <c r="S213" t="e">
        <f xml:space="preserve"> 1.667/G213 + P213/A213 * Performance!$E$12 + Performance!$E$23 / Constraints!P213 * Constraints!A213</f>
        <v>#VALUE!</v>
      </c>
      <c r="T213">
        <f xml:space="preserve"> 1.667/H213 + Q213/A213 * Performance!$E$12 + Performance!$E$23 / Constraints!Q213 * Constraints!A213</f>
        <v>0.23753514947901261</v>
      </c>
      <c r="U213">
        <f xml:space="preserve"> 1.667/I213 + R213/A213 * Performance!$E$12 + Performance!$E$23 / Constraints!R213 * Constraints!A213</f>
        <v>0.2232666146408121</v>
      </c>
    </row>
    <row r="214" spans="1:21" x14ac:dyDescent="0.3">
      <c r="A214" s="51">
        <v>106</v>
      </c>
      <c r="B214" s="50">
        <f>$V$4*Performance!$E$12*(1/A214)+Performance!$E$23*(1/Constraints!$V$4)*Constraints!A214</f>
        <v>0.27211923726912807</v>
      </c>
      <c r="C214" s="50">
        <f>$V$5*Performance!$E$12*(1/A214)+Performance!$E$23*(1/Constraints!$V$5)*Constraints!A214</f>
        <v>0.42093966463989413</v>
      </c>
      <c r="D214" s="52">
        <f t="shared" si="10"/>
        <v>0.30629957100454652</v>
      </c>
      <c r="E214" s="52">
        <f>$V$4*Performance!$E$12*(1/A214)+Performance!$E$23*(1/Constraints!$V$9)*Constraints!A214</f>
        <v>0.27164052429120017</v>
      </c>
      <c r="F214" s="52">
        <f xml:space="preserve"> 1.21 / (9.81 * Constraints!$N$7 * Performance!$E$15 * Constraints!$N$5 ) * Constraints!A214 + 0.605 /Performance!$E$15 * (Performance!$E$16  - Constraints!$N$6 * Performance!$E$14) + Constraints!$N$6</f>
        <v>0.30624072842452155</v>
      </c>
      <c r="G214" s="54" t="s">
        <v>198</v>
      </c>
      <c r="H214" s="55">
        <f>SQRT(2/$V$3 * A214 * SQRT(Performance!$E$23 / (3 * Performance!$E$12)))</f>
        <v>12.695014953876136</v>
      </c>
      <c r="I214" s="55">
        <f>SQRT(2/$V$3 * A214 * (SQRT(Performance!$E$23)/(SQRT(3*Performance!$E$12 + 4* Performance!$E$23 * Performance!$E$11^2) - SQRT(Performance!$E$23)*Performance!$E$11)))</f>
        <v>13.354331043656058</v>
      </c>
      <c r="J214" t="e">
        <f xml:space="preserve"> $AC$3/G214 + $AC$6/A214 * Performance!$E$12 + Performance!$E$23/Constraints!$AC$6 * Constraints!A214</f>
        <v>#VALUE!</v>
      </c>
      <c r="K214">
        <f xml:space="preserve"> $AC$3/H214 + $AC$6/A214 * Performance!$E$12 + Performance!$E$23/Constraints!$AC$6 * Constraints!A214</f>
        <v>0.74401089840882284</v>
      </c>
      <c r="L214">
        <f xml:space="preserve"> $AC$3/I214 + $AC$6/A214 * Performance!$E$12 + Performance!$E$23/Constraints!$AC$6 * Constraints!A214</f>
        <v>0.72425476128189781</v>
      </c>
      <c r="M214">
        <f>SIN($AC$9 * PI()/180) + 1/Performance!$AE$5</f>
        <v>0.24073077270730886</v>
      </c>
      <c r="N214">
        <f>SIN($AC$9 * PI()/180) + 1/Performance!$AE$8</f>
        <v>0.22738716112204788</v>
      </c>
      <c r="O214" s="60">
        <f>$AC$16 * (Performance!$E$12/Constraints!A214 + Performance!$E$23 * (Constraints!$AC$13/Constraints!$AC$17)^2 * Constraints!A214)</f>
        <v>2.7975296440258457E-4</v>
      </c>
      <c r="P214" t="e">
        <f t="shared" si="11"/>
        <v>#VALUE!</v>
      </c>
      <c r="Q214">
        <f t="shared" si="12"/>
        <v>42.316472428972318</v>
      </c>
      <c r="R214">
        <f t="shared" si="13"/>
        <v>46.826025704381095</v>
      </c>
      <c r="S214" t="e">
        <f xml:space="preserve"> 1.667/G214 + P214/A214 * Performance!$E$12 + Performance!$E$23 / Constraints!P214 * Constraints!A214</f>
        <v>#VALUE!</v>
      </c>
      <c r="T214">
        <f xml:space="preserve"> 1.667/H214 + Q214/A214 * Performance!$E$12 + Performance!$E$23 / Constraints!Q214 * Constraints!A214</f>
        <v>0.23722435286602706</v>
      </c>
      <c r="U214">
        <f xml:space="preserve"> 1.667/I214 + R214/A214 * Performance!$E$12 + Performance!$E$23 / Constraints!R214 * Constraints!A214</f>
        <v>0.22297116235371761</v>
      </c>
    </row>
    <row r="215" spans="1:21" x14ac:dyDescent="0.3">
      <c r="A215" s="51">
        <v>106.5</v>
      </c>
      <c r="B215" s="50">
        <f>$V$4*Performance!$E$12*(1/A215)+Performance!$E$23*(1/Constraints!$V$4)*Constraints!A215</f>
        <v>0.2708812031529283</v>
      </c>
      <c r="C215" s="50">
        <f>$V$5*Performance!$E$12*(1/A215)+Performance!$E$23*(1/Constraints!$V$5)*Constraints!A215</f>
        <v>0.41898873821772259</v>
      </c>
      <c r="D215" s="52">
        <f t="shared" ref="D215:D278" si="14">1.21/(9.8*$N$7*$N$8*$N$5)*A215+0.605/$N$8*($N$11-$N$6*$N$10)+$N$6</f>
        <v>0.30657185671683213</v>
      </c>
      <c r="E215" s="52">
        <f>$V$4*Performance!$E$12*(1/A215)+Performance!$E$23*(1/Constraints!$V$9)*Constraints!A215</f>
        <v>0.27040023209491582</v>
      </c>
      <c r="F215" s="52">
        <f xml:space="preserve"> 1.21 / (9.81 * Constraints!$N$7 * Performance!$E$15 * Constraints!$N$5 ) * Constraints!A215 + 0.605 /Performance!$E$15 * (Performance!$E$16  - Constraints!$N$6 * Performance!$E$14) + Constraints!$N$6</f>
        <v>0.30651273657746736</v>
      </c>
      <c r="G215" s="54" t="s">
        <v>198</v>
      </c>
      <c r="H215" s="55">
        <f>SQRT(2/$V$3 * A215 * SQRT(Performance!$E$23 / (3 * Performance!$E$12)))</f>
        <v>12.724920802040035</v>
      </c>
      <c r="I215" s="55">
        <f>SQRT(2/$V$3 * A215 * (SQRT(Performance!$E$23)/(SQRT(3*Performance!$E$12 + 4* Performance!$E$23 * Performance!$E$11^2) - SQRT(Performance!$E$23)*Performance!$E$11)))</f>
        <v>13.385790053194295</v>
      </c>
      <c r="J215" t="e">
        <f xml:space="preserve"> $AC$3/G215 + $AC$6/A215 * Performance!$E$12 + Performance!$E$23/Constraints!$AC$6 * Constraints!A215</f>
        <v>#VALUE!</v>
      </c>
      <c r="K215">
        <f xml:space="preserve"> $AC$3/H215 + $AC$6/A215 * Performance!$E$12 + Performance!$E$23/Constraints!$AC$6 * Constraints!A215</f>
        <v>0.74466131724151796</v>
      </c>
      <c r="L215">
        <f xml:space="preserve"> $AC$3/I215 + $AC$6/A215 * Performance!$E$12 + Performance!$E$23/Constraints!$AC$6 * Constraints!A215</f>
        <v>0.72495161058330981</v>
      </c>
      <c r="M215">
        <f>SIN($AC$9 * PI()/180) + 1/Performance!$AE$5</f>
        <v>0.24073077270730886</v>
      </c>
      <c r="N215">
        <f>SIN($AC$9 * PI()/180) + 1/Performance!$AE$8</f>
        <v>0.22738716112204788</v>
      </c>
      <c r="O215" s="60">
        <f>$AC$16 * (Performance!$E$12/Constraints!A215 + Performance!$E$23 * (Constraints!$AC$13/Constraints!$AC$17)^2 * Constraints!A215)</f>
        <v>2.788906796335594E-4</v>
      </c>
      <c r="P215" t="e">
        <f t="shared" ref="P215:P278" si="15" xml:space="preserve"> 0.5 * $AJ$4 * G215^2</f>
        <v>#VALUE!</v>
      </c>
      <c r="Q215">
        <f t="shared" ref="Q215:Q278" si="16" xml:space="preserve"> 0.5 * $AJ$4 * H215^2</f>
        <v>42.516078430995755</v>
      </c>
      <c r="R215">
        <f t="shared" ref="R215:R278" si="17" xml:space="preserve"> 0.5 * $AJ$4 * I215^2</f>
        <v>47.046903184118747</v>
      </c>
      <c r="S215" t="e">
        <f xml:space="preserve"> 1.667/G215 + P215/A215 * Performance!$E$12 + Performance!$E$23 / Constraints!P215 * Constraints!A215</f>
        <v>#VALUE!</v>
      </c>
      <c r="T215">
        <f xml:space="preserve"> 1.667/H215 + Q215/A215 * Performance!$E$12 + Performance!$E$23 / Constraints!Q215 * Constraints!A215</f>
        <v>0.23691574753857003</v>
      </c>
      <c r="U215">
        <f xml:space="preserve"> 1.667/I215 + R215/A215 * Performance!$E$12 + Performance!$E$23 / Constraints!R215 * Constraints!A215</f>
        <v>0.22267779316629024</v>
      </c>
    </row>
    <row r="216" spans="1:21" x14ac:dyDescent="0.3">
      <c r="A216" s="51">
        <v>107</v>
      </c>
      <c r="B216" s="50">
        <f>$V$4*Performance!$E$12*(1/A216)+Performance!$E$23*(1/Constraints!$V$4)*Constraints!A216</f>
        <v>0.26965492456108042</v>
      </c>
      <c r="C216" s="50">
        <f>$V$5*Performance!$E$12*(1/A216)+Performance!$E$23*(1/Constraints!$V$5)*Constraints!A216</f>
        <v>0.41705616333081519</v>
      </c>
      <c r="D216" s="52">
        <f t="shared" si="14"/>
        <v>0.30684414242911773</v>
      </c>
      <c r="E216" s="52">
        <f>$V$4*Performance!$E$12*(1/A216)+Performance!$E$23*(1/Constraints!$V$9)*Constraints!A216</f>
        <v>0.26917169542298336</v>
      </c>
      <c r="F216" s="52">
        <f xml:space="preserve"> 1.21 / (9.81 * Constraints!$N$7 * Performance!$E$15 * Constraints!$N$5 ) * Constraints!A216 + 0.605 /Performance!$E$15 * (Performance!$E$16  - Constraints!$N$6 * Performance!$E$14) + Constraints!$N$6</f>
        <v>0.30678474473041323</v>
      </c>
      <c r="G216" s="54" t="s">
        <v>198</v>
      </c>
      <c r="H216" s="55">
        <f>SQRT(2/$V$3 * A216 * SQRT(Performance!$E$23 / (3 * Performance!$E$12)))</f>
        <v>12.75475653069253</v>
      </c>
      <c r="I216" s="55">
        <f>SQRT(2/$V$3 * A216 * (SQRT(Performance!$E$23)/(SQRT(3*Performance!$E$12 + 4* Performance!$E$23 * Performance!$E$11^2) - SQRT(Performance!$E$23)*Performance!$E$11)))</f>
        <v>13.417175301561604</v>
      </c>
      <c r="J216" t="e">
        <f xml:space="preserve"> $AC$3/G216 + $AC$6/A216 * Performance!$E$12 + Performance!$E$23/Constraints!$AC$6 * Constraints!A216</f>
        <v>#VALUE!</v>
      </c>
      <c r="K216">
        <f xml:space="preserve"> $AC$3/H216 + $AC$6/A216 * Performance!$E$12 + Performance!$E$23/Constraints!$AC$6 * Constraints!A216</f>
        <v>0.7453184806238764</v>
      </c>
      <c r="L216">
        <f xml:space="preserve"> $AC$3/I216 + $AC$6/A216 * Performance!$E$12 + Performance!$E$23/Constraints!$AC$6 * Constraints!A216</f>
        <v>0.72565487860578881</v>
      </c>
      <c r="M216">
        <f>SIN($AC$9 * PI()/180) + 1/Performance!$AE$5</f>
        <v>0.24073077270730886</v>
      </c>
      <c r="N216">
        <f>SIN($AC$9 * PI()/180) + 1/Performance!$AE$8</f>
        <v>0.22738716112204788</v>
      </c>
      <c r="O216" s="60">
        <f>$AC$16 * (Performance!$E$12/Constraints!A216 + Performance!$E$23 * (Constraints!$AC$13/Constraints!$AC$17)^2 * Constraints!A216)</f>
        <v>2.7803856654865601E-4</v>
      </c>
      <c r="P216" t="e">
        <f t="shared" si="15"/>
        <v>#VALUE!</v>
      </c>
      <c r="Q216">
        <f t="shared" si="16"/>
        <v>42.715684433019213</v>
      </c>
      <c r="R216">
        <f t="shared" si="17"/>
        <v>47.267780663856392</v>
      </c>
      <c r="S216" t="e">
        <f xml:space="preserve"> 1.667/G216 + P216/A216 * Performance!$E$12 + Performance!$E$23 / Constraints!P216 * Constraints!A216</f>
        <v>#VALUE!</v>
      </c>
      <c r="T216">
        <f xml:space="preserve"> 1.667/H216 + Q216/A216 * Performance!$E$12 + Performance!$E$23 / Constraints!Q216 * Constraints!A216</f>
        <v>0.23660930786748868</v>
      </c>
      <c r="U216">
        <f xml:space="preserve"> 1.667/I216 + R216/A216 * Performance!$E$12 + Performance!$E$23 / Constraints!R216 * Constraints!A216</f>
        <v>0.22238648271471301</v>
      </c>
    </row>
    <row r="217" spans="1:21" x14ac:dyDescent="0.3">
      <c r="A217" s="51">
        <v>107.5</v>
      </c>
      <c r="B217" s="50">
        <f>$V$4*Performance!$E$12*(1/A217)+Performance!$E$23*(1/Constraints!$V$4)*Constraints!A217</f>
        <v>0.26844023746301215</v>
      </c>
      <c r="C217" s="50">
        <f>$V$5*Performance!$E$12*(1/A217)+Performance!$E$23*(1/Constraints!$V$5)*Constraints!A217</f>
        <v>0.41514168391123812</v>
      </c>
      <c r="D217" s="52">
        <f t="shared" si="14"/>
        <v>0.30711642814140333</v>
      </c>
      <c r="E217" s="52">
        <f>$V$4*Performance!$E$12*(1/A217)+Performance!$E$23*(1/Constraints!$V$9)*Constraints!A217</f>
        <v>0.26795475024483056</v>
      </c>
      <c r="F217" s="52">
        <f xml:space="preserve"> 1.21 / (9.81 * Constraints!$N$7 * Performance!$E$15 * Constraints!$N$5 ) * Constraints!A217 + 0.605 /Performance!$E$15 * (Performance!$E$16  - Constraints!$N$6 * Performance!$E$14) + Constraints!$N$6</f>
        <v>0.3070567528833591</v>
      </c>
      <c r="G217" s="54" t="s">
        <v>198</v>
      </c>
      <c r="H217" s="55">
        <f>SQRT(2/$V$3 * A217 * SQRT(Performance!$E$23 / (3 * Performance!$E$12)))</f>
        <v>12.784522630755374</v>
      </c>
      <c r="I217" s="55">
        <f>SQRT(2/$V$3 * A217 * (SQRT(Performance!$E$23)/(SQRT(3*Performance!$E$12 + 4* Performance!$E$23 * Performance!$E$11^2) - SQRT(Performance!$E$23)*Performance!$E$11)))</f>
        <v>13.448487305175783</v>
      </c>
      <c r="J217" t="e">
        <f xml:space="preserve"> $AC$3/G217 + $AC$6/A217 * Performance!$E$12 + Performance!$E$23/Constraints!$AC$6 * Constraints!A217</f>
        <v>#VALUE!</v>
      </c>
      <c r="K217">
        <f xml:space="preserve"> $AC$3/H217 + $AC$6/A217 * Performance!$E$12 + Performance!$E$23/Constraints!$AC$6 * Constraints!A217</f>
        <v>0.74598230970423085</v>
      </c>
      <c r="L217">
        <f xml:space="preserve"> $AC$3/I217 + $AC$6/A217 * Performance!$E$12 + Performance!$E$23/Constraints!$AC$6 * Constraints!A217</f>
        <v>0.72636449029079508</v>
      </c>
      <c r="M217">
        <f>SIN($AC$9 * PI()/180) + 1/Performance!$AE$5</f>
        <v>0.24073077270730886</v>
      </c>
      <c r="N217">
        <f>SIN($AC$9 * PI()/180) + 1/Performance!$AE$8</f>
        <v>0.22738716112204788</v>
      </c>
      <c r="O217" s="60">
        <f>$AC$16 * (Performance!$E$12/Constraints!A217 + Performance!$E$23 * (Constraints!$AC$13/Constraints!$AC$17)^2 * Constraints!A217)</f>
        <v>2.7719648321739818E-4</v>
      </c>
      <c r="P217" t="e">
        <f t="shared" si="15"/>
        <v>#VALUE!</v>
      </c>
      <c r="Q217">
        <f t="shared" si="16"/>
        <v>42.915290435042671</v>
      </c>
      <c r="R217">
        <f t="shared" si="17"/>
        <v>47.488658143594051</v>
      </c>
      <c r="S217" t="e">
        <f xml:space="preserve"> 1.667/G217 + P217/A217 * Performance!$E$12 + Performance!$E$23 / Constraints!P217 * Constraints!A217</f>
        <v>#VALUE!</v>
      </c>
      <c r="T217">
        <f xml:space="preserve"> 1.667/H217 + Q217/A217 * Performance!$E$12 + Performance!$E$23 / Constraints!Q217 * Constraints!A217</f>
        <v>0.23630500864133627</v>
      </c>
      <c r="U217">
        <f xml:space="preserve"> 1.667/I217 + R217/A217 * Performance!$E$12 + Performance!$E$23 / Constraints!R217 * Constraints!A217</f>
        <v>0.2220972070322525</v>
      </c>
    </row>
    <row r="218" spans="1:21" x14ac:dyDescent="0.3">
      <c r="A218" s="51">
        <v>108</v>
      </c>
      <c r="B218" s="50">
        <f>$V$4*Performance!$E$12*(1/A218)+Performance!$E$23*(1/Constraints!$V$4)*Constraints!A218</f>
        <v>0.26723698086575426</v>
      </c>
      <c r="C218" s="50">
        <f>$V$5*Performance!$E$12*(1/A218)+Performance!$E$23*(1/Constraints!$V$5)*Constraints!A218</f>
        <v>0.41324504863305622</v>
      </c>
      <c r="D218" s="52">
        <f t="shared" si="14"/>
        <v>0.30738871385368893</v>
      </c>
      <c r="E218" s="52">
        <f>$V$4*Performance!$E$12*(1/A218)+Performance!$E$23*(1/Constraints!$V$9)*Constraints!A218</f>
        <v>0.26674923556748809</v>
      </c>
      <c r="F218" s="52">
        <f xml:space="preserve"> 1.21 / (9.81 * Constraints!$N$7 * Performance!$E$15 * Constraints!$N$5 ) * Constraints!A218 + 0.605 /Performance!$E$15 * (Performance!$E$16  - Constraints!$N$6 * Performance!$E$14) + Constraints!$N$6</f>
        <v>0.30732876103630496</v>
      </c>
      <c r="G218" s="54" t="s">
        <v>198</v>
      </c>
      <c r="H218" s="55">
        <f>SQRT(2/$V$3 * A218 * SQRT(Performance!$E$23 / (3 * Performance!$E$12)))</f>
        <v>12.814219587448502</v>
      </c>
      <c r="I218" s="55">
        <f>SQRT(2/$V$3 * A218 * (SQRT(Performance!$E$23)/(SQRT(3*Performance!$E$12 + 4* Performance!$E$23 * Performance!$E$11^2) - SQRT(Performance!$E$23)*Performance!$E$11)))</f>
        <v>13.479726574456679</v>
      </c>
      <c r="J218" t="e">
        <f xml:space="preserve"> $AC$3/G218 + $AC$6/A218 * Performance!$E$12 + Performance!$E$23/Constraints!$AC$6 * Constraints!A218</f>
        <v>#VALUE!</v>
      </c>
      <c r="K218">
        <f xml:space="preserve"> $AC$3/H218 + $AC$6/A218 * Performance!$E$12 + Performance!$E$23/Constraints!$AC$6 * Constraints!A218</f>
        <v>0.74665272691473339</v>
      </c>
      <c r="L218">
        <f xml:space="preserve"> $AC$3/I218 + $AC$6/A218 * Performance!$E$12 + Performance!$E$23/Constraints!$AC$6 * Constraints!A218</f>
        <v>0.72708037180207374</v>
      </c>
      <c r="M218">
        <f>SIN($AC$9 * PI()/180) + 1/Performance!$AE$5</f>
        <v>0.24073077270730886</v>
      </c>
      <c r="N218">
        <f>SIN($AC$9 * PI()/180) + 1/Performance!$AE$8</f>
        <v>0.22738716112204788</v>
      </c>
      <c r="O218" s="60">
        <f>$AC$16 * (Performance!$E$12/Constraints!A218 + Performance!$E$23 * (Constraints!$AC$13/Constraints!$AC$17)^2 * Constraints!A218)</f>
        <v>2.7636429033765206E-4</v>
      </c>
      <c r="P218" t="e">
        <f t="shared" si="15"/>
        <v>#VALUE!</v>
      </c>
      <c r="Q218">
        <f t="shared" si="16"/>
        <v>43.114896437066129</v>
      </c>
      <c r="R218">
        <f t="shared" si="17"/>
        <v>47.709535623331689</v>
      </c>
      <c r="S218" t="e">
        <f xml:space="preserve"> 1.667/G218 + P218/A218 * Performance!$E$12 + Performance!$E$23 / Constraints!P218 * Constraints!A218</f>
        <v>#VALUE!</v>
      </c>
      <c r="T218">
        <f xml:space="preserve"> 1.667/H218 + Q218/A218 * Performance!$E$12 + Performance!$E$23 / Constraints!Q218 * Constraints!A218</f>
        <v>0.23600282505766021</v>
      </c>
      <c r="U218">
        <f xml:space="preserve"> 1.667/I218 + R218/A218 * Performance!$E$12 + Performance!$E$23 / Constraints!R218 * Constraints!A218</f>
        <v>0.22180994254097677</v>
      </c>
    </row>
    <row r="219" spans="1:21" x14ac:dyDescent="0.3">
      <c r="A219" s="51">
        <v>108.5</v>
      </c>
      <c r="B219" s="50">
        <f>$V$4*Performance!$E$12*(1/A219)+Performance!$E$23*(1/Constraints!$V$4)*Constraints!A219</f>
        <v>0.26604499674394999</v>
      </c>
      <c r="C219" s="50">
        <f>$V$5*Performance!$E$12*(1/A219)+Performance!$E$23*(1/Constraints!$V$5)*Constraints!A219</f>
        <v>0.41136601080307039</v>
      </c>
      <c r="D219" s="52">
        <f t="shared" si="14"/>
        <v>0.30766099956597454</v>
      </c>
      <c r="E219" s="52">
        <f>$V$4*Performance!$E$12*(1/A219)+Performance!$E$23*(1/Constraints!$V$9)*Constraints!A219</f>
        <v>0.26555499336559929</v>
      </c>
      <c r="F219" s="52">
        <f xml:space="preserve"> 1.21 / (9.81 * Constraints!$N$7 * Performance!$E$15 * Constraints!$N$5 ) * Constraints!A219 + 0.605 /Performance!$E$15 * (Performance!$E$16  - Constraints!$N$6 * Performance!$E$14) + Constraints!$N$6</f>
        <v>0.30760076918925083</v>
      </c>
      <c r="G219" s="54" t="s">
        <v>198</v>
      </c>
      <c r="H219" s="55">
        <f>SQRT(2/$V$3 * A219 * SQRT(Performance!$E$23 / (3 * Performance!$E$12)))</f>
        <v>12.843847880382318</v>
      </c>
      <c r="I219" s="55">
        <f>SQRT(2/$V$3 * A219 * (SQRT(Performance!$E$23)/(SQRT(3*Performance!$E$12 + 4* Performance!$E$23 * Performance!$E$11^2) - SQRT(Performance!$E$23)*Performance!$E$11)))</f>
        <v>13.510893613923285</v>
      </c>
      <c r="J219" t="e">
        <f xml:space="preserve"> $AC$3/G219 + $AC$6/A219 * Performance!$E$12 + Performance!$E$23/Constraints!$AC$6 * Constraints!A219</f>
        <v>#VALUE!</v>
      </c>
      <c r="K219">
        <f xml:space="preserve"> $AC$3/H219 + $AC$6/A219 * Performance!$E$12 + Performance!$E$23/Constraints!$AC$6 * Constraints!A219</f>
        <v>0.74732965594461442</v>
      </c>
      <c r="L219">
        <f xml:space="preserve"> $AC$3/I219 + $AC$6/A219 * Performance!$E$12 + Performance!$E$23/Constraints!$AC$6 * Constraints!A219</f>
        <v>0.72780245050019143</v>
      </c>
      <c r="M219">
        <f>SIN($AC$9 * PI()/180) + 1/Performance!$AE$5</f>
        <v>0.24073077270730886</v>
      </c>
      <c r="N219">
        <f>SIN($AC$9 * PI()/180) + 1/Performance!$AE$8</f>
        <v>0.22738716112204788</v>
      </c>
      <c r="O219" s="60">
        <f>$AC$16 * (Performance!$E$12/Constraints!A219 + Performance!$E$23 * (Constraints!$AC$13/Constraints!$AC$17)^2 * Constraints!A219)</f>
        <v>2.7554185117506486E-4</v>
      </c>
      <c r="P219" t="e">
        <f t="shared" si="15"/>
        <v>#VALUE!</v>
      </c>
      <c r="Q219">
        <f t="shared" si="16"/>
        <v>43.314502439089573</v>
      </c>
      <c r="R219">
        <f t="shared" si="17"/>
        <v>47.930413103069341</v>
      </c>
      <c r="S219" t="e">
        <f xml:space="preserve"> 1.667/G219 + P219/A219 * Performance!$E$12 + Performance!$E$23 / Constraints!P219 * Constraints!A219</f>
        <v>#VALUE!</v>
      </c>
      <c r="T219">
        <f xml:space="preserve"> 1.667/H219 + Q219/A219 * Performance!$E$12 + Performance!$E$23 / Constraints!Q219 * Constraints!A219</f>
        <v>0.23570273271451025</v>
      </c>
      <c r="U219">
        <f xml:space="preserve"> 1.667/I219 + R219/A219 * Performance!$E$12 + Performance!$E$23 / Constraints!R219 * Constraints!A219</f>
        <v>0.2215246660436832</v>
      </c>
    </row>
    <row r="220" spans="1:21" x14ac:dyDescent="0.3">
      <c r="A220" s="51">
        <v>109</v>
      </c>
      <c r="B220" s="50">
        <f>$V$4*Performance!$E$12*(1/A220)+Performance!$E$23*(1/Constraints!$V$4)*Constraints!A220</f>
        <v>0.26486412997179037</v>
      </c>
      <c r="C220" s="50">
        <f>$V$5*Performance!$E$12*(1/A220)+Performance!$E$23*(1/Constraints!$V$5)*Constraints!A220</f>
        <v>0.40950432825456251</v>
      </c>
      <c r="D220" s="52">
        <f t="shared" si="14"/>
        <v>0.30793328527826014</v>
      </c>
      <c r="E220" s="52">
        <f>$V$4*Performance!$E$12*(1/A220)+Performance!$E$23*(1/Constraints!$V$9)*Constraints!A220</f>
        <v>0.26437186851335504</v>
      </c>
      <c r="F220" s="52">
        <f xml:space="preserve"> 1.21 / (9.81 * Constraints!$N$7 * Performance!$E$15 * Constraints!$N$5 ) * Constraints!A220 + 0.605 /Performance!$E$15 * (Performance!$E$16  - Constraints!$N$6 * Performance!$E$14) + Constraints!$N$6</f>
        <v>0.30787277734219665</v>
      </c>
      <c r="G220" s="54" t="s">
        <v>198</v>
      </c>
      <c r="H220" s="55">
        <f>SQRT(2/$V$3 * A220 * SQRT(Performance!$E$23 / (3 * Performance!$E$12)))</f>
        <v>12.873407983648072</v>
      </c>
      <c r="I220" s="55">
        <f>SQRT(2/$V$3 * A220 * (SQRT(Performance!$E$23)/(SQRT(3*Performance!$E$12 + 4* Performance!$E$23 * Performance!$E$11^2) - SQRT(Performance!$E$23)*Performance!$E$11)))</f>
        <v>13.541988922288795</v>
      </c>
      <c r="J220" t="e">
        <f xml:space="preserve"> $AC$3/G220 + $AC$6/A220 * Performance!$E$12 + Performance!$E$23/Constraints!$AC$6 * Constraints!A220</f>
        <v>#VALUE!</v>
      </c>
      <c r="K220">
        <f xml:space="preserve"> $AC$3/H220 + $AC$6/A220 * Performance!$E$12 + Performance!$E$23/Constraints!$AC$6 * Constraints!A220</f>
        <v>0.74801302171412232</v>
      </c>
      <c r="L220">
        <f xml:space="preserve"> $AC$3/I220 + $AC$6/A220 * Performance!$E$12 + Performance!$E$23/Constraints!$AC$6 * Constraints!A220</f>
        <v>0.72853065491772184</v>
      </c>
      <c r="M220">
        <f>SIN($AC$9 * PI()/180) + 1/Performance!$AE$5</f>
        <v>0.24073077270730886</v>
      </c>
      <c r="N220">
        <f>SIN($AC$9 * PI()/180) + 1/Performance!$AE$8</f>
        <v>0.22738716112204788</v>
      </c>
      <c r="O220" s="60">
        <f>$AC$16 * (Performance!$E$12/Constraints!A220 + Performance!$E$23 * (Constraints!$AC$13/Constraints!$AC$17)^2 * Constraints!A220)</f>
        <v>2.747290315041711E-4</v>
      </c>
      <c r="P220" t="e">
        <f t="shared" si="15"/>
        <v>#VALUE!</v>
      </c>
      <c r="Q220">
        <f t="shared" si="16"/>
        <v>43.514108441113024</v>
      </c>
      <c r="R220">
        <f t="shared" si="17"/>
        <v>48.151290582806986</v>
      </c>
      <c r="S220" t="e">
        <f xml:space="preserve"> 1.667/G220 + P220/A220 * Performance!$E$12 + Performance!$E$23 / Constraints!P220 * Constraints!A220</f>
        <v>#VALUE!</v>
      </c>
      <c r="T220">
        <f xml:space="preserve"> 1.667/H220 + Q220/A220 * Performance!$E$12 + Performance!$E$23 / Constraints!Q220 * Constraints!A220</f>
        <v>0.23540470760216192</v>
      </c>
      <c r="U220">
        <f xml:space="preserve"> 1.667/I220 + R220/A220 * Performance!$E$12 + Performance!$E$23 / Constraints!R220 * Constraints!A220</f>
        <v>0.22124135471603046</v>
      </c>
    </row>
    <row r="221" spans="1:21" x14ac:dyDescent="0.3">
      <c r="A221" s="51">
        <v>109.5</v>
      </c>
      <c r="B221" s="50">
        <f>$V$4*Performance!$E$12*(1/A221)+Performance!$E$23*(1/Constraints!$V$4)*Constraints!A221</f>
        <v>0.26369422825681432</v>
      </c>
      <c r="C221" s="50">
        <f>$V$5*Performance!$E$12*(1/A221)+Performance!$E$23*(1/Constraints!$V$5)*Constraints!A221</f>
        <v>0.40765976324395048</v>
      </c>
      <c r="D221" s="52">
        <f t="shared" si="14"/>
        <v>0.30820557099054569</v>
      </c>
      <c r="E221" s="52">
        <f>$V$4*Performance!$E$12*(1/A221)+Performance!$E$23*(1/Constraints!$V$9)*Constraints!A221</f>
        <v>0.26319970871829446</v>
      </c>
      <c r="F221" s="52">
        <f xml:space="preserve"> 1.21 / (9.81 * Constraints!$N$7 * Performance!$E$15 * Constraints!$N$5 ) * Constraints!A221 + 0.605 /Performance!$E$15 * (Performance!$E$16  - Constraints!$N$6 * Performance!$E$14) + Constraints!$N$6</f>
        <v>0.30814478549514251</v>
      </c>
      <c r="G221" s="54" t="s">
        <v>198</v>
      </c>
      <c r="H221" s="55">
        <f>SQRT(2/$V$3 * A221 * SQRT(Performance!$E$23 / (3 * Performance!$E$12)))</f>
        <v>12.90290036590636</v>
      </c>
      <c r="I221" s="55">
        <f>SQRT(2/$V$3 * A221 * (SQRT(Performance!$E$23)/(SQRT(3*Performance!$E$12 + 4* Performance!$E$23 * Performance!$E$11^2) - SQRT(Performance!$E$23)*Performance!$E$11)))</f>
        <v>13.573012992553711</v>
      </c>
      <c r="J221" t="e">
        <f xml:space="preserve"> $AC$3/G221 + $AC$6/A221 * Performance!$E$12 + Performance!$E$23/Constraints!$AC$6 * Constraints!A221</f>
        <v>#VALUE!</v>
      </c>
      <c r="K221">
        <f xml:space="preserve"> $AC$3/H221 + $AC$6/A221 * Performance!$E$12 + Performance!$E$23/Constraints!$AC$6 * Constraints!A221</f>
        <v>0.74870275034911771</v>
      </c>
      <c r="L221">
        <f xml:space="preserve"> $AC$3/I221 + $AC$6/A221 * Performance!$E$12 + Performance!$E$23/Constraints!$AC$6 * Constraints!A221</f>
        <v>0.72926491473505317</v>
      </c>
      <c r="M221">
        <f>SIN($AC$9 * PI()/180) + 1/Performance!$AE$5</f>
        <v>0.24073077270730886</v>
      </c>
      <c r="N221">
        <f>SIN($AC$9 * PI()/180) + 1/Performance!$AE$8</f>
        <v>0.22738716112204788</v>
      </c>
      <c r="O221" s="60">
        <f>$AC$16 * (Performance!$E$12/Constraints!A221 + Performance!$E$23 * (Constraints!$AC$13/Constraints!$AC$17)^2 * Constraints!A221)</f>
        <v>2.7392569955111203E-4</v>
      </c>
      <c r="P221" t="e">
        <f t="shared" si="15"/>
        <v>#VALUE!</v>
      </c>
      <c r="Q221">
        <f t="shared" si="16"/>
        <v>43.713714443136489</v>
      </c>
      <c r="R221">
        <f t="shared" si="17"/>
        <v>48.372168062544638</v>
      </c>
      <c r="S221" t="e">
        <f xml:space="preserve"> 1.667/G221 + P221/A221 * Performance!$E$12 + Performance!$E$23 / Constraints!P221 * Constraints!A221</f>
        <v>#VALUE!</v>
      </c>
      <c r="T221">
        <f xml:space="preserve"> 1.667/H221 + Q221/A221 * Performance!$E$12 + Performance!$E$23 / Constraints!Q221 * Constraints!A221</f>
        <v>0.23510872609504796</v>
      </c>
      <c r="U221">
        <f xml:space="preserve"> 1.667/I221 + R221/A221 * Performance!$E$12 + Performance!$E$23 / Constraints!R221 * Constraints!A221</f>
        <v>0.22095998609886808</v>
      </c>
    </row>
    <row r="222" spans="1:21" x14ac:dyDescent="0.3">
      <c r="A222" s="51">
        <v>110</v>
      </c>
      <c r="B222" s="50">
        <f>$V$4*Performance!$E$12*(1/A222)+Performance!$E$23*(1/Constraints!$V$4)*Constraints!A222</f>
        <v>0.26253514207551493</v>
      </c>
      <c r="C222" s="50">
        <f>$V$5*Performance!$E$12*(1/A222)+Performance!$E$23*(1/Constraints!$V$5)*Constraints!A222</f>
        <v>0.40583208235026319</v>
      </c>
      <c r="D222" s="52">
        <f t="shared" si="14"/>
        <v>0.30847785670283129</v>
      </c>
      <c r="E222" s="52">
        <f>$V$4*Performance!$E$12*(1/A222)+Performance!$E$23*(1/Constraints!$V$9)*Constraints!A222</f>
        <v>0.26203836445691048</v>
      </c>
      <c r="F222" s="52">
        <f xml:space="preserve"> 1.21 / (9.81 * Constraints!$N$7 * Performance!$E$15 * Constraints!$N$5 ) * Constraints!A222 + 0.605 /Performance!$E$15 * (Performance!$E$16  - Constraints!$N$6 * Performance!$E$14) + Constraints!$N$6</f>
        <v>0.30841679364808838</v>
      </c>
      <c r="G222" s="54" t="s">
        <v>198</v>
      </c>
      <c r="H222" s="55">
        <f>SQRT(2/$V$3 * A222 * SQRT(Performance!$E$23 / (3 * Performance!$E$12)))</f>
        <v>12.932325490473824</v>
      </c>
      <c r="I222" s="55">
        <f>SQRT(2/$V$3 * A222 * (SQRT(Performance!$E$23)/(SQRT(3*Performance!$E$12 + 4* Performance!$E$23 * Performance!$E$11^2) - SQRT(Performance!$E$23)*Performance!$E$11)))</f>
        <v>13.603966312097043</v>
      </c>
      <c r="J222" t="e">
        <f xml:space="preserve"> $AC$3/G222 + $AC$6/A222 * Performance!$E$12 + Performance!$E$23/Constraints!$AC$6 * Constraints!A222</f>
        <v>#VALUE!</v>
      </c>
      <c r="K222">
        <f xml:space="preserve"> $AC$3/H222 + $AC$6/A222 * Performance!$E$12 + Performance!$E$23/Constraints!$AC$6 * Constraints!A222</f>
        <v>0.74939876915630754</v>
      </c>
      <c r="L222">
        <f xml:space="preserve"> $AC$3/I222 + $AC$6/A222 * Performance!$E$12 + Performance!$E$23/Constraints!$AC$6 * Constraints!A222</f>
        <v>0.7300051607568061</v>
      </c>
      <c r="M222">
        <f>SIN($AC$9 * PI()/180) + 1/Performance!$AE$5</f>
        <v>0.24073077270730886</v>
      </c>
      <c r="N222">
        <f>SIN($AC$9 * PI()/180) + 1/Performance!$AE$8</f>
        <v>0.22738716112204788</v>
      </c>
      <c r="O222" s="60">
        <f>$AC$16 * (Performance!$E$12/Constraints!A222 + Performance!$E$23 * (Constraints!$AC$13/Constraints!$AC$17)^2 * Constraints!A222)</f>
        <v>2.7313172593791717E-4</v>
      </c>
      <c r="P222" t="e">
        <f t="shared" si="15"/>
        <v>#VALUE!</v>
      </c>
      <c r="Q222">
        <f t="shared" si="16"/>
        <v>43.913320445159947</v>
      </c>
      <c r="R222">
        <f t="shared" si="17"/>
        <v>48.593045542282269</v>
      </c>
      <c r="S222" t="e">
        <f xml:space="preserve"> 1.667/G222 + P222/A222 * Performance!$E$12 + Performance!$E$23 / Constraints!P222 * Constraints!A222</f>
        <v>#VALUE!</v>
      </c>
      <c r="T222">
        <f xml:space="preserve"> 1.667/H222 + Q222/A222 * Performance!$E$12 + Performance!$E$23 / Constraints!Q222 * Constraints!A222</f>
        <v>0.23481476494389147</v>
      </c>
      <c r="U222">
        <f xml:space="preserve"> 1.667/I222 + R222/A222 * Performance!$E$12 + Performance!$E$23 / Constraints!R222 * Constraints!A222</f>
        <v>0.22068053809075822</v>
      </c>
    </row>
    <row r="223" spans="1:21" x14ac:dyDescent="0.3">
      <c r="A223" s="51">
        <v>110.5</v>
      </c>
      <c r="B223" s="50">
        <f>$V$4*Performance!$E$12*(1/A223)+Performance!$E$23*(1/Constraints!$V$4)*Constraints!A223</f>
        <v>0.26138672461069307</v>
      </c>
      <c r="C223" s="50">
        <f>$V$5*Performance!$E$12*(1/A223)+Performance!$E$23*(1/Constraints!$V$5)*Constraints!A223</f>
        <v>0.40402105637734326</v>
      </c>
      <c r="D223" s="52">
        <f t="shared" si="14"/>
        <v>0.30875014241511689</v>
      </c>
      <c r="E223" s="52">
        <f>$V$4*Performance!$E$12*(1/A223)+Performance!$E$23*(1/Constraints!$V$9)*Constraints!A223</f>
        <v>0.26088768891200409</v>
      </c>
      <c r="F223" s="52">
        <f xml:space="preserve"> 1.21 / (9.81 * Constraints!$N$7 * Performance!$E$15 * Constraints!$N$5 ) * Constraints!A223 + 0.605 /Performance!$E$15 * (Performance!$E$16  - Constraints!$N$6 * Performance!$E$14) + Constraints!$N$6</f>
        <v>0.30868880180103425</v>
      </c>
      <c r="G223" s="54" t="s">
        <v>198</v>
      </c>
      <c r="H223" s="55">
        <f>SQRT(2/$V$3 * A223 * SQRT(Performance!$E$23 / (3 * Performance!$E$12)))</f>
        <v>12.961683815408072</v>
      </c>
      <c r="I223" s="55">
        <f>SQRT(2/$V$3 * A223 * (SQRT(Performance!$E$23)/(SQRT(3*Performance!$E$12 + 4* Performance!$E$23 * Performance!$E$11^2) - SQRT(Performance!$E$23)*Performance!$E$11)))</f>
        <v>13.634849362765642</v>
      </c>
      <c r="J223" t="e">
        <f xml:space="preserve"> $AC$3/G223 + $AC$6/A223 * Performance!$E$12 + Performance!$E$23/Constraints!$AC$6 * Constraints!A223</f>
        <v>#VALUE!</v>
      </c>
      <c r="K223">
        <f xml:space="preserve"> $AC$3/H223 + $AC$6/A223 * Performance!$E$12 + Performance!$E$23/Constraints!$AC$6 * Constraints!A223</f>
        <v>0.75010100659909584</v>
      </c>
      <c r="L223">
        <f xml:space="preserve"> $AC$3/I223 + $AC$6/A223 * Performance!$E$12 + Performance!$E$23/Constraints!$AC$6 * Constraints!A223</f>
        <v>0.73075132488883843</v>
      </c>
      <c r="M223">
        <f>SIN($AC$9 * PI()/180) + 1/Performance!$AE$5</f>
        <v>0.24073077270730886</v>
      </c>
      <c r="N223">
        <f>SIN($AC$9 * PI()/180) + 1/Performance!$AE$8</f>
        <v>0.22738716112204788</v>
      </c>
      <c r="O223" s="60">
        <f>$AC$16 * (Performance!$E$12/Constraints!A223 + Performance!$E$23 * (Constraints!$AC$13/Constraints!$AC$17)^2 * Constraints!A223)</f>
        <v>2.7234698362829868E-4</v>
      </c>
      <c r="P223" t="e">
        <f t="shared" si="15"/>
        <v>#VALUE!</v>
      </c>
      <c r="Q223">
        <f t="shared" si="16"/>
        <v>44.112926447183398</v>
      </c>
      <c r="R223">
        <f t="shared" si="17"/>
        <v>48.813923022019914</v>
      </c>
      <c r="S223" t="e">
        <f xml:space="preserve"> 1.667/G223 + P223/A223 * Performance!$E$12 + Performance!$E$23 / Constraints!P223 * Constraints!A223</f>
        <v>#VALUE!</v>
      </c>
      <c r="T223">
        <f xml:space="preserve"> 1.667/H223 + Q223/A223 * Performance!$E$12 + Performance!$E$23 / Constraints!Q223 * Constraints!A223</f>
        <v>0.23452280126803521</v>
      </c>
      <c r="U223">
        <f xml:space="preserve"> 1.667/I223 + R223/A223 * Performance!$E$12 + Performance!$E$23 / Constraints!R223 * Constraints!A223</f>
        <v>0.22040298894068339</v>
      </c>
    </row>
    <row r="224" spans="1:21" x14ac:dyDescent="0.3">
      <c r="A224" s="51">
        <v>111</v>
      </c>
      <c r="B224" s="50">
        <f>$V$4*Performance!$E$12*(1/A224)+Performance!$E$23*(1/Constraints!$V$4)*Constraints!A224</f>
        <v>0.26024883169050422</v>
      </c>
      <c r="C224" s="50">
        <f>$V$5*Performance!$E$12*(1/A224)+Performance!$E$23*(1/Constraints!$V$5)*Constraints!A224</f>
        <v>0.40222646025869363</v>
      </c>
      <c r="D224" s="52">
        <f t="shared" si="14"/>
        <v>0.30902242812740249</v>
      </c>
      <c r="E224" s="52">
        <f>$V$4*Performance!$E$12*(1/A224)+Performance!$E$23*(1/Constraints!$V$9)*Constraints!A224</f>
        <v>0.25974753791173066</v>
      </c>
      <c r="F224" s="52">
        <f xml:space="preserve"> 1.21 / (9.81 * Constraints!$N$7 * Performance!$E$15 * Constraints!$N$5 ) * Constraints!A224 + 0.605 /Performance!$E$15 * (Performance!$E$16  - Constraints!$N$6 * Performance!$E$14) + Constraints!$N$6</f>
        <v>0.30896080995398006</v>
      </c>
      <c r="G224" s="54" t="s">
        <v>198</v>
      </c>
      <c r="H224" s="55">
        <f>SQRT(2/$V$3 * A224 * SQRT(Performance!$E$23 / (3 * Performance!$E$12)))</f>
        <v>12.990975793590877</v>
      </c>
      <c r="I224" s="55">
        <f>SQRT(2/$V$3 * A224 * (SQRT(Performance!$E$23)/(SQRT(3*Performance!$E$12 + 4* Performance!$E$23 * Performance!$E$11^2) - SQRT(Performance!$E$23)*Performance!$E$11)))</f>
        <v>13.66566262096171</v>
      </c>
      <c r="J224" t="e">
        <f xml:space="preserve"> $AC$3/G224 + $AC$6/A224 * Performance!$E$12 + Performance!$E$23/Constraints!$AC$6 * Constraints!A224</f>
        <v>#VALUE!</v>
      </c>
      <c r="K224">
        <f xml:space="preserve"> $AC$3/H224 + $AC$6/A224 * Performance!$E$12 + Performance!$E$23/Constraints!$AC$6 * Constraints!A224</f>
        <v>0.75080939227403665</v>
      </c>
      <c r="L224">
        <f xml:space="preserve"> $AC$3/I224 + $AC$6/A224 * Performance!$E$12 + Performance!$E$23/Constraints!$AC$6 * Constraints!A224</f>
        <v>0.73150334011582419</v>
      </c>
      <c r="M224">
        <f>SIN($AC$9 * PI()/180) + 1/Performance!$AE$5</f>
        <v>0.24073077270730886</v>
      </c>
      <c r="N224">
        <f>SIN($AC$9 * PI()/180) + 1/Performance!$AE$8</f>
        <v>0.22738716112204788</v>
      </c>
      <c r="O224" s="60">
        <f>$AC$16 * (Performance!$E$12/Constraints!A224 + Performance!$E$23 * (Constraints!$AC$13/Constraints!$AC$17)^2 * Constraints!A224)</f>
        <v>2.7157134787491103E-4</v>
      </c>
      <c r="P224" t="e">
        <f t="shared" si="15"/>
        <v>#VALUE!</v>
      </c>
      <c r="Q224">
        <f t="shared" si="16"/>
        <v>44.312532449206856</v>
      </c>
      <c r="R224">
        <f t="shared" si="17"/>
        <v>49.034800501757573</v>
      </c>
      <c r="S224" t="e">
        <f xml:space="preserve"> 1.667/G224 + P224/A224 * Performance!$E$12 + Performance!$E$23 / Constraints!P224 * Constraints!A224</f>
        <v>#VALUE!</v>
      </c>
      <c r="T224">
        <f xml:space="preserve"> 1.667/H224 + Q224/A224 * Performance!$E$12 + Performance!$E$23 / Constraints!Q224 * Constraints!A224</f>
        <v>0.23423281254796097</v>
      </c>
      <c r="U224">
        <f xml:space="preserve"> 1.667/I224 + R224/A224 * Performance!$E$12 + Performance!$E$23 / Constraints!R224 * Constraints!A224</f>
        <v>0.22012731724093573</v>
      </c>
    </row>
    <row r="225" spans="1:21" x14ac:dyDescent="0.3">
      <c r="A225" s="51">
        <v>111.5</v>
      </c>
      <c r="B225" s="50">
        <f>$V$4*Performance!$E$12*(1/A225)+Performance!$E$23*(1/Constraints!$V$4)*Constraints!A225</f>
        <v>0.25912132172914626</v>
      </c>
      <c r="C225" s="50">
        <f>$V$5*Performance!$E$12*(1/A225)+Performance!$E$23*(1/Constraints!$V$5)*Constraints!A225</f>
        <v>0.40044807296488483</v>
      </c>
      <c r="D225" s="52">
        <f t="shared" si="14"/>
        <v>0.3092947138396881</v>
      </c>
      <c r="E225" s="52">
        <f>$V$4*Performance!$E$12*(1/A225)+Performance!$E$23*(1/Constraints!$V$9)*Constraints!A225</f>
        <v>0.25861776987028817</v>
      </c>
      <c r="F225" s="52">
        <f xml:space="preserve"> 1.21 / (9.81 * Constraints!$N$7 * Performance!$E$15 * Constraints!$N$5 ) * Constraints!A225 + 0.605 /Performance!$E$15 * (Performance!$E$16  - Constraints!$N$6 * Performance!$E$14) + Constraints!$N$6</f>
        <v>0.30923281810692593</v>
      </c>
      <c r="G225" s="54" t="s">
        <v>198</v>
      </c>
      <c r="H225" s="55">
        <f>SQRT(2/$V$3 * A225 * SQRT(Performance!$E$23 / (3 * Performance!$E$12)))</f>
        <v>13.020201872809677</v>
      </c>
      <c r="I225" s="55">
        <f>SQRT(2/$V$3 * A225 * (SQRT(Performance!$E$23)/(SQRT(3*Performance!$E$12 + 4* Performance!$E$23 * Performance!$E$11^2) - SQRT(Performance!$E$23)*Performance!$E$11)))</f>
        <v>13.696406557728544</v>
      </c>
      <c r="J225" t="e">
        <f xml:space="preserve"> $AC$3/G225 + $AC$6/A225 * Performance!$E$12 + Performance!$E$23/Constraints!$AC$6 * Constraints!A225</f>
        <v>#VALUE!</v>
      </c>
      <c r="K225">
        <f xml:space="preserve"> $AC$3/H225 + $AC$6/A225 * Performance!$E$12 + Performance!$E$23/Constraints!$AC$6 * Constraints!A225</f>
        <v>0.75152385688786993</v>
      </c>
      <c r="L225">
        <f xml:space="preserve"> $AC$3/I225 + $AC$6/A225 * Performance!$E$12 + Performance!$E$23/Constraints!$AC$6 * Constraints!A225</f>
        <v>0.73226114047938629</v>
      </c>
      <c r="M225">
        <f>SIN($AC$9 * PI()/180) + 1/Performance!$AE$5</f>
        <v>0.24073077270730886</v>
      </c>
      <c r="N225">
        <f>SIN($AC$9 * PI()/180) + 1/Performance!$AE$8</f>
        <v>0.22738716112204788</v>
      </c>
      <c r="O225" s="60">
        <f>$AC$16 * (Performance!$E$12/Constraints!A225 + Performance!$E$23 * (Constraints!$AC$13/Constraints!$AC$17)^2 * Constraints!A225)</f>
        <v>2.7080469616802913E-4</v>
      </c>
      <c r="P225" t="e">
        <f t="shared" si="15"/>
        <v>#VALUE!</v>
      </c>
      <c r="Q225">
        <f t="shared" si="16"/>
        <v>44.512138451230307</v>
      </c>
      <c r="R225">
        <f t="shared" si="17"/>
        <v>49.255677981495211</v>
      </c>
      <c r="S225" t="e">
        <f xml:space="preserve"> 1.667/G225 + P225/A225 * Performance!$E$12 + Performance!$E$23 / Constraints!P225 * Constraints!A225</f>
        <v>#VALUE!</v>
      </c>
      <c r="T225">
        <f xml:space="preserve"> 1.667/H225 + Q225/A225 * Performance!$E$12 + Performance!$E$23 / Constraints!Q225 * Constraints!A225</f>
        <v>0.23394477661799409</v>
      </c>
      <c r="U225">
        <f xml:space="preserve"> 1.667/I225 + R225/A225 * Performance!$E$12 + Performance!$E$23 / Constraints!R225 * Constraints!A225</f>
        <v>0.21985350192018099</v>
      </c>
    </row>
    <row r="226" spans="1:21" x14ac:dyDescent="0.3">
      <c r="A226" s="51">
        <v>112</v>
      </c>
      <c r="B226" s="50">
        <f>$V$4*Performance!$E$12*(1/A226)+Performance!$E$23*(1/Constraints!$V$4)*Constraints!A226</f>
        <v>0.25800405566913492</v>
      </c>
      <c r="C226" s="50">
        <f>$V$5*Performance!$E$12*(1/A226)+Performance!$E$23*(1/Constraints!$V$5)*Constraints!A226</f>
        <v>0.3986856774134413</v>
      </c>
      <c r="D226" s="52">
        <f t="shared" si="14"/>
        <v>0.3095669995519737</v>
      </c>
      <c r="E226" s="52">
        <f>$V$4*Performance!$E$12*(1/A226)+Performance!$E$23*(1/Constraints!$V$9)*Constraints!A226</f>
        <v>0.2574982457301922</v>
      </c>
      <c r="F226" s="52">
        <f xml:space="preserve"> 1.21 / (9.81 * Constraints!$N$7 * Performance!$E$15 * Constraints!$N$5 ) * Constraints!A226 + 0.605 /Performance!$E$15 * (Performance!$E$16  - Constraints!$N$6 * Performance!$E$14) + Constraints!$N$6</f>
        <v>0.3095048262598718</v>
      </c>
      <c r="G226" s="54" t="s">
        <v>198</v>
      </c>
      <c r="H226" s="55">
        <f>SQRT(2/$V$3 * A226 * SQRT(Performance!$E$23 / (3 * Performance!$E$12)))</f>
        <v>13.049362495837457</v>
      </c>
      <c r="I226" s="55">
        <f>SQRT(2/$V$3 * A226 * (SQRT(Performance!$E$23)/(SQRT(3*Performance!$E$12 + 4* Performance!$E$23 * Performance!$E$11^2) - SQRT(Performance!$E$23)*Performance!$E$11)))</f>
        <v>13.727081638834559</v>
      </c>
      <c r="J226" t="e">
        <f xml:space="preserve"> $AC$3/G226 + $AC$6/A226 * Performance!$E$12 + Performance!$E$23/Constraints!$AC$6 * Constraints!A226</f>
        <v>#VALUE!</v>
      </c>
      <c r="K226">
        <f xml:space="preserve"> $AC$3/H226 + $AC$6/A226 * Performance!$E$12 + Performance!$E$23/Constraints!$AC$6 * Constraints!A226</f>
        <v>0.75224433223512255</v>
      </c>
      <c r="L226">
        <f xml:space="preserve"> $AC$3/I226 + $AC$6/A226 * Performance!$E$12 + Performance!$E$23/Constraints!$AC$6 * Constraints!A226</f>
        <v>0.73302466105676856</v>
      </c>
      <c r="M226">
        <f>SIN($AC$9 * PI()/180) + 1/Performance!$AE$5</f>
        <v>0.24073077270730886</v>
      </c>
      <c r="N226">
        <f>SIN($AC$9 * PI()/180) + 1/Performance!$AE$8</f>
        <v>0.22738716112204788</v>
      </c>
      <c r="O226" s="60">
        <f>$AC$16 * (Performance!$E$12/Constraints!A226 + Performance!$E$23 * (Constraints!$AC$13/Constraints!$AC$17)^2 * Constraints!A226)</f>
        <v>2.7004690818560145E-4</v>
      </c>
      <c r="P226" t="e">
        <f t="shared" si="15"/>
        <v>#VALUE!</v>
      </c>
      <c r="Q226">
        <f t="shared" si="16"/>
        <v>44.711744453253758</v>
      </c>
      <c r="R226">
        <f t="shared" si="17"/>
        <v>49.476555461232856</v>
      </c>
      <c r="S226" t="e">
        <f xml:space="preserve"> 1.667/G226 + P226/A226 * Performance!$E$12 + Performance!$E$23 / Constraints!P226 * Constraints!A226</f>
        <v>#VALUE!</v>
      </c>
      <c r="T226">
        <f xml:space="preserve"> 1.667/H226 + Q226/A226 * Performance!$E$12 + Performance!$E$23 / Constraints!Q226 * Constraints!A226</f>
        <v>0.23365867165918669</v>
      </c>
      <c r="U226">
        <f xml:space="preserve"> 1.667/I226 + R226/A226 * Performance!$E$12 + Performance!$E$23 / Constraints!R226 * Constraints!A226</f>
        <v>0.21958152223669375</v>
      </c>
    </row>
    <row r="227" spans="1:21" x14ac:dyDescent="0.3">
      <c r="A227" s="51">
        <v>112.5</v>
      </c>
      <c r="B227" s="50">
        <f>$V$4*Performance!$E$12*(1/A227)+Performance!$E$23*(1/Constraints!$V$4)*Constraints!A227</f>
        <v>0.25689689692511886</v>
      </c>
      <c r="C227" s="50">
        <f>$V$5*Performance!$E$12*(1/A227)+Performance!$E$23*(1/Constraints!$V$5)*Constraints!A227</f>
        <v>0.39693906038113153</v>
      </c>
      <c r="D227" s="52">
        <f t="shared" si="14"/>
        <v>0.3098392852642593</v>
      </c>
      <c r="E227" s="52">
        <f>$V$4*Performance!$E$12*(1/A227)+Performance!$E$23*(1/Constraints!$V$9)*Constraints!A227</f>
        <v>0.25638882890609155</v>
      </c>
      <c r="F227" s="52">
        <f xml:space="preserve"> 1.21 / (9.81 * Constraints!$N$7 * Performance!$E$15 * Constraints!$N$5 ) * Constraints!A227 + 0.605 /Performance!$E$15 * (Performance!$E$16  - Constraints!$N$6 * Performance!$E$14) + Constraints!$N$6</f>
        <v>0.30977683441281767</v>
      </c>
      <c r="G227" s="54" t="s">
        <v>198</v>
      </c>
      <c r="H227" s="55">
        <f>SQRT(2/$V$3 * A227 * SQRT(Performance!$E$23 / (3 * Performance!$E$12)))</f>
        <v>13.078458100510998</v>
      </c>
      <c r="I227" s="55">
        <f>SQRT(2/$V$3 * A227 * (SQRT(Performance!$E$23)/(SQRT(3*Performance!$E$12 + 4* Performance!$E$23 * Performance!$E$11^2) - SQRT(Performance!$E$23)*Performance!$E$11)))</f>
        <v>13.757688324855609</v>
      </c>
      <c r="J227" t="e">
        <f xml:space="preserve"> $AC$3/G227 + $AC$6/A227 * Performance!$E$12 + Performance!$E$23/Constraints!$AC$6 * Constraints!A227</f>
        <v>#VALUE!</v>
      </c>
      <c r="K227">
        <f xml:space="preserve"> $AC$3/H227 + $AC$6/A227 * Performance!$E$12 + Performance!$E$23/Constraints!$AC$6 * Constraints!A227</f>
        <v>0.75297075117626044</v>
      </c>
      <c r="L227">
        <f xml:space="preserve"> $AC$3/I227 + $AC$6/A227 * Performance!$E$12 + Performance!$E$23/Constraints!$AC$6 * Constraints!A227</f>
        <v>0.73379383794003261</v>
      </c>
      <c r="M227">
        <f>SIN($AC$9 * PI()/180) + 1/Performance!$AE$5</f>
        <v>0.24073077270730886</v>
      </c>
      <c r="N227">
        <f>SIN($AC$9 * PI()/180) + 1/Performance!$AE$8</f>
        <v>0.22738716112204788</v>
      </c>
      <c r="O227" s="60">
        <f>$AC$16 * (Performance!$E$12/Constraints!A227 + Performance!$E$23 * (Constraints!$AC$13/Constraints!$AC$17)^2 * Constraints!A227)</f>
        <v>2.6929786574463543E-4</v>
      </c>
      <c r="P227" t="e">
        <f t="shared" si="15"/>
        <v>#VALUE!</v>
      </c>
      <c r="Q227">
        <f t="shared" si="16"/>
        <v>44.911350455277223</v>
      </c>
      <c r="R227">
        <f t="shared" si="17"/>
        <v>49.697432940970515</v>
      </c>
      <c r="S227" t="e">
        <f xml:space="preserve"> 1.667/G227 + P227/A227 * Performance!$E$12 + Performance!$E$23 / Constraints!P227 * Constraints!A227</f>
        <v>#VALUE!</v>
      </c>
      <c r="T227">
        <f xml:space="preserve"> 1.667/H227 + Q227/A227 * Performance!$E$12 + Performance!$E$23 / Constraints!Q227 * Constraints!A227</f>
        <v>0.23337447619237567</v>
      </c>
      <c r="U227">
        <f xml:space="preserve"> 1.667/I227 + R227/A227 * Performance!$E$12 + Performance!$E$23 / Constraints!R227 * Constraints!A227</f>
        <v>0.21931135777175753</v>
      </c>
    </row>
    <row r="228" spans="1:21" x14ac:dyDescent="0.3">
      <c r="A228" s="51">
        <v>113</v>
      </c>
      <c r="B228" s="50">
        <f>$V$4*Performance!$E$12*(1/A228)+Performance!$E$23*(1/Constraints!$V$4)*Constraints!A228</f>
        <v>0.25579971132918655</v>
      </c>
      <c r="C228" s="50">
        <f>$V$5*Performance!$E$12*(1/A228)+Performance!$E$23*(1/Constraints!$V$5)*Constraints!A228</f>
        <v>0.39520801241858644</v>
      </c>
      <c r="D228" s="52">
        <f t="shared" si="14"/>
        <v>0.3101115709765449</v>
      </c>
      <c r="E228" s="52">
        <f>$V$4*Performance!$E$12*(1/A228)+Performance!$E$23*(1/Constraints!$V$9)*Constraints!A228</f>
        <v>0.25528938523007472</v>
      </c>
      <c r="F228" s="52">
        <f xml:space="preserve"> 1.21 / (9.81 * Constraints!$N$7 * Performance!$E$15 * Constraints!$N$5 ) * Constraints!A228 + 0.605 /Performance!$E$15 * (Performance!$E$16  - Constraints!$N$6 * Performance!$E$14) + Constraints!$N$6</f>
        <v>0.31004884256576348</v>
      </c>
      <c r="G228" s="54" t="s">
        <v>198</v>
      </c>
      <c r="H228" s="55">
        <f>SQRT(2/$V$3 * A228 * SQRT(Performance!$E$23 / (3 * Performance!$E$12)))</f>
        <v>13.107489119807587</v>
      </c>
      <c r="I228" s="55">
        <f>SQRT(2/$V$3 * A228 * (SQRT(Performance!$E$23)/(SQRT(3*Performance!$E$12 + 4* Performance!$E$23 * Performance!$E$11^2) - SQRT(Performance!$E$23)*Performance!$E$11)))</f>
        <v>13.788227071255671</v>
      </c>
      <c r="J228" t="e">
        <f xml:space="preserve"> $AC$3/G228 + $AC$6/A228 * Performance!$E$12 + Performance!$E$23/Constraints!$AC$6 * Constraints!A228</f>
        <v>#VALUE!</v>
      </c>
      <c r="K228">
        <f xml:space="preserve"> $AC$3/H228 + $AC$6/A228 * Performance!$E$12 + Performance!$E$23/Constraints!$AC$6 * Constraints!A228</f>
        <v>0.75370304761637286</v>
      </c>
      <c r="L228">
        <f xml:space="preserve"> $AC$3/I228 + $AC$6/A228 * Performance!$E$12 + Performance!$E$23/Constraints!$AC$6 * Constraints!A228</f>
        <v>0.73456860821576075</v>
      </c>
      <c r="M228">
        <f>SIN($AC$9 * PI()/180) + 1/Performance!$AE$5</f>
        <v>0.24073077270730886</v>
      </c>
      <c r="N228">
        <f>SIN($AC$9 * PI()/180) + 1/Performance!$AE$8</f>
        <v>0.22738716112204788</v>
      </c>
      <c r="O228" s="60">
        <f>$AC$16 * (Performance!$E$12/Constraints!A228 + Performance!$E$23 * (Constraints!$AC$13/Constraints!$AC$17)^2 * Constraints!A228)</f>
        <v>2.6855745275387258E-4</v>
      </c>
      <c r="P228" t="e">
        <f t="shared" si="15"/>
        <v>#VALUE!</v>
      </c>
      <c r="Q228">
        <f t="shared" si="16"/>
        <v>45.110956457300674</v>
      </c>
      <c r="R228">
        <f t="shared" si="17"/>
        <v>49.91831042070816</v>
      </c>
      <c r="S228" t="e">
        <f xml:space="preserve"> 1.667/G228 + P228/A228 * Performance!$E$12 + Performance!$E$23 / Constraints!P228 * Constraints!A228</f>
        <v>#VALUE!</v>
      </c>
      <c r="T228">
        <f xml:space="preserve"> 1.667/H228 + Q228/A228 * Performance!$E$12 + Performance!$E$23 / Constraints!Q228 * Constraints!A228</f>
        <v>0.23309216907140945</v>
      </c>
      <c r="U228">
        <f xml:space="preserve"> 1.667/I228 + R228/A228 * Performance!$E$12 + Performance!$E$23 / Constraints!R228 * Constraints!A228</f>
        <v>0.21904298842322667</v>
      </c>
    </row>
    <row r="229" spans="1:21" x14ac:dyDescent="0.3">
      <c r="A229" s="51">
        <v>113.5</v>
      </c>
      <c r="B229" s="50">
        <f>$V$4*Performance!$E$12*(1/A229)+Performance!$E$23*(1/Constraints!$V$4)*Constraints!A229</f>
        <v>0.25471236707761891</v>
      </c>
      <c r="C229" s="50">
        <f>$V$5*Performance!$E$12*(1/A229)+Performance!$E$23*(1/Constraints!$V$5)*Constraints!A229</f>
        <v>0.3934923277671748</v>
      </c>
      <c r="D229" s="52">
        <f t="shared" si="14"/>
        <v>0.31038385668883051</v>
      </c>
      <c r="E229" s="52">
        <f>$V$4*Performance!$E$12*(1/A229)+Performance!$E$23*(1/Constraints!$V$9)*Constraints!A229</f>
        <v>0.25419978289842249</v>
      </c>
      <c r="F229" s="52">
        <f xml:space="preserve"> 1.21 / (9.81 * Constraints!$N$7 * Performance!$E$15 * Constraints!$N$5 ) * Constraints!A229 + 0.605 /Performance!$E$15 * (Performance!$E$16  - Constraints!$N$6 * Performance!$E$14) + Constraints!$N$6</f>
        <v>0.31032085071870935</v>
      </c>
      <c r="G229" s="54" t="s">
        <v>198</v>
      </c>
      <c r="H229" s="55">
        <f>SQRT(2/$V$3 * A229 * SQRT(Performance!$E$23 / (3 * Performance!$E$12)))</f>
        <v>13.136455981920191</v>
      </c>
      <c r="I229" s="55">
        <f>SQRT(2/$V$3 * A229 * (SQRT(Performance!$E$23)/(SQRT(3*Performance!$E$12 + 4* Performance!$E$23 * Performance!$E$11^2) - SQRT(Performance!$E$23)*Performance!$E$11)))</f>
        <v>13.818698328465933</v>
      </c>
      <c r="J229" t="e">
        <f xml:space="preserve"> $AC$3/G229 + $AC$6/A229 * Performance!$E$12 + Performance!$E$23/Constraints!$AC$6 * Constraints!A229</f>
        <v>#VALUE!</v>
      </c>
      <c r="K229">
        <f xml:space="preserve"> $AC$3/H229 + $AC$6/A229 * Performance!$E$12 + Performance!$E$23/Constraints!$AC$6 * Constraints!A229</f>
        <v>0.75444115648437726</v>
      </c>
      <c r="L229">
        <f xml:space="preserve"> $AC$3/I229 + $AC$6/A229 * Performance!$E$12 + Performance!$E$23/Constraints!$AC$6 * Constraints!A229</f>
        <v>0.73534890994525548</v>
      </c>
      <c r="M229">
        <f>SIN($AC$9 * PI()/180) + 1/Performance!$AE$5</f>
        <v>0.24073077270730886</v>
      </c>
      <c r="N229">
        <f>SIN($AC$9 * PI()/180) + 1/Performance!$AE$8</f>
        <v>0.22738716112204788</v>
      </c>
      <c r="O229" s="60">
        <f>$AC$16 * (Performance!$E$12/Constraints!A229 + Performance!$E$23 * (Constraints!$AC$13/Constraints!$AC$17)^2 * Constraints!A229)</f>
        <v>2.6782555516771558E-4</v>
      </c>
      <c r="P229" t="e">
        <f t="shared" si="15"/>
        <v>#VALUE!</v>
      </c>
      <c r="Q229">
        <f t="shared" si="16"/>
        <v>45.31056245932411</v>
      </c>
      <c r="R229">
        <f t="shared" si="17"/>
        <v>50.139187900445812</v>
      </c>
      <c r="S229" t="e">
        <f xml:space="preserve"> 1.667/G229 + P229/A229 * Performance!$E$12 + Performance!$E$23 / Constraints!P229 * Constraints!A229</f>
        <v>#VALUE!</v>
      </c>
      <c r="T229">
        <f xml:space="preserve"> 1.667/H229 + Q229/A229 * Performance!$E$12 + Performance!$E$23 / Constraints!Q229 * Constraints!A229</f>
        <v>0.23281172947653905</v>
      </c>
      <c r="U229">
        <f xml:space="preserve"> 1.667/I229 + R229/A229 * Performance!$E$12 + Performance!$E$23 / Constraints!R229 * Constraints!A229</f>
        <v>0.2187763943992429</v>
      </c>
    </row>
    <row r="230" spans="1:21" x14ac:dyDescent="0.3">
      <c r="A230" s="51">
        <v>114</v>
      </c>
      <c r="B230" s="50">
        <f>$V$4*Performance!$E$12*(1/A230)+Performance!$E$23*(1/Constraints!$V$4)*Constraints!A230</f>
        <v>0.25363473467904268</v>
      </c>
      <c r="C230" s="50">
        <f>$V$5*Performance!$E$12*(1/A230)+Performance!$E$23*(1/Constraints!$V$5)*Constraints!A230</f>
        <v>0.39179180427806576</v>
      </c>
      <c r="D230" s="52">
        <f t="shared" si="14"/>
        <v>0.31065614240111605</v>
      </c>
      <c r="E230" s="52">
        <f>$V$4*Performance!$E$12*(1/A230)+Performance!$E$23*(1/Constraints!$V$9)*Constraints!A230</f>
        <v>0.25311989241976174</v>
      </c>
      <c r="F230" s="52">
        <f xml:space="preserve"> 1.21 / (9.81 * Constraints!$N$7 * Performance!$E$15 * Constraints!$N$5 ) * Constraints!A230 + 0.605 /Performance!$E$15 * (Performance!$E$16  - Constraints!$N$6 * Performance!$E$14) + Constraints!$N$6</f>
        <v>0.31059285887165522</v>
      </c>
      <c r="G230" s="54" t="s">
        <v>198</v>
      </c>
      <c r="H230" s="55">
        <f>SQRT(2/$V$3 * A230 * SQRT(Performance!$E$23 / (3 * Performance!$E$12)))</f>
        <v>13.165359110331147</v>
      </c>
      <c r="I230" s="55">
        <f>SQRT(2/$V$3 * A230 * (SQRT(Performance!$E$23)/(SQRT(3*Performance!$E$12 + 4* Performance!$E$23 * Performance!$E$11^2) - SQRT(Performance!$E$23)*Performance!$E$11)))</f>
        <v>13.849102541962298</v>
      </c>
      <c r="J230" t="e">
        <f xml:space="preserve"> $AC$3/G230 + $AC$6/A230 * Performance!$E$12 + Performance!$E$23/Constraints!$AC$6 * Constraints!A230</f>
        <v>#VALUE!</v>
      </c>
      <c r="K230">
        <f xml:space="preserve"> $AC$3/H230 + $AC$6/A230 * Performance!$E$12 + Performance!$E$23/Constraints!$AC$6 * Constraints!A230</f>
        <v>0.75518501371272539</v>
      </c>
      <c r="L230">
        <f xml:space="preserve"> $AC$3/I230 + $AC$6/A230 * Performance!$E$12 + Performance!$E$23/Constraints!$AC$6 * Constraints!A230</f>
        <v>0.73613468214521582</v>
      </c>
      <c r="M230">
        <f>SIN($AC$9 * PI()/180) + 1/Performance!$AE$5</f>
        <v>0.24073077270730886</v>
      </c>
      <c r="N230">
        <f>SIN($AC$9 * PI()/180) + 1/Performance!$AE$8</f>
        <v>0.22738716112204788</v>
      </c>
      <c r="O230" s="60">
        <f>$AC$16 * (Performance!$E$12/Constraints!A230 + Performance!$E$23 * (Constraints!$AC$13/Constraints!$AC$17)^2 * Constraints!A230)</f>
        <v>2.671020609413671E-4</v>
      </c>
      <c r="P230" t="e">
        <f t="shared" si="15"/>
        <v>#VALUE!</v>
      </c>
      <c r="Q230">
        <f t="shared" si="16"/>
        <v>45.510168461347575</v>
      </c>
      <c r="R230">
        <f t="shared" si="17"/>
        <v>50.360065380183457</v>
      </c>
      <c r="S230" t="e">
        <f xml:space="preserve"> 1.667/G230 + P230/A230 * Performance!$E$12 + Performance!$E$23 / Constraints!P230 * Constraints!A230</f>
        <v>#VALUE!</v>
      </c>
      <c r="T230">
        <f xml:space="preserve"> 1.667/H230 + Q230/A230 * Performance!$E$12 + Performance!$E$23 / Constraints!Q230 * Constraints!A230</f>
        <v>0.23253313690796884</v>
      </c>
      <c r="U230">
        <f xml:space="preserve"> 1.667/I230 + R230/A230 * Performance!$E$12 + Performance!$E$23 / Constraints!R230 * Constraints!A230</f>
        <v>0.21851155621210533</v>
      </c>
    </row>
    <row r="231" spans="1:21" x14ac:dyDescent="0.3">
      <c r="A231" s="51">
        <v>114.5</v>
      </c>
      <c r="B231" s="50">
        <f>$V$4*Performance!$E$12*(1/A231)+Performance!$E$23*(1/Constraints!$V$4)*Constraints!A231</f>
        <v>0.25256668690394274</v>
      </c>
      <c r="C231" s="50">
        <f>$V$5*Performance!$E$12*(1/A231)+Performance!$E$23*(1/Constraints!$V$5)*Constraints!A231</f>
        <v>0.39010624333341276</v>
      </c>
      <c r="D231" s="52">
        <f t="shared" si="14"/>
        <v>0.31092842811340166</v>
      </c>
      <c r="E231" s="52">
        <f>$V$4*Performance!$E$12*(1/A231)+Performance!$E$23*(1/Constraints!$V$9)*Constraints!A231</f>
        <v>0.25204958656457721</v>
      </c>
      <c r="F231" s="52">
        <f xml:space="preserve"> 1.21 / (9.81 * Constraints!$N$7 * Performance!$E$15 * Constraints!$N$5 ) * Constraints!A231 + 0.605 /Performance!$E$15 * (Performance!$E$16  - Constraints!$N$6 * Performance!$E$14) + Constraints!$N$6</f>
        <v>0.31086486702460109</v>
      </c>
      <c r="G231" s="54" t="s">
        <v>198</v>
      </c>
      <c r="H231" s="55">
        <f>SQRT(2/$V$3 * A231 * SQRT(Performance!$E$23 / (3 * Performance!$E$12)))</f>
        <v>13.194198923884386</v>
      </c>
      <c r="I231" s="55">
        <f>SQRT(2/$V$3 * A231 * (SQRT(Performance!$E$23)/(SQRT(3*Performance!$E$12 + 4* Performance!$E$23 * Performance!$E$11^2) - SQRT(Performance!$E$23)*Performance!$E$11)))</f>
        <v>13.879440152341376</v>
      </c>
      <c r="J231" t="e">
        <f xml:space="preserve"> $AC$3/G231 + $AC$6/A231 * Performance!$E$12 + Performance!$E$23/Constraints!$AC$6 * Constraints!A231</f>
        <v>#VALUE!</v>
      </c>
      <c r="K231">
        <f xml:space="preserve"> $AC$3/H231 + $AC$6/A231 * Performance!$E$12 + Performance!$E$23/Constraints!$AC$6 * Constraints!A231</f>
        <v>0.75593455621760064</v>
      </c>
      <c r="L231">
        <f xml:space="preserve"> $AC$3/I231 + $AC$6/A231 * Performance!$E$12 + Performance!$E$23/Constraints!$AC$6 * Constraints!A231</f>
        <v>0.73692586476888144</v>
      </c>
      <c r="M231">
        <f>SIN($AC$9 * PI()/180) + 1/Performance!$AE$5</f>
        <v>0.24073077270730886</v>
      </c>
      <c r="N231">
        <f>SIN($AC$9 * PI()/180) + 1/Performance!$AE$8</f>
        <v>0.22738716112204788</v>
      </c>
      <c r="O231" s="60">
        <f>$AC$16 * (Performance!$E$12/Constraints!A231 + Performance!$E$23 * (Constraints!$AC$13/Constraints!$AC$17)^2 * Constraints!A231)</f>
        <v>2.663868599871438E-4</v>
      </c>
      <c r="P231" t="e">
        <f t="shared" si="15"/>
        <v>#VALUE!</v>
      </c>
      <c r="Q231">
        <f t="shared" si="16"/>
        <v>45.709774463371033</v>
      </c>
      <c r="R231">
        <f t="shared" si="17"/>
        <v>50.580942859921102</v>
      </c>
      <c r="S231" t="e">
        <f xml:space="preserve"> 1.667/G231 + P231/A231 * Performance!$E$12 + Performance!$E$23 / Constraints!P231 * Constraints!A231</f>
        <v>#VALUE!</v>
      </c>
      <c r="T231">
        <f xml:space="preserve"> 1.667/H231 + Q231/A231 * Performance!$E$12 + Performance!$E$23 / Constraints!Q231 * Constraints!A231</f>
        <v>0.23225637117956255</v>
      </c>
      <c r="U231">
        <f xml:space="preserve"> 1.667/I231 + R231/A231 * Performance!$E$12 + Performance!$E$23 / Constraints!R231 * Constraints!A231</f>
        <v>0.21824845467228632</v>
      </c>
    </row>
    <row r="232" spans="1:21" x14ac:dyDescent="0.3">
      <c r="A232" s="51">
        <v>115</v>
      </c>
      <c r="B232" s="50">
        <f>$V$4*Performance!$E$12*(1/A232)+Performance!$E$23*(1/Constraints!$V$4)*Constraints!A232</f>
        <v>0.25150809873549113</v>
      </c>
      <c r="C232" s="50">
        <f>$V$5*Performance!$E$12*(1/A232)+Performance!$E$23*(1/Constraints!$V$5)*Constraints!A232</f>
        <v>0.38843544976959249</v>
      </c>
      <c r="D232" s="52">
        <f t="shared" si="14"/>
        <v>0.31120071382568726</v>
      </c>
      <c r="E232" s="52">
        <f>$V$4*Performance!$E$12*(1/A232)+Performance!$E$23*(1/Constraints!$V$9)*Constraints!A232</f>
        <v>0.25098874031604101</v>
      </c>
      <c r="F232" s="52">
        <f xml:space="preserve"> 1.21 / (9.81 * Constraints!$N$7 * Performance!$E$15 * Constraints!$N$5 ) * Constraints!A232 + 0.605 /Performance!$E$15 * (Performance!$E$16  - Constraints!$N$6 * Performance!$E$14) + Constraints!$N$6</f>
        <v>0.31113687517754696</v>
      </c>
      <c r="G232" s="54" t="s">
        <v>198</v>
      </c>
      <c r="H232" s="55">
        <f>SQRT(2/$V$3 * A232 * SQRT(Performance!$E$23 / (3 * Performance!$E$12)))</f>
        <v>13.222975836856257</v>
      </c>
      <c r="I232" s="55">
        <f>SQRT(2/$V$3 * A232 * (SQRT(Performance!$E$23)/(SQRT(3*Performance!$E$12 + 4* Performance!$E$23 * Performance!$E$11^2) - SQRT(Performance!$E$23)*Performance!$E$11)))</f>
        <v>13.909711595394974</v>
      </c>
      <c r="J232" t="e">
        <f xml:space="preserve"> $AC$3/G232 + $AC$6/A232 * Performance!$E$12 + Performance!$E$23/Constraints!$AC$6 * Constraints!A232</f>
        <v>#VALUE!</v>
      </c>
      <c r="K232">
        <f xml:space="preserve"> $AC$3/H232 + $AC$6/A232 * Performance!$E$12 + Performance!$E$23/Constraints!$AC$6 * Constraints!A232</f>
        <v>0.75668972187958983</v>
      </c>
      <c r="L232">
        <f xml:space="preserve"> $AC$3/I232 + $AC$6/A232 * Performance!$E$12 + Performance!$E$23/Constraints!$AC$6 * Constraints!A232</f>
        <v>0.73772239868762912</v>
      </c>
      <c r="M232">
        <f>SIN($AC$9 * PI()/180) + 1/Performance!$AE$5</f>
        <v>0.24073077270730886</v>
      </c>
      <c r="N232">
        <f>SIN($AC$9 * PI()/180) + 1/Performance!$AE$8</f>
        <v>0.22738716112204788</v>
      </c>
      <c r="O232" s="60">
        <f>$AC$16 * (Performance!$E$12/Constraints!A232 + Performance!$E$23 * (Constraints!$AC$13/Constraints!$AC$17)^2 * Constraints!A232)</f>
        <v>2.6567984413193124E-4</v>
      </c>
      <c r="P232" t="e">
        <f t="shared" si="15"/>
        <v>#VALUE!</v>
      </c>
      <c r="Q232">
        <f t="shared" si="16"/>
        <v>45.909380465394491</v>
      </c>
      <c r="R232">
        <f t="shared" si="17"/>
        <v>50.801820339658747</v>
      </c>
      <c r="S232" t="e">
        <f xml:space="preserve"> 1.667/G232 + P232/A232 * Performance!$E$12 + Performance!$E$23 / Constraints!P232 * Constraints!A232</f>
        <v>#VALUE!</v>
      </c>
      <c r="T232">
        <f xml:space="preserve"> 1.667/H232 + Q232/A232 * Performance!$E$12 + Performance!$E$23 / Constraints!Q232 * Constraints!A232</f>
        <v>0.23198141241269948</v>
      </c>
      <c r="U232">
        <f xml:space="preserve"> 1.667/I232 + R232/A232 * Performance!$E$12 + Performance!$E$23 / Constraints!R232 * Constraints!A232</f>
        <v>0.21798707088259187</v>
      </c>
    </row>
    <row r="233" spans="1:21" x14ac:dyDescent="0.3">
      <c r="A233" s="51">
        <v>115.5</v>
      </c>
      <c r="B233" s="50">
        <f>$V$4*Performance!$E$12*(1/A233)+Performance!$E$23*(1/Constraints!$V$4)*Constraints!A233</f>
        <v>0.25045884732165341</v>
      </c>
      <c r="C233" s="50">
        <f>$V$5*Performance!$E$12*(1/A233)+Performance!$E$23*(1/Constraints!$V$5)*Constraints!A233</f>
        <v>0.38677923180243812</v>
      </c>
      <c r="D233" s="52">
        <f t="shared" si="14"/>
        <v>0.31147299953797286</v>
      </c>
      <c r="E233" s="52">
        <f>$V$4*Performance!$E$12*(1/A233)+Performance!$E$23*(1/Constraints!$V$9)*Constraints!A233</f>
        <v>0.24993723082211872</v>
      </c>
      <c r="F233" s="52">
        <f xml:space="preserve"> 1.21 / (9.81 * Constraints!$N$7 * Performance!$E$15 * Constraints!$N$5 ) * Constraints!A233 + 0.605 /Performance!$E$15 * (Performance!$E$16  - Constraints!$N$6 * Performance!$E$14) + Constraints!$N$6</f>
        <v>0.31140888333049277</v>
      </c>
      <c r="G233" s="54" t="s">
        <v>198</v>
      </c>
      <c r="H233" s="55">
        <f>SQRT(2/$V$3 * A233 * SQRT(Performance!$E$23 / (3 * Performance!$E$12)))</f>
        <v>13.25169025902496</v>
      </c>
      <c r="I233" s="55">
        <f>SQRT(2/$V$3 * A233 * (SQRT(Performance!$E$23)/(SQRT(3*Performance!$E$12 + 4* Performance!$E$23 * Performance!$E$11^2) - SQRT(Performance!$E$23)*Performance!$E$11)))</f>
        <v>13.939917302183138</v>
      </c>
      <c r="J233" t="e">
        <f xml:space="preserve"> $AC$3/G233 + $AC$6/A233 * Performance!$E$12 + Performance!$E$23/Constraints!$AC$6 * Constraints!A233</f>
        <v>#VALUE!</v>
      </c>
      <c r="K233">
        <f xml:space="preserve"> $AC$3/H233 + $AC$6/A233 * Performance!$E$12 + Performance!$E$23/Constraints!$AC$6 * Constraints!A233</f>
        <v>0.75745044952481744</v>
      </c>
      <c r="L233">
        <f xml:space="preserve"> $AC$3/I233 + $AC$6/A233 * Performance!$E$12 + Performance!$E$23/Constraints!$AC$6 * Constraints!A233</f>
        <v>0.73852422567300868</v>
      </c>
      <c r="M233">
        <f>SIN($AC$9 * PI()/180) + 1/Performance!$AE$5</f>
        <v>0.24073077270730886</v>
      </c>
      <c r="N233">
        <f>SIN($AC$9 * PI()/180) + 1/Performance!$AE$8</f>
        <v>0.22738716112204788</v>
      </c>
      <c r="O233" s="60">
        <f>$AC$16 * (Performance!$E$12/Constraints!A233 + Performance!$E$23 * (Constraints!$AC$13/Constraints!$AC$17)^2 * Constraints!A233)</f>
        <v>2.649809070757421E-4</v>
      </c>
      <c r="P233" t="e">
        <f t="shared" si="15"/>
        <v>#VALUE!</v>
      </c>
      <c r="Q233">
        <f t="shared" si="16"/>
        <v>46.108986467417949</v>
      </c>
      <c r="R233">
        <f t="shared" si="17"/>
        <v>51.022697819396399</v>
      </c>
      <c r="S233" t="e">
        <f xml:space="preserve"> 1.667/G233 + P233/A233 * Performance!$E$12 + Performance!$E$23 / Constraints!P233 * Constraints!A233</f>
        <v>#VALUE!</v>
      </c>
      <c r="T233">
        <f xml:space="preserve"> 1.667/H233 + Q233/A233 * Performance!$E$12 + Performance!$E$23 / Constraints!Q233 * Constraints!A233</f>
        <v>0.2317082410302776</v>
      </c>
      <c r="U233">
        <f xml:space="preserve"> 1.667/I233 + R233/A233 * Performance!$E$12 + Performance!$E$23 / Constraints!R233 * Constraints!A233</f>
        <v>0.21772738623246002</v>
      </c>
    </row>
    <row r="234" spans="1:21" x14ac:dyDescent="0.3">
      <c r="A234" s="51">
        <v>116</v>
      </c>
      <c r="B234" s="50">
        <f>$V$4*Performance!$E$12*(1/A234)+Performance!$E$23*(1/Constraints!$V$4)*Constraints!A234</f>
        <v>0.24941881192853371</v>
      </c>
      <c r="C234" s="50">
        <f>$V$5*Performance!$E$12*(1/A234)+Performance!$E$23*(1/Constraints!$V$5)*Constraints!A234</f>
        <v>0.38513740095440663</v>
      </c>
      <c r="D234" s="52">
        <f t="shared" si="14"/>
        <v>0.31174528525025846</v>
      </c>
      <c r="E234" s="52">
        <f>$V$4*Performance!$E$12*(1/A234)+Performance!$E$23*(1/Constraints!$V$9)*Constraints!A234</f>
        <v>0.24889493734891449</v>
      </c>
      <c r="F234" s="52">
        <f xml:space="preserve"> 1.21 / (9.81 * Constraints!$N$7 * Performance!$E$15 * Constraints!$N$5 ) * Constraints!A234 + 0.605 /Performance!$E$15 * (Performance!$E$16  - Constraints!$N$6 * Performance!$E$14) + Constraints!$N$6</f>
        <v>0.31168089148343864</v>
      </c>
      <c r="G234" s="54" t="s">
        <v>198</v>
      </c>
      <c r="H234" s="55">
        <f>SQRT(2/$V$3 * A234 * SQRT(Performance!$E$23 / (3 * Performance!$E$12)))</f>
        <v>13.280342595738617</v>
      </c>
      <c r="I234" s="55">
        <f>SQRT(2/$V$3 * A234 * (SQRT(Performance!$E$23)/(SQRT(3*Performance!$E$12 + 4* Performance!$E$23 * Performance!$E$11^2) - SQRT(Performance!$E$23)*Performance!$E$11)))</f>
        <v>13.970057699105764</v>
      </c>
      <c r="J234" t="e">
        <f xml:space="preserve"> $AC$3/G234 + $AC$6/A234 * Performance!$E$12 + Performance!$E$23/Constraints!$AC$6 * Constraints!A234</f>
        <v>#VALUE!</v>
      </c>
      <c r="K234">
        <f xml:space="preserve"> $AC$3/H234 + $AC$6/A234 * Performance!$E$12 + Performance!$E$23/Constraints!$AC$6 * Constraints!A234</f>
        <v>0.75821667890652822</v>
      </c>
      <c r="L234">
        <f xml:space="preserve"> $AC$3/I234 + $AC$6/A234 * Performance!$E$12 + Performance!$E$23/Constraints!$AC$6 * Constraints!A234</f>
        <v>0.73933128837920714</v>
      </c>
      <c r="M234">
        <f>SIN($AC$9 * PI()/180) + 1/Performance!$AE$5</f>
        <v>0.24073077270730886</v>
      </c>
      <c r="N234">
        <f>SIN($AC$9 * PI()/180) + 1/Performance!$AE$8</f>
        <v>0.22738716112204788</v>
      </c>
      <c r="O234" s="60">
        <f>$AC$16 * (Performance!$E$12/Constraints!A234 + Performance!$E$23 * (Constraints!$AC$13/Constraints!$AC$17)^2 * Constraints!A234)</f>
        <v>2.6428994435134779E-4</v>
      </c>
      <c r="P234" t="e">
        <f t="shared" si="15"/>
        <v>#VALUE!</v>
      </c>
      <c r="Q234">
        <f t="shared" si="16"/>
        <v>46.308592469441393</v>
      </c>
      <c r="R234">
        <f t="shared" si="17"/>
        <v>51.243575299134044</v>
      </c>
      <c r="S234" t="e">
        <f xml:space="preserve"> 1.667/G234 + P234/A234 * Performance!$E$12 + Performance!$E$23 / Constraints!P234 * Constraints!A234</f>
        <v>#VALUE!</v>
      </c>
      <c r="T234">
        <f xml:space="preserve"> 1.667/H234 + Q234/A234 * Performance!$E$12 + Performance!$E$23 / Constraints!Q234 * Constraints!A234</f>
        <v>0.23143683775085874</v>
      </c>
      <c r="U234">
        <f xml:space="preserve"> 1.667/I234 + R234/A234 * Performance!$E$12 + Performance!$E$23 / Constraints!R234 * Constraints!A234</f>
        <v>0.21746938239239566</v>
      </c>
    </row>
    <row r="235" spans="1:21" x14ac:dyDescent="0.3">
      <c r="A235" s="51">
        <v>116.5</v>
      </c>
      <c r="B235" s="50">
        <f>$V$4*Performance!$E$12*(1/A235)+Performance!$E$23*(1/Constraints!$V$4)*Constraints!A235</f>
        <v>0.24838787389492112</v>
      </c>
      <c r="C235" s="50">
        <f>$V$5*Performance!$E$12*(1/A235)+Performance!$E$23*(1/Constraints!$V$5)*Constraints!A235</f>
        <v>0.38350977198362085</v>
      </c>
      <c r="D235" s="52">
        <f t="shared" si="14"/>
        <v>0.31201757096254407</v>
      </c>
      <c r="E235" s="52">
        <f>$V$4*Performance!$E$12*(1/A235)+Performance!$E$23*(1/Constraints!$V$9)*Constraints!A235</f>
        <v>0.24786174123521731</v>
      </c>
      <c r="F235" s="52">
        <f xml:space="preserve"> 1.21 / (9.81 * Constraints!$N$7 * Performance!$E$15 * Constraints!$N$5 ) * Constraints!A235 + 0.605 /Performance!$E$15 * (Performance!$E$16  - Constraints!$N$6 * Performance!$E$14) + Constraints!$N$6</f>
        <v>0.31195289963638451</v>
      </c>
      <c r="G235" s="54" t="s">
        <v>198</v>
      </c>
      <c r="H235" s="55">
        <f>SQRT(2/$V$3 * A235 * SQRT(Performance!$E$23 / (3 * Performance!$E$12)))</f>
        <v>13.308933247982051</v>
      </c>
      <c r="I235" s="55">
        <f>SQRT(2/$V$3 * A235 * (SQRT(Performance!$E$23)/(SQRT(3*Performance!$E$12 + 4* Performance!$E$23 * Performance!$E$11^2) - SQRT(Performance!$E$23)*Performance!$E$11)))</f>
        <v>14.00013320797283</v>
      </c>
      <c r="J235" t="e">
        <f xml:space="preserve"> $AC$3/G235 + $AC$6/A235 * Performance!$E$12 + Performance!$E$23/Constraints!$AC$6 * Constraints!A235</f>
        <v>#VALUE!</v>
      </c>
      <c r="K235">
        <f xml:space="preserve"> $AC$3/H235 + $AC$6/A235 * Performance!$E$12 + Performance!$E$23/Constraints!$AC$6 * Constraints!A235</f>
        <v>0.75898835068710679</v>
      </c>
      <c r="L235">
        <f xml:space="preserve"> $AC$3/I235 + $AC$6/A235 * Performance!$E$12 + Performance!$E$23/Constraints!$AC$6 * Constraints!A235</f>
        <v>0.74014353032592806</v>
      </c>
      <c r="M235">
        <f>SIN($AC$9 * PI()/180) + 1/Performance!$AE$5</f>
        <v>0.24073077270730886</v>
      </c>
      <c r="N235">
        <f>SIN($AC$9 * PI()/180) + 1/Performance!$AE$8</f>
        <v>0.22738716112204788</v>
      </c>
      <c r="O235" s="60">
        <f>$AC$16 * (Performance!$E$12/Constraints!A235 + Performance!$E$23 * (Constraints!$AC$13/Constraints!$AC$17)^2 * Constraints!A235)</f>
        <v>2.6360685328494818E-4</v>
      </c>
      <c r="P235" t="e">
        <f t="shared" si="15"/>
        <v>#VALUE!</v>
      </c>
      <c r="Q235">
        <f t="shared" si="16"/>
        <v>46.508198471464851</v>
      </c>
      <c r="R235">
        <f t="shared" si="17"/>
        <v>51.464452778871674</v>
      </c>
      <c r="S235" t="e">
        <f xml:space="preserve"> 1.667/G235 + P235/A235 * Performance!$E$12 + Performance!$E$23 / Constraints!P235 * Constraints!A235</f>
        <v>#VALUE!</v>
      </c>
      <c r="T235">
        <f xml:space="preserve"> 1.667/H235 + Q235/A235 * Performance!$E$12 + Performance!$E$23 / Constraints!Q235 * Constraints!A235</f>
        <v>0.2311671835829521</v>
      </c>
      <c r="U235">
        <f xml:space="preserve"> 1.667/I235 + R235/A235 * Performance!$E$12 + Performance!$E$23 / Constraints!R235 * Constraints!A235</f>
        <v>0.21721304130853614</v>
      </c>
    </row>
    <row r="236" spans="1:21" x14ac:dyDescent="0.3">
      <c r="A236" s="51">
        <v>117</v>
      </c>
      <c r="B236" s="50">
        <f>$V$4*Performance!$E$12*(1/A236)+Performance!$E$23*(1/Constraints!$V$4)*Constraints!A236</f>
        <v>0.24736591658800144</v>
      </c>
      <c r="C236" s="50">
        <f>$V$5*Performance!$E$12*(1/A236)+Performance!$E$23*(1/Constraints!$V$5)*Constraints!A236</f>
        <v>0.3818961628147316</v>
      </c>
      <c r="D236" s="52">
        <f t="shared" si="14"/>
        <v>0.31228985667482967</v>
      </c>
      <c r="E236" s="52">
        <f>$V$4*Performance!$E$12*(1/A236)+Performance!$E$23*(1/Constraints!$V$9)*Constraints!A236</f>
        <v>0.24683752584821309</v>
      </c>
      <c r="F236" s="52">
        <f xml:space="preserve"> 1.21 / (9.81 * Constraints!$N$7 * Performance!$E$15 * Constraints!$N$5 ) * Constraints!A236 + 0.605 /Performance!$E$15 * (Performance!$E$16  - Constraints!$N$6 * Performance!$E$14) + Constraints!$N$6</f>
        <v>0.31222490778933037</v>
      </c>
      <c r="G236" s="54" t="s">
        <v>198</v>
      </c>
      <c r="H236" s="55">
        <f>SQRT(2/$V$3 * A236 * SQRT(Performance!$E$23 / (3 * Performance!$E$12)))</f>
        <v>13.337462612442241</v>
      </c>
      <c r="I236" s="55">
        <f>SQRT(2/$V$3 * A236 * (SQRT(Performance!$E$23)/(SQRT(3*Performance!$E$12 + 4* Performance!$E$23 * Performance!$E$11^2) - SQRT(Performance!$E$23)*Performance!$E$11)))</f>
        <v>14.030144246073275</v>
      </c>
      <c r="J236" t="e">
        <f xml:space="preserve"> $AC$3/G236 + $AC$6/A236 * Performance!$E$12 + Performance!$E$23/Constraints!$AC$6 * Constraints!A236</f>
        <v>#VALUE!</v>
      </c>
      <c r="K236">
        <f xml:space="preserve"> $AC$3/H236 + $AC$6/A236 * Performance!$E$12 + Performance!$E$23/Constraints!$AC$6 * Constraints!A236</f>
        <v>0.75976540642052148</v>
      </c>
      <c r="L236">
        <f xml:space="preserve"> $AC$3/I236 + $AC$6/A236 * Performance!$E$12 + Performance!$E$23/Constraints!$AC$6 * Constraints!A236</f>
        <v>0.74096089588167502</v>
      </c>
      <c r="M236">
        <f>SIN($AC$9 * PI()/180) + 1/Performance!$AE$5</f>
        <v>0.24073077270730886</v>
      </c>
      <c r="N236">
        <f>SIN($AC$9 * PI()/180) + 1/Performance!$AE$8</f>
        <v>0.22738716112204788</v>
      </c>
      <c r="O236" s="60">
        <f>$AC$16 * (Performance!$E$12/Constraints!A236 + Performance!$E$23 * (Constraints!$AC$13/Constraints!$AC$17)^2 * Constraints!A236)</f>
        <v>2.6293153295785119E-4</v>
      </c>
      <c r="P236" t="e">
        <f t="shared" si="15"/>
        <v>#VALUE!</v>
      </c>
      <c r="Q236">
        <f t="shared" si="16"/>
        <v>46.707804473488309</v>
      </c>
      <c r="R236">
        <f t="shared" si="17"/>
        <v>51.685330258609326</v>
      </c>
      <c r="S236" t="e">
        <f xml:space="preserve"> 1.667/G236 + P236/A236 * Performance!$E$12 + Performance!$E$23 / Constraints!P236 * Constraints!A236</f>
        <v>#VALUE!</v>
      </c>
      <c r="T236">
        <f xml:space="preserve"> 1.667/H236 + Q236/A236 * Performance!$E$12 + Performance!$E$23 / Constraints!Q236 * Constraints!A236</f>
        <v>0.23089925981943249</v>
      </c>
      <c r="U236">
        <f xml:space="preserve"> 1.667/I236 + R236/A236 * Performance!$E$12 + Performance!$E$23 / Constraints!R236 * Constraints!A236</f>
        <v>0.21695834519734486</v>
      </c>
    </row>
    <row r="237" spans="1:21" x14ac:dyDescent="0.3">
      <c r="A237" s="51">
        <v>117.5</v>
      </c>
      <c r="B237" s="50">
        <f>$V$4*Performance!$E$12*(1/A237)+Performance!$E$23*(1/Constraints!$V$4)*Constraints!A237</f>
        <v>0.24635282536019978</v>
      </c>
      <c r="C237" s="50">
        <f>$V$5*Performance!$E$12*(1/A237)+Performance!$E$23*(1/Constraints!$V$5)*Constraints!A237</f>
        <v>0.38029639447154434</v>
      </c>
      <c r="D237" s="52">
        <f t="shared" si="14"/>
        <v>0.31256214238711527</v>
      </c>
      <c r="E237" s="52">
        <f>$V$4*Performance!$E$12*(1/A237)+Performance!$E$23*(1/Constraints!$V$9)*Constraints!A237</f>
        <v>0.24582217654032687</v>
      </c>
      <c r="F237" s="52">
        <f xml:space="preserve"> 1.21 / (9.81 * Constraints!$N$7 * Performance!$E$15 * Constraints!$N$5 ) * Constraints!A237 + 0.605 /Performance!$E$15 * (Performance!$E$16  - Constraints!$N$6 * Performance!$E$14) + Constraints!$N$6</f>
        <v>0.31249691594227619</v>
      </c>
      <c r="G237" s="54" t="s">
        <v>198</v>
      </c>
      <c r="H237" s="55">
        <f>SQRT(2/$V$3 * A237 * SQRT(Performance!$E$23 / (3 * Performance!$E$12)))</f>
        <v>13.365931081572549</v>
      </c>
      <c r="I237" s="55">
        <f>SQRT(2/$V$3 * A237 * (SQRT(Performance!$E$23)/(SQRT(3*Performance!$E$12 + 4* Performance!$E$23 * Performance!$E$11^2) - SQRT(Performance!$E$23)*Performance!$E$11)))</f>
        <v>14.060091226242541</v>
      </c>
      <c r="J237" t="e">
        <f xml:space="preserve"> $AC$3/G237 + $AC$6/A237 * Performance!$E$12 + Performance!$E$23/Constraints!$AC$6 * Constraints!A237</f>
        <v>#VALUE!</v>
      </c>
      <c r="K237">
        <f xml:space="preserve"> $AC$3/H237 + $AC$6/A237 * Performance!$E$12 + Performance!$E$23/Constraints!$AC$6 * Constraints!A237</f>
        <v>0.76054778853518035</v>
      </c>
      <c r="L237">
        <f xml:space="preserve"> $AC$3/I237 + $AC$6/A237 * Performance!$E$12 + Performance!$E$23/Constraints!$AC$6 * Constraints!A237</f>
        <v>0.74178333024742793</v>
      </c>
      <c r="M237">
        <f>SIN($AC$9 * PI()/180) + 1/Performance!$AE$5</f>
        <v>0.24073077270730886</v>
      </c>
      <c r="N237">
        <f>SIN($AC$9 * PI()/180) + 1/Performance!$AE$8</f>
        <v>0.22738716112204788</v>
      </c>
      <c r="O237" s="60">
        <f>$AC$16 * (Performance!$E$12/Constraints!A237 + Performance!$E$23 * (Constraints!$AC$13/Constraints!$AC$17)^2 * Constraints!A237)</f>
        <v>2.6226388416912945E-4</v>
      </c>
      <c r="P237" t="e">
        <f t="shared" si="15"/>
        <v>#VALUE!</v>
      </c>
      <c r="Q237">
        <f t="shared" si="16"/>
        <v>46.90741047551176</v>
      </c>
      <c r="R237">
        <f t="shared" si="17"/>
        <v>51.906207738346986</v>
      </c>
      <c r="S237" t="e">
        <f xml:space="preserve"> 1.667/G237 + P237/A237 * Performance!$E$12 + Performance!$E$23 / Constraints!P237 * Constraints!A237</f>
        <v>#VALUE!</v>
      </c>
      <c r="T237">
        <f xml:space="preserve"> 1.667/H237 + Q237/A237 * Performance!$E$12 + Performance!$E$23 / Constraints!Q237 * Constraints!A237</f>
        <v>0.2306330480320892</v>
      </c>
      <c r="U237">
        <f xml:space="preserve"> 1.667/I237 + R237/A237 * Performance!$E$12 + Performance!$E$23 / Constraints!R237 * Constraints!A237</f>
        <v>0.21670527654042948</v>
      </c>
    </row>
    <row r="238" spans="1:21" x14ac:dyDescent="0.3">
      <c r="A238" s="51">
        <v>118</v>
      </c>
      <c r="B238" s="50">
        <f>$V$4*Performance!$E$12*(1/A238)+Performance!$E$23*(1/Constraints!$V$4)*Constraints!A238</f>
        <v>0.24534848750712071</v>
      </c>
      <c r="C238" s="50">
        <f>$V$5*Performance!$E$12*(1/A238)+Performance!$E$23*(1/Constraints!$V$5)*Constraints!A238</f>
        <v>0.37871029101135956</v>
      </c>
      <c r="D238" s="52">
        <f t="shared" si="14"/>
        <v>0.31283442809940087</v>
      </c>
      <c r="E238" s="52">
        <f>$V$4*Performance!$E$12*(1/A238)+Performance!$E$23*(1/Constraints!$V$9)*Constraints!A238</f>
        <v>0.24481558060716321</v>
      </c>
      <c r="F238" s="52">
        <f xml:space="preserve"> 1.21 / (9.81 * Constraints!$N$7 * Performance!$E$15 * Constraints!$N$5 ) * Constraints!A238 + 0.605 /Performance!$E$15 * (Performance!$E$16  - Constraints!$N$6 * Performance!$E$14) + Constraints!$N$6</f>
        <v>0.31276892409522206</v>
      </c>
      <c r="G238" s="54" t="s">
        <v>198</v>
      </c>
      <c r="H238" s="55">
        <f>SQRT(2/$V$3 * A238 * SQRT(Performance!$E$23 / (3 * Performance!$E$12)))</f>
        <v>13.394339043655705</v>
      </c>
      <c r="I238" s="55">
        <f>SQRT(2/$V$3 * A238 * (SQRT(Performance!$E$23)/(SQRT(3*Performance!$E$12 + 4* Performance!$E$23 * Performance!$E$11^2) - SQRT(Performance!$E$23)*Performance!$E$11)))</f>
        <v>14.089974556928833</v>
      </c>
      <c r="J238" t="e">
        <f xml:space="preserve"> $AC$3/G238 + $AC$6/A238 * Performance!$E$12 + Performance!$E$23/Constraints!$AC$6 * Constraints!A238</f>
        <v>#VALUE!</v>
      </c>
      <c r="K238">
        <f xml:space="preserve"> $AC$3/H238 + $AC$6/A238 * Performance!$E$12 + Performance!$E$23/Constraints!$AC$6 * Constraints!A238</f>
        <v>0.76133544031718858</v>
      </c>
      <c r="L238">
        <f xml:space="preserve"> $AC$3/I238 + $AC$6/A238 * Performance!$E$12 + Performance!$E$23/Constraints!$AC$6 * Constraints!A238</f>
        <v>0.74261077944070164</v>
      </c>
      <c r="M238">
        <f>SIN($AC$9 * PI()/180) + 1/Performance!$AE$5</f>
        <v>0.24073077270730886</v>
      </c>
      <c r="N238">
        <f>SIN($AC$9 * PI()/180) + 1/Performance!$AE$8</f>
        <v>0.22738716112204788</v>
      </c>
      <c r="O238" s="60">
        <f>$AC$16 * (Performance!$E$12/Constraints!A238 + Performance!$E$23 * (Constraints!$AC$13/Constraints!$AC$17)^2 * Constraints!A238)</f>
        <v>2.616038093992275E-4</v>
      </c>
      <c r="P238" t="e">
        <f t="shared" si="15"/>
        <v>#VALUE!</v>
      </c>
      <c r="Q238">
        <f t="shared" si="16"/>
        <v>47.107016477535197</v>
      </c>
      <c r="R238">
        <f t="shared" si="17"/>
        <v>52.127085218084623</v>
      </c>
      <c r="S238" t="e">
        <f xml:space="preserve"> 1.667/G238 + P238/A238 * Performance!$E$12 + Performance!$E$23 / Constraints!P238 * Constraints!A238</f>
        <v>#VALUE!</v>
      </c>
      <c r="T238">
        <f xml:space="preserve"> 1.667/H238 + Q238/A238 * Performance!$E$12 + Performance!$E$23 / Constraints!Q238 * Constraints!A238</f>
        <v>0.23036853006630192</v>
      </c>
      <c r="U238">
        <f xml:space="preserve"> 1.667/I238 + R238/A238 * Performance!$E$12 + Performance!$E$23 / Constraints!R238 * Constraints!A238</f>
        <v>0.21645381807948064</v>
      </c>
    </row>
    <row r="239" spans="1:21" x14ac:dyDescent="0.3">
      <c r="A239" s="51">
        <v>118.5</v>
      </c>
      <c r="B239" s="50">
        <f>$V$4*Performance!$E$12*(1/A239)+Performance!$E$23*(1/Constraints!$V$4)*Constraints!A239</f>
        <v>0.2443527922265524</v>
      </c>
      <c r="C239" s="50">
        <f>$V$5*Performance!$E$12*(1/A239)+Performance!$E$23*(1/Constraints!$V$5)*Constraints!A239</f>
        <v>0.3771376794609746</v>
      </c>
      <c r="D239" s="52">
        <f t="shared" si="14"/>
        <v>0.31310671381168648</v>
      </c>
      <c r="E239" s="52">
        <f>$V$4*Performance!$E$12*(1/A239)+Performance!$E$23*(1/Constraints!$V$9)*Constraints!A239</f>
        <v>0.24381762724651035</v>
      </c>
      <c r="F239" s="52">
        <f xml:space="preserve"> 1.21 / (9.81 * Constraints!$N$7 * Performance!$E$15 * Constraints!$N$5 ) * Constraints!A239 + 0.605 /Performance!$E$15 * (Performance!$E$16  - Constraints!$N$6 * Performance!$E$14) + Constraints!$N$6</f>
        <v>0.31304093224816792</v>
      </c>
      <c r="G239" s="54" t="s">
        <v>198</v>
      </c>
      <c r="H239" s="55">
        <f>SQRT(2/$V$3 * A239 * SQRT(Performance!$E$23 / (3 * Performance!$E$12)))</f>
        <v>13.4226868828656</v>
      </c>
      <c r="I239" s="55">
        <f>SQRT(2/$V$3 * A239 * (SQRT(Performance!$E$23)/(SQRT(3*Performance!$E$12 + 4* Performance!$E$23 * Performance!$E$11^2) - SQRT(Performance!$E$23)*Performance!$E$11)))</f>
        <v>14.119794642258126</v>
      </c>
      <c r="J239" t="e">
        <f xml:space="preserve"> $AC$3/G239 + $AC$6/A239 * Performance!$E$12 + Performance!$E$23/Constraints!$AC$6 * Constraints!A239</f>
        <v>#VALUE!</v>
      </c>
      <c r="K239">
        <f xml:space="preserve"> $AC$3/H239 + $AC$6/A239 * Performance!$E$12 + Performance!$E$23/Constraints!$AC$6 * Constraints!A239</f>
        <v>0.76212830589399516</v>
      </c>
      <c r="L239">
        <f xml:space="preserve"> $AC$3/I239 + $AC$6/A239 * Performance!$E$12 + Performance!$E$23/Constraints!$AC$6 * Constraints!A239</f>
        <v>0.74344319027997474</v>
      </c>
      <c r="M239">
        <f>SIN($AC$9 * PI()/180) + 1/Performance!$AE$5</f>
        <v>0.24073077270730886</v>
      </c>
      <c r="N239">
        <f>SIN($AC$9 * PI()/180) + 1/Performance!$AE$8</f>
        <v>0.22738716112204788</v>
      </c>
      <c r="O239" s="60">
        <f>$AC$16 * (Performance!$E$12/Constraints!A239 + Performance!$E$23 * (Constraints!$AC$13/Constraints!$AC$17)^2 * Constraints!A239)</f>
        <v>2.6095121277448921E-4</v>
      </c>
      <c r="P239" t="e">
        <f t="shared" si="15"/>
        <v>#VALUE!</v>
      </c>
      <c r="Q239">
        <f t="shared" si="16"/>
        <v>47.306622479558669</v>
      </c>
      <c r="R239">
        <f t="shared" si="17"/>
        <v>52.347962697822268</v>
      </c>
      <c r="S239" t="e">
        <f xml:space="preserve"> 1.667/G239 + P239/A239 * Performance!$E$12 + Performance!$E$23 / Constraints!P239 * Constraints!A239</f>
        <v>#VALUE!</v>
      </c>
      <c r="T239">
        <f xml:space="preserve"> 1.667/H239 + Q239/A239 * Performance!$E$12 + Performance!$E$23 / Constraints!Q239 * Constraints!A239</f>
        <v>0.2301056880358405</v>
      </c>
      <c r="U239">
        <f xml:space="preserve"> 1.667/I239 + R239/A239 * Performance!$E$12 + Performance!$E$23 / Constraints!R239 * Constraints!A239</f>
        <v>0.21620395281132862</v>
      </c>
    </row>
    <row r="240" spans="1:21" x14ac:dyDescent="0.3">
      <c r="A240" s="51">
        <v>119</v>
      </c>
      <c r="B240" s="50">
        <f>$V$4*Performance!$E$12*(1/A240)+Performance!$E$23*(1/Constraints!$V$4)*Constraints!A240</f>
        <v>0.24336563057850535</v>
      </c>
      <c r="C240" s="50">
        <f>$V$5*Performance!$E$12*(1/A240)+Performance!$E$23*(1/Constraints!$V$5)*Constraints!A240</f>
        <v>0.37557838975429952</v>
      </c>
      <c r="D240" s="52">
        <f t="shared" si="14"/>
        <v>0.31337899952397202</v>
      </c>
      <c r="E240" s="52">
        <f>$V$4*Performance!$E$12*(1/A240)+Performance!$E$23*(1/Constraints!$V$9)*Constraints!A240</f>
        <v>0.24282820751837875</v>
      </c>
      <c r="F240" s="52">
        <f xml:space="preserve"> 1.21 / (9.81 * Constraints!$N$7 * Performance!$E$15 * Constraints!$N$5 ) * Constraints!A240 + 0.605 /Performance!$E$15 * (Performance!$E$16  - Constraints!$N$6 * Performance!$E$14) + Constraints!$N$6</f>
        <v>0.31331294040111379</v>
      </c>
      <c r="G240" s="54" t="s">
        <v>198</v>
      </c>
      <c r="H240" s="55">
        <f>SQRT(2/$V$3 * A240 * SQRT(Performance!$E$23 / (3 * Performance!$E$12)))</f>
        <v>13.450974979327883</v>
      </c>
      <c r="I240" s="55">
        <f>SQRT(2/$V$3 * A240 * (SQRT(Performance!$E$23)/(SQRT(3*Performance!$E$12 + 4* Performance!$E$23 * Performance!$E$11^2) - SQRT(Performance!$E$23)*Performance!$E$11)))</f>
        <v>14.149551882097917</v>
      </c>
      <c r="J240" t="e">
        <f xml:space="preserve"> $AC$3/G240 + $AC$6/A240 * Performance!$E$12 + Performance!$E$23/Constraints!$AC$6 * Constraints!A240</f>
        <v>#VALUE!</v>
      </c>
      <c r="K240">
        <f xml:space="preserve"> $AC$3/H240 + $AC$6/A240 * Performance!$E$12 + Performance!$E$23/Constraints!$AC$6 * Constraints!A240</f>
        <v>0.76292633021842082</v>
      </c>
      <c r="L240">
        <f xml:space="preserve"> $AC$3/I240 + $AC$6/A240 * Performance!$E$12 + Performance!$E$23/Constraints!$AC$6 * Constraints!A240</f>
        <v>0.74428051036948129</v>
      </c>
      <c r="M240">
        <f>SIN($AC$9 * PI()/180) + 1/Performance!$AE$5</f>
        <v>0.24073077270730886</v>
      </c>
      <c r="N240">
        <f>SIN($AC$9 * PI()/180) + 1/Performance!$AE$8</f>
        <v>0.22738716112204788</v>
      </c>
      <c r="O240" s="60">
        <f>$AC$16 * (Performance!$E$12/Constraints!A240 + Performance!$E$23 * (Constraints!$AC$13/Constraints!$AC$17)^2 * Constraints!A240)</f>
        <v>2.6030600003258063E-4</v>
      </c>
      <c r="P240" t="e">
        <f t="shared" si="15"/>
        <v>#VALUE!</v>
      </c>
      <c r="Q240">
        <f t="shared" si="16"/>
        <v>47.50622848158212</v>
      </c>
      <c r="R240">
        <f t="shared" si="17"/>
        <v>52.568840177559913</v>
      </c>
      <c r="S240" t="e">
        <f xml:space="preserve"> 1.667/G240 + P240/A240 * Performance!$E$12 + Performance!$E$23 / Constraints!P240 * Constraints!A240</f>
        <v>#VALUE!</v>
      </c>
      <c r="T240">
        <f xml:space="preserve"> 1.667/H240 + Q240/A240 * Performance!$E$12 + Performance!$E$23 / Constraints!Q240 * Constraints!A240</f>
        <v>0.22984450431778528</v>
      </c>
      <c r="U240">
        <f xml:space="preserve"> 1.667/I240 + R240/A240 * Performance!$E$12 + Performance!$E$23 / Constraints!R240 * Constraints!A240</f>
        <v>0.21595566398311394</v>
      </c>
    </row>
    <row r="241" spans="1:21" x14ac:dyDescent="0.3">
      <c r="A241" s="51">
        <v>119.5</v>
      </c>
      <c r="B241" s="50">
        <f>$V$4*Performance!$E$12*(1/A241)+Performance!$E$23*(1/Constraints!$V$4)*Constraints!A241</f>
        <v>0.2423868954462533</v>
      </c>
      <c r="C241" s="50">
        <f>$V$5*Performance!$E$12*(1/A241)+Performance!$E$23*(1/Constraints!$V$5)*Constraints!A241</f>
        <v>0.374032254671539</v>
      </c>
      <c r="D241" s="52">
        <f t="shared" si="14"/>
        <v>0.31365128523625763</v>
      </c>
      <c r="E241" s="52">
        <f>$V$4*Performance!$E$12*(1/A241)+Performance!$E$23*(1/Constraints!$V$9)*Constraints!A241</f>
        <v>0.24184721430604211</v>
      </c>
      <c r="F241" s="52">
        <f xml:space="preserve"> 1.21 / (9.81 * Constraints!$N$7 * Performance!$E$15 * Constraints!$N$5 ) * Constraints!A241 + 0.605 /Performance!$E$15 * (Performance!$E$16  - Constraints!$N$6 * Performance!$E$14) + Constraints!$N$6</f>
        <v>0.31358494855405966</v>
      </c>
      <c r="G241" s="54" t="s">
        <v>198</v>
      </c>
      <c r="H241" s="55">
        <f>SQRT(2/$V$3 * A241 * SQRT(Performance!$E$23 / (3 * Performance!$E$12)))</f>
        <v>13.479203709179458</v>
      </c>
      <c r="I241" s="55">
        <f>SQRT(2/$V$3 * A241 * (SQRT(Performance!$E$23)/(SQRT(3*Performance!$E$12 + 4* Performance!$E$23 * Performance!$E$11^2) - SQRT(Performance!$E$23)*Performance!$E$11)))</f>
        <v>14.17924667211979</v>
      </c>
      <c r="J241" t="e">
        <f xml:space="preserve"> $AC$3/G241 + $AC$6/A241 * Performance!$E$12 + Performance!$E$23/Constraints!$AC$6 * Constraints!A241</f>
        <v>#VALUE!</v>
      </c>
      <c r="K241">
        <f xml:space="preserve"> $AC$3/H241 + $AC$6/A241 * Performance!$E$12 + Performance!$E$23/Constraints!$AC$6 * Constraints!A241</f>
        <v>0.76372945905305212</v>
      </c>
      <c r="L241">
        <f xml:space="preserve"> $AC$3/I241 + $AC$6/A241 * Performance!$E$12 + Performance!$E$23/Constraints!$AC$6 * Constraints!A241</f>
        <v>0.745122688084353</v>
      </c>
      <c r="M241">
        <f>SIN($AC$9 * PI()/180) + 1/Performance!$AE$5</f>
        <v>0.24073077270730886</v>
      </c>
      <c r="N241">
        <f>SIN($AC$9 * PI()/180) + 1/Performance!$AE$8</f>
        <v>0.22738716112204788</v>
      </c>
      <c r="O241" s="60">
        <f>$AC$16 * (Performance!$E$12/Constraints!A241 + Performance!$E$23 * (Constraints!$AC$13/Constraints!$AC$17)^2 * Constraints!A241)</f>
        <v>2.596680784887801E-4</v>
      </c>
      <c r="P241" t="e">
        <f t="shared" si="15"/>
        <v>#VALUE!</v>
      </c>
      <c r="Q241">
        <f t="shared" si="16"/>
        <v>47.705834483605571</v>
      </c>
      <c r="R241">
        <f t="shared" si="17"/>
        <v>52.789717657297572</v>
      </c>
      <c r="S241" t="e">
        <f xml:space="preserve"> 1.667/G241 + P241/A241 * Performance!$E$12 + Performance!$E$23 / Constraints!P241 * Constraints!A241</f>
        <v>#VALUE!</v>
      </c>
      <c r="T241">
        <f xml:space="preserve"> 1.667/H241 + Q241/A241 * Performance!$E$12 + Performance!$E$23 / Constraints!Q241 * Constraints!A241</f>
        <v>0.22958496154756372</v>
      </c>
      <c r="U241">
        <f xml:space="preserve"> 1.667/I241 + R241/A241 * Performance!$E$12 + Performance!$E$23 / Constraints!R241 * Constraints!A241</f>
        <v>0.21570893508756972</v>
      </c>
    </row>
    <row r="242" spans="1:21" x14ac:dyDescent="0.3">
      <c r="A242" s="51">
        <v>120</v>
      </c>
      <c r="B242" s="50">
        <f>$V$4*Performance!$E$12*(1/A242)+Performance!$E$23*(1/Constraints!$V$4)*Constraints!A242</f>
        <v>0.24141648149834882</v>
      </c>
      <c r="C242" s="50">
        <f>$V$5*Performance!$E$12*(1/A242)+Performance!$E$23*(1/Constraints!$V$5)*Constraints!A242</f>
        <v>0.37249910977989398</v>
      </c>
      <c r="D242" s="52">
        <f t="shared" si="14"/>
        <v>0.31392357094854323</v>
      </c>
      <c r="E242" s="52">
        <f>$V$4*Performance!$E$12*(1/A242)+Performance!$E$23*(1/Constraints!$V$9)*Constraints!A242</f>
        <v>0.24087454227805308</v>
      </c>
      <c r="F242" s="52">
        <f xml:space="preserve"> 1.21 / (9.81 * Constraints!$N$7 * Performance!$E$15 * Constraints!$N$5 ) * Constraints!A242 + 0.605 /Performance!$E$15 * (Performance!$E$16  - Constraints!$N$6 * Performance!$E$14) + Constraints!$N$6</f>
        <v>0.31385695670700547</v>
      </c>
      <c r="G242" s="54" t="s">
        <v>198</v>
      </c>
      <c r="H242" s="55">
        <f>SQRT(2/$V$3 * A242 * SQRT(Performance!$E$23 / (3 * Performance!$E$12)))</f>
        <v>13.507373444626822</v>
      </c>
      <c r="I242" s="55">
        <f>SQRT(2/$V$3 * A242 * (SQRT(Performance!$E$23)/(SQRT(3*Performance!$E$12 + 4* Performance!$E$23 * Performance!$E$11^2) - SQRT(Performance!$E$23)*Performance!$E$11)))</f>
        <v>14.208879403860797</v>
      </c>
      <c r="J242" t="e">
        <f xml:space="preserve"> $AC$3/G242 + $AC$6/A242 * Performance!$E$12 + Performance!$E$23/Constraints!$AC$6 * Constraints!A242</f>
        <v>#VALUE!</v>
      </c>
      <c r="K242">
        <f xml:space="preserve"> $AC$3/H242 + $AC$6/A242 * Performance!$E$12 + Performance!$E$23/Constraints!$AC$6 * Constraints!A242</f>
        <v>0.76453763895499693</v>
      </c>
      <c r="L242">
        <f xml:space="preserve"> $AC$3/I242 + $AC$6/A242 * Performance!$E$12 + Performance!$E$23/Constraints!$AC$6 * Constraints!A242</f>
        <v>0.74596967255610314</v>
      </c>
      <c r="M242">
        <f>SIN($AC$9 * PI()/180) + 1/Performance!$AE$5</f>
        <v>0.24073077270730886</v>
      </c>
      <c r="N242">
        <f>SIN($AC$9 * PI()/180) + 1/Performance!$AE$8</f>
        <v>0.22738716112204788</v>
      </c>
      <c r="O242" s="60">
        <f>$AC$16 * (Performance!$E$12/Constraints!A242 + Performance!$E$23 * (Constraints!$AC$13/Constraints!$AC$17)^2 * Constraints!A242)</f>
        <v>2.5903735700311126E-4</v>
      </c>
      <c r="P242" t="e">
        <f t="shared" si="15"/>
        <v>#VALUE!</v>
      </c>
      <c r="Q242">
        <f t="shared" si="16"/>
        <v>47.905440485629036</v>
      </c>
      <c r="R242">
        <f t="shared" si="17"/>
        <v>53.01059513703521</v>
      </c>
      <c r="S242" t="e">
        <f xml:space="preserve"> 1.667/G242 + P242/A242 * Performance!$E$12 + Performance!$E$23 / Constraints!P242 * Constraints!A242</f>
        <v>#VALUE!</v>
      </c>
      <c r="T242">
        <f xml:space="preserve"> 1.667/H242 + Q242/A242 * Performance!$E$12 + Performance!$E$23 / Constraints!Q242 * Constraints!A242</f>
        <v>0.22932704261410158</v>
      </c>
      <c r="U242">
        <f xml:space="preserve"> 1.667/I242 + R242/A242 * Performance!$E$12 + Performance!$E$23 / Constraints!R242 * Constraints!A242</f>
        <v>0.2154637498584118</v>
      </c>
    </row>
    <row r="243" spans="1:21" x14ac:dyDescent="0.3">
      <c r="A243" s="51">
        <v>120.5</v>
      </c>
      <c r="B243" s="50">
        <f>$V$4*Performance!$E$12*(1/A243)+Performance!$E$23*(1/Constraints!$V$4)*Constraints!A243</f>
        <v>0.24045428515158426</v>
      </c>
      <c r="C243" s="50">
        <f>$V$5*Performance!$E$12*(1/A243)+Performance!$E$23*(1/Constraints!$V$5)*Constraints!A243</f>
        <v>0.37097879337574058</v>
      </c>
      <c r="D243" s="52">
        <f t="shared" si="14"/>
        <v>0.31419585666082883</v>
      </c>
      <c r="E243" s="52">
        <f>$V$4*Performance!$E$12*(1/A243)+Performance!$E$23*(1/Constraints!$V$9)*Constraints!A243</f>
        <v>0.23991008785120396</v>
      </c>
      <c r="F243" s="52">
        <f xml:space="preserve"> 1.21 / (9.81 * Constraints!$N$7 * Performance!$E$15 * Constraints!$N$5 ) * Constraints!A243 + 0.605 /Performance!$E$15 * (Performance!$E$16  - Constraints!$N$6 * Performance!$E$14) + Constraints!$N$6</f>
        <v>0.31412896485995134</v>
      </c>
      <c r="G243" s="54" t="s">
        <v>198</v>
      </c>
      <c r="H243" s="55">
        <f>SQRT(2/$V$3 * A243 * SQRT(Performance!$E$23 / (3 * Performance!$E$12)))</f>
        <v>13.535484554003316</v>
      </c>
      <c r="I243" s="55">
        <f>SQRT(2/$V$3 * A243 * (SQRT(Performance!$E$23)/(SQRT(3*Performance!$E$12 + 4* Performance!$E$23 * Performance!$E$11^2) - SQRT(Performance!$E$23)*Performance!$E$11)))</f>
        <v>14.238450464783693</v>
      </c>
      <c r="J243" t="e">
        <f xml:space="preserve"> $AC$3/G243 + $AC$6/A243 * Performance!$E$12 + Performance!$E$23/Constraints!$AC$6 * Constraints!A243</f>
        <v>#VALUE!</v>
      </c>
      <c r="K243">
        <f xml:space="preserve"> $AC$3/H243 + $AC$6/A243 * Performance!$E$12 + Performance!$E$23/Constraints!$AC$6 * Constraints!A243</f>
        <v>0.76535081726098819</v>
      </c>
      <c r="L243">
        <f xml:space="preserve"> $AC$3/I243 + $AC$6/A243 * Performance!$E$12 + Performance!$E$23/Constraints!$AC$6 * Constraints!A243</f>
        <v>0.74682141365844323</v>
      </c>
      <c r="M243">
        <f>SIN($AC$9 * PI()/180) + 1/Performance!$AE$5</f>
        <v>0.24073077270730886</v>
      </c>
      <c r="N243">
        <f>SIN($AC$9 * PI()/180) + 1/Performance!$AE$8</f>
        <v>0.22738716112204788</v>
      </c>
      <c r="O243" s="60">
        <f>$AC$16 * (Performance!$E$12/Constraints!A243 + Performance!$E$23 * (Constraints!$AC$13/Constraints!$AC$17)^2 * Constraints!A243)</f>
        <v>2.5841374594829443E-4</v>
      </c>
      <c r="P243" t="e">
        <f t="shared" si="15"/>
        <v>#VALUE!</v>
      </c>
      <c r="Q243">
        <f t="shared" si="16"/>
        <v>48.105046487652473</v>
      </c>
      <c r="R243">
        <f t="shared" si="17"/>
        <v>53.231472616772862</v>
      </c>
      <c r="S243" t="e">
        <f xml:space="preserve"> 1.667/G243 + P243/A243 * Performance!$E$12 + Performance!$E$23 / Constraints!P243 * Constraints!A243</f>
        <v>#VALUE!</v>
      </c>
      <c r="T243">
        <f xml:space="preserve"> 1.667/H243 + Q243/A243 * Performance!$E$12 + Performance!$E$23 / Constraints!Q243 * Constraints!A243</f>
        <v>0.22907073065508465</v>
      </c>
      <c r="U243">
        <f xml:space="preserve"> 1.667/I243 + R243/A243 * Performance!$E$12 + Performance!$E$23 / Constraints!R243 * Constraints!A243</f>
        <v>0.2152200922658345</v>
      </c>
    </row>
    <row r="244" spans="1:21" x14ac:dyDescent="0.3">
      <c r="A244" s="51">
        <v>121</v>
      </c>
      <c r="B244" s="50">
        <f>$V$4*Performance!$E$12*(1/A244)+Performance!$E$23*(1/Constraints!$V$4)*Constraints!A244</f>
        <v>0.23950020453487109</v>
      </c>
      <c r="C244" s="50">
        <f>$V$5*Performance!$E$12*(1/A244)+Performance!$E$23*(1/Constraints!$V$5)*Constraints!A244</f>
        <v>0.36947114642824219</v>
      </c>
      <c r="D244" s="52">
        <f t="shared" si="14"/>
        <v>0.31446814237311443</v>
      </c>
      <c r="E244" s="52">
        <f>$V$4*Performance!$E$12*(1/A244)+Performance!$E$23*(1/Constraints!$V$9)*Constraints!A244</f>
        <v>0.23895374915440623</v>
      </c>
      <c r="F244" s="52">
        <f xml:space="preserve"> 1.21 / (9.81 * Constraints!$N$7 * Performance!$E$15 * Constraints!$N$5 ) * Constraints!A244 + 0.605 /Performance!$E$15 * (Performance!$E$16  - Constraints!$N$6 * Performance!$E$14) + Constraints!$N$6</f>
        <v>0.31440097301289721</v>
      </c>
      <c r="G244" s="54" t="s">
        <v>198</v>
      </c>
      <c r="H244" s="55">
        <f>SQRT(2/$V$3 * A244 * SQRT(Performance!$E$23 / (3 * Performance!$E$12)))</f>
        <v>13.563537401825339</v>
      </c>
      <c r="I244" s="55">
        <f>SQRT(2/$V$3 * A244 * (SQRT(Performance!$E$23)/(SQRT(3*Performance!$E$12 + 4* Performance!$E$23 * Performance!$E$11^2) - SQRT(Performance!$E$23)*Performance!$E$11)))</f>
        <v>14.267960238336045</v>
      </c>
      <c r="J244" t="e">
        <f xml:space="preserve"> $AC$3/G244 + $AC$6/A244 * Performance!$E$12 + Performance!$E$23/Constraints!$AC$6 * Constraints!A244</f>
        <v>#VALUE!</v>
      </c>
      <c r="K244">
        <f xml:space="preserve"> $AC$3/H244 + $AC$6/A244 * Performance!$E$12 + Performance!$E$23/Constraints!$AC$6 * Constraints!A244</f>
        <v>0.7661689420728276</v>
      </c>
      <c r="L244">
        <f xml:space="preserve"> $AC$3/I244 + $AC$6/A244 * Performance!$E$12 + Performance!$E$23/Constraints!$AC$6 * Constraints!A244</f>
        <v>0.74767786199342379</v>
      </c>
      <c r="M244">
        <f>SIN($AC$9 * PI()/180) + 1/Performance!$AE$5</f>
        <v>0.24073077270730886</v>
      </c>
      <c r="N244">
        <f>SIN($AC$9 * PI()/180) + 1/Performance!$AE$8</f>
        <v>0.22738716112204788</v>
      </c>
      <c r="O244" s="60">
        <f>$AC$16 * (Performance!$E$12/Constraints!A244 + Performance!$E$23 * (Constraints!$AC$13/Constraints!$AC$17)^2 * Constraints!A244)</f>
        <v>2.5779715717849265E-4</v>
      </c>
      <c r="P244" t="e">
        <f t="shared" si="15"/>
        <v>#VALUE!</v>
      </c>
      <c r="Q244">
        <f t="shared" si="16"/>
        <v>48.304652489675931</v>
      </c>
      <c r="R244">
        <f t="shared" si="17"/>
        <v>53.4523500965105</v>
      </c>
      <c r="S244" t="e">
        <f xml:space="preserve"> 1.667/G244 + P244/A244 * Performance!$E$12 + Performance!$E$23 / Constraints!P244 * Constraints!A244</f>
        <v>#VALUE!</v>
      </c>
      <c r="T244">
        <f xml:space="preserve"> 1.667/H244 + Q244/A244 * Performance!$E$12 + Performance!$E$23 / Constraints!Q244 * Constraints!A244</f>
        <v>0.22881600905232796</v>
      </c>
      <c r="U244">
        <f xml:space="preserve"> 1.667/I244 + R244/A244 * Performance!$E$12 + Performance!$E$23 / Constraints!R244 * Constraints!A244</f>
        <v>0.21497794651210858</v>
      </c>
    </row>
    <row r="245" spans="1:21" x14ac:dyDescent="0.3">
      <c r="A245" s="51">
        <v>121.5</v>
      </c>
      <c r="B245" s="50">
        <f>$V$4*Performance!$E$12*(1/A245)+Performance!$E$23*(1/Constraints!$V$4)*Constraints!A245</f>
        <v>0.23855413945401119</v>
      </c>
      <c r="C245" s="50">
        <f>$V$5*Performance!$E$12*(1/A245)+Performance!$E$23*(1/Constraints!$V$5)*Constraints!A245</f>
        <v>0.36797601252435364</v>
      </c>
      <c r="D245" s="52">
        <f t="shared" si="14"/>
        <v>0.31474042808540004</v>
      </c>
      <c r="E245" s="52">
        <f>$V$4*Performance!$E$12*(1/A245)+Performance!$E$23*(1/Constraints!$V$9)*Constraints!A245</f>
        <v>0.23800542599346175</v>
      </c>
      <c r="F245" s="52">
        <f xml:space="preserve"> 1.21 / (9.81 * Constraints!$N$7 * Performance!$E$15 * Constraints!$N$5 ) * Constraints!A245 + 0.605 /Performance!$E$15 * (Performance!$E$16  - Constraints!$N$6 * Performance!$E$14) + Constraints!$N$6</f>
        <v>0.31467298116584308</v>
      </c>
      <c r="G245" s="54" t="s">
        <v>198</v>
      </c>
      <c r="H245" s="55">
        <f>SQRT(2/$V$3 * A245 * SQRT(Performance!$E$23 / (3 * Performance!$E$12)))</f>
        <v>13.591532348847478</v>
      </c>
      <c r="I245" s="55">
        <f>SQRT(2/$V$3 * A245 * (SQRT(Performance!$E$23)/(SQRT(3*Performance!$E$12 + 4* Performance!$E$23 * Performance!$E$11^2) - SQRT(Performance!$E$23)*Performance!$E$11)))</f>
        <v>14.297409104008242</v>
      </c>
      <c r="J245" t="e">
        <f xml:space="preserve"> $AC$3/G245 + $AC$6/A245 * Performance!$E$12 + Performance!$E$23/Constraints!$AC$6 * Constraints!A245</f>
        <v>#VALUE!</v>
      </c>
      <c r="K245">
        <f xml:space="preserve"> $AC$3/H245 + $AC$6/A245 * Performance!$E$12 + Performance!$E$23/Constraints!$AC$6 * Constraints!A245</f>
        <v>0.76699196224315958</v>
      </c>
      <c r="L245">
        <f xml:space="preserve"> $AC$3/I245 + $AC$6/A245 * Performance!$E$12 + Performance!$E$23/Constraints!$AC$6 * Constraints!A245</f>
        <v>0.74853896887788918</v>
      </c>
      <c r="M245">
        <f>SIN($AC$9 * PI()/180) + 1/Performance!$AE$5</f>
        <v>0.24073077270730886</v>
      </c>
      <c r="N245">
        <f>SIN($AC$9 * PI()/180) + 1/Performance!$AE$8</f>
        <v>0.22738716112204788</v>
      </c>
      <c r="O245" s="60">
        <f>$AC$16 * (Performance!$E$12/Constraints!A245 + Performance!$E$23 * (Constraints!$AC$13/Constraints!$AC$17)^2 * Constraints!A245)</f>
        <v>2.5718750399882914E-4</v>
      </c>
      <c r="P245" t="e">
        <f t="shared" si="15"/>
        <v>#VALUE!</v>
      </c>
      <c r="Q245">
        <f t="shared" si="16"/>
        <v>48.504258491699382</v>
      </c>
      <c r="R245">
        <f t="shared" si="17"/>
        <v>53.673227576248152</v>
      </c>
      <c r="S245" t="e">
        <f xml:space="preserve"> 1.667/G245 + P245/A245 * Performance!$E$12 + Performance!$E$23 / Constraints!P245 * Constraints!A245</f>
        <v>#VALUE!</v>
      </c>
      <c r="T245">
        <f xml:space="preserve"> 1.667/H245 + Q245/A245 * Performance!$E$12 + Performance!$E$23 / Constraints!Q245 * Constraints!A245</f>
        <v>0.22856286142725055</v>
      </c>
      <c r="U245">
        <f xml:space="preserve"> 1.667/I245 + R245/A245 * Performance!$E$12 + Performance!$E$23 / Constraints!R245 * Constraints!A245</f>
        <v>0.21473729702727926</v>
      </c>
    </row>
    <row r="246" spans="1:21" x14ac:dyDescent="0.3">
      <c r="A246" s="51">
        <v>122</v>
      </c>
      <c r="B246" s="50">
        <f>$V$4*Performance!$E$12*(1/A246)+Performance!$E$23*(1/Constraints!$V$4)*Constraints!A246</f>
        <v>0.23761599135733416</v>
      </c>
      <c r="C246" s="50">
        <f>$V$5*Performance!$E$12*(1/A246)+Performance!$E$23*(1/Constraints!$V$5)*Constraints!A246</f>
        <v>0.36649323781517806</v>
      </c>
      <c r="D246" s="52">
        <f t="shared" si="14"/>
        <v>0.31501271379768564</v>
      </c>
      <c r="E246" s="52">
        <f>$V$4*Performance!$E$12*(1/A246)+Performance!$E$23*(1/Constraints!$V$9)*Constraints!A246</f>
        <v>0.23706501981670014</v>
      </c>
      <c r="F246" s="52">
        <f xml:space="preserve"> 1.21 / (9.81 * Constraints!$N$7 * Performance!$E$15 * Constraints!$N$5 ) * Constraints!A246 + 0.605 /Performance!$E$15 * (Performance!$E$16  - Constraints!$N$6 * Performance!$E$14) + Constraints!$N$6</f>
        <v>0.31494498931878895</v>
      </c>
      <c r="G246" s="54" t="s">
        <v>198</v>
      </c>
      <c r="H246" s="55">
        <f>SQRT(2/$V$3 * A246 * SQRT(Performance!$E$23 / (3 * Performance!$E$12)))</f>
        <v>13.619469752116636</v>
      </c>
      <c r="I246" s="55">
        <f>SQRT(2/$V$3 * A246 * (SQRT(Performance!$E$23)/(SQRT(3*Performance!$E$12 + 4* Performance!$E$23 * Performance!$E$11^2) - SQRT(Performance!$E$23)*Performance!$E$11)))</f>
        <v>14.326797437390438</v>
      </c>
      <c r="J246" t="e">
        <f xml:space="preserve"> $AC$3/G246 + $AC$6/A246 * Performance!$E$12 + Performance!$E$23/Constraints!$AC$6 * Constraints!A246</f>
        <v>#VALUE!</v>
      </c>
      <c r="K246">
        <f xml:space="preserve"> $AC$3/H246 + $AC$6/A246 * Performance!$E$12 + Performance!$E$23/Constraints!$AC$6 * Constraints!A246</f>
        <v>0.76781982736156795</v>
      </c>
      <c r="L246">
        <f xml:space="preserve"> $AC$3/I246 + $AC$6/A246 * Performance!$E$12 + Performance!$E$23/Constraints!$AC$6 * Constraints!A246</f>
        <v>0.74940468633023949</v>
      </c>
      <c r="M246">
        <f>SIN($AC$9 * PI()/180) + 1/Performance!$AE$5</f>
        <v>0.24073077270730886</v>
      </c>
      <c r="N246">
        <f>SIN($AC$9 * PI()/180) + 1/Performance!$AE$8</f>
        <v>0.22738716112204788</v>
      </c>
      <c r="O246" s="60">
        <f>$AC$16 * (Performance!$E$12/Constraints!A246 + Performance!$E$23 * (Constraints!$AC$13/Constraints!$AC$17)^2 * Constraints!A246)</f>
        <v>2.5658470113565466E-4</v>
      </c>
      <c r="P246" t="e">
        <f t="shared" si="15"/>
        <v>#VALUE!</v>
      </c>
      <c r="Q246">
        <f t="shared" si="16"/>
        <v>48.703864493722847</v>
      </c>
      <c r="R246">
        <f t="shared" si="17"/>
        <v>53.894105055985804</v>
      </c>
      <c r="S246" t="e">
        <f xml:space="preserve"> 1.667/G246 + P246/A246 * Performance!$E$12 + Performance!$E$23 / Constraints!P246 * Constraints!A246</f>
        <v>#VALUE!</v>
      </c>
      <c r="T246">
        <f xml:space="preserve"> 1.667/H246 + Q246/A246 * Performance!$E$12 + Performance!$E$23 / Constraints!Q246 * Constraints!A246</f>
        <v>0.22831127163645171</v>
      </c>
      <c r="U246">
        <f xml:space="preserve"> 1.667/I246 + R246/A246 * Performance!$E$12 + Performance!$E$23 / Constraints!R246 * Constraints!A246</f>
        <v>0.21449812846496097</v>
      </c>
    </row>
    <row r="247" spans="1:21" x14ac:dyDescent="0.3">
      <c r="A247" s="51">
        <v>122.5</v>
      </c>
      <c r="B247" s="50">
        <f>$V$4*Performance!$E$12*(1/A247)+Performance!$E$23*(1/Constraints!$V$4)*Constraints!A247</f>
        <v>0.23668566330217658</v>
      </c>
      <c r="C247" s="50">
        <f>$V$5*Performance!$E$12*(1/A247)+Performance!$E$23*(1/Constraints!$V$5)*Constraints!A247</f>
        <v>0.36502267096363744</v>
      </c>
      <c r="D247" s="52">
        <f t="shared" si="14"/>
        <v>0.31528499950997124</v>
      </c>
      <c r="E247" s="52">
        <f>$V$4*Performance!$E$12*(1/A247)+Performance!$E$23*(1/Constraints!$V$9)*Constraints!A247</f>
        <v>0.236132433681458</v>
      </c>
      <c r="F247" s="52">
        <f xml:space="preserve"> 1.21 / (9.81 * Constraints!$N$7 * Performance!$E$15 * Constraints!$N$5 ) * Constraints!A247 + 0.605 /Performance!$E$15 * (Performance!$E$16  - Constraints!$N$6 * Performance!$E$14) + Constraints!$N$6</f>
        <v>0.31521699747173476</v>
      </c>
      <c r="G247" s="54" t="s">
        <v>198</v>
      </c>
      <c r="H247" s="55">
        <f>SQRT(2/$V$3 * A247 * SQRT(Performance!$E$23 / (3 * Performance!$E$12)))</f>
        <v>13.647349965025169</v>
      </c>
      <c r="I247" s="55">
        <f>SQRT(2/$V$3 * A247 * (SQRT(Performance!$E$23)/(SQRT(3*Performance!$E$12 + 4* Performance!$E$23 * Performance!$E$11^2) - SQRT(Performance!$E$23)*Performance!$E$11)))</f>
        <v>14.35612561022843</v>
      </c>
      <c r="J247" t="e">
        <f xml:space="preserve"> $AC$3/G247 + $AC$6/A247 * Performance!$E$12 + Performance!$E$23/Constraints!$AC$6 * Constraints!A247</f>
        <v>#VALUE!</v>
      </c>
      <c r="K247">
        <f xml:space="preserve"> $AC$3/H247 + $AC$6/A247 * Performance!$E$12 + Performance!$E$23/Constraints!$AC$6 * Constraints!A247</f>
        <v>0.76865248774098549</v>
      </c>
      <c r="L247">
        <f xml:space="preserve"> $AC$3/I247 + $AC$6/A247 * Performance!$E$12 + Performance!$E$23/Constraints!$AC$6 * Constraints!A247</f>
        <v>0.75027496705749086</v>
      </c>
      <c r="M247">
        <f>SIN($AC$9 * PI()/180) + 1/Performance!$AE$5</f>
        <v>0.24073077270730886</v>
      </c>
      <c r="N247">
        <f>SIN($AC$9 * PI()/180) + 1/Performance!$AE$8</f>
        <v>0.22738716112204788</v>
      </c>
      <c r="O247" s="60">
        <f>$AC$16 * (Performance!$E$12/Constraints!A247 + Performance!$E$23 * (Constraints!$AC$13/Constraints!$AC$17)^2 * Constraints!A247)</f>
        <v>2.5598866470754288E-4</v>
      </c>
      <c r="P247" t="e">
        <f t="shared" si="15"/>
        <v>#VALUE!</v>
      </c>
      <c r="Q247">
        <f t="shared" si="16"/>
        <v>48.903470495746284</v>
      </c>
      <c r="R247">
        <f t="shared" si="17"/>
        <v>54.114982535723449</v>
      </c>
      <c r="S247" t="e">
        <f xml:space="preserve"> 1.667/G247 + P247/A247 * Performance!$E$12 + Performance!$E$23 / Constraints!P247 * Constraints!A247</f>
        <v>#VALUE!</v>
      </c>
      <c r="T247">
        <f xml:space="preserve"> 1.667/H247 + Q247/A247 * Performance!$E$12 + Performance!$E$23 / Constraints!Q247 * Constraints!A247</f>
        <v>0.22806122376738724</v>
      </c>
      <c r="U247">
        <f xml:space="preserve"> 1.667/I247 + R247/A247 * Performance!$E$12 + Performance!$E$23 / Constraints!R247 * Constraints!A247</f>
        <v>0.21426042569822701</v>
      </c>
    </row>
    <row r="248" spans="1:21" x14ac:dyDescent="0.3">
      <c r="A248" s="51">
        <v>123</v>
      </c>
      <c r="B248" s="50">
        <f>$V$4*Performance!$E$12*(1/A248)+Performance!$E$23*(1/Constraints!$V$4)*Constraints!A248</f>
        <v>0.2357630599221785</v>
      </c>
      <c r="C248" s="50">
        <f>$V$5*Performance!$E$12*(1/A248)+Performance!$E$23*(1/Constraints!$V$5)*Constraints!A248</f>
        <v>0.3635641630934191</v>
      </c>
      <c r="D248" s="52">
        <f t="shared" si="14"/>
        <v>0.31555728522225684</v>
      </c>
      <c r="E248" s="52">
        <f>$V$4*Performance!$E$12*(1/A248)+Performance!$E$23*(1/Constraints!$V$9)*Constraints!A248</f>
        <v>0.23520757222137534</v>
      </c>
      <c r="F248" s="52">
        <f xml:space="preserve"> 1.21 / (9.81 * Constraints!$N$7 * Performance!$E$15 * Constraints!$N$5 ) * Constraints!A248 + 0.605 /Performance!$E$15 * (Performance!$E$16  - Constraints!$N$6 * Performance!$E$14) + Constraints!$N$6</f>
        <v>0.31548900562468063</v>
      </c>
      <c r="G248" s="54" t="s">
        <v>198</v>
      </c>
      <c r="H248" s="55">
        <f>SQRT(2/$V$3 * A248 * SQRT(Performance!$E$23 / (3 * Performance!$E$12)))</f>
        <v>13.675173337363043</v>
      </c>
      <c r="I248" s="55">
        <f>SQRT(2/$V$3 * A248 * (SQRT(Performance!$E$23)/(SQRT(3*Performance!$E$12 + 4* Performance!$E$23 * Performance!$E$11^2) - SQRT(Performance!$E$23)*Performance!$E$11)))</f>
        <v>14.385393990478539</v>
      </c>
      <c r="J248" t="e">
        <f xml:space="preserve"> $AC$3/G248 + $AC$6/A248 * Performance!$E$12 + Performance!$E$23/Constraints!$AC$6 * Constraints!A248</f>
        <v>#VALUE!</v>
      </c>
      <c r="K248">
        <f xml:space="preserve"> $AC$3/H248 + $AC$6/A248 * Performance!$E$12 + Performance!$E$23/Constraints!$AC$6 * Constraints!A248</f>
        <v>0.76948989440440818</v>
      </c>
      <c r="L248">
        <f xml:space="preserve"> $AC$3/I248 + $AC$6/A248 * Performance!$E$12 + Performance!$E$23/Constraints!$AC$6 * Constraints!A248</f>
        <v>0.75114976444262571</v>
      </c>
      <c r="M248">
        <f>SIN($AC$9 * PI()/180) + 1/Performance!$AE$5</f>
        <v>0.24073077270730886</v>
      </c>
      <c r="N248">
        <f>SIN($AC$9 * PI()/180) + 1/Performance!$AE$8</f>
        <v>0.22738716112204788</v>
      </c>
      <c r="O248" s="60">
        <f>$AC$16 * (Performance!$E$12/Constraints!A248 + Performance!$E$23 * (Constraints!$AC$13/Constraints!$AC$17)^2 * Constraints!A248)</f>
        <v>2.5539931219699293E-4</v>
      </c>
      <c r="P248" t="e">
        <f t="shared" si="15"/>
        <v>#VALUE!</v>
      </c>
      <c r="Q248">
        <f t="shared" si="16"/>
        <v>49.103076497769756</v>
      </c>
      <c r="R248">
        <f t="shared" si="17"/>
        <v>54.335860015461101</v>
      </c>
      <c r="S248" t="e">
        <f xml:space="preserve"> 1.667/G248 + P248/A248 * Performance!$E$12 + Performance!$E$23 / Constraints!P248 * Constraints!A248</f>
        <v>#VALUE!</v>
      </c>
      <c r="T248">
        <f xml:space="preserve"> 1.667/H248 + Q248/A248 * Performance!$E$12 + Performance!$E$23 / Constraints!Q248 * Constraints!A248</f>
        <v>0.22781270213414168</v>
      </c>
      <c r="U248">
        <f xml:space="preserve"> 1.667/I248 + R248/A248 * Performance!$E$12 + Performance!$E$23 / Constraints!R248 * Constraints!A248</f>
        <v>0.21402417381559058</v>
      </c>
    </row>
    <row r="249" spans="1:21" x14ac:dyDescent="0.3">
      <c r="A249" s="51">
        <v>123.5</v>
      </c>
      <c r="B249" s="50">
        <f>$V$4*Performance!$E$12*(1/A249)+Performance!$E$23*(1/Constraints!$V$4)*Constraints!A249</f>
        <v>0.23484808739537433</v>
      </c>
      <c r="C249" s="50">
        <f>$V$5*Performance!$E$12*(1/A249)+Performance!$E$23*(1/Constraints!$V$5)*Constraints!A249</f>
        <v>0.36211756773916282</v>
      </c>
      <c r="D249" s="52">
        <f t="shared" si="14"/>
        <v>0.31582957093454245</v>
      </c>
      <c r="E249" s="52">
        <f>$V$4*Performance!$E$12*(1/A249)+Performance!$E$23*(1/Constraints!$V$9)*Constraints!A249</f>
        <v>0.23429034161448661</v>
      </c>
      <c r="F249" s="52">
        <f xml:space="preserve"> 1.21 / (9.81 * Constraints!$N$7 * Performance!$E$15 * Constraints!$N$5 ) * Constraints!A249 + 0.605 /Performance!$E$15 * (Performance!$E$16  - Constraints!$N$6 * Performance!$E$14) + Constraints!$N$6</f>
        <v>0.3157610137776265</v>
      </c>
      <c r="G249" s="54" t="s">
        <v>198</v>
      </c>
      <c r="H249" s="55">
        <f>SQRT(2/$V$3 * A249 * SQRT(Performance!$E$23 / (3 * Performance!$E$12)))</f>
        <v>13.702940215369022</v>
      </c>
      <c r="I249" s="55">
        <f>SQRT(2/$V$3 * A249 * (SQRT(Performance!$E$23)/(SQRT(3*Performance!$E$12 + 4* Performance!$E$23 * Performance!$E$11^2) - SQRT(Performance!$E$23)*Performance!$E$11)))</f>
        <v>14.414602942361453</v>
      </c>
      <c r="J249" t="e">
        <f xml:space="preserve"> $AC$3/G249 + $AC$6/A249 * Performance!$E$12 + Performance!$E$23/Constraints!$AC$6 * Constraints!A249</f>
        <v>#VALUE!</v>
      </c>
      <c r="K249">
        <f xml:space="preserve"> $AC$3/H249 + $AC$6/A249 * Performance!$E$12 + Performance!$E$23/Constraints!$AC$6 * Constraints!A249</f>
        <v>0.77033199907190686</v>
      </c>
      <c r="L249">
        <f xml:space="preserve"> $AC$3/I249 + $AC$6/A249 * Performance!$E$12 + Performance!$E$23/Constraints!$AC$6 * Constraints!A249</f>
        <v>0.7520290325322263</v>
      </c>
      <c r="M249">
        <f>SIN($AC$9 * PI()/180) + 1/Performance!$AE$5</f>
        <v>0.24073077270730886</v>
      </c>
      <c r="N249">
        <f>SIN($AC$9 * PI()/180) + 1/Performance!$AE$8</f>
        <v>0.22738716112204788</v>
      </c>
      <c r="O249" s="60">
        <f>$AC$16 * (Performance!$E$12/Constraints!A249 + Performance!$E$23 * (Constraints!$AC$13/Constraints!$AC$17)^2 * Constraints!A249)</f>
        <v>2.5481656242281995E-4</v>
      </c>
      <c r="P249" t="e">
        <f t="shared" si="15"/>
        <v>#VALUE!</v>
      </c>
      <c r="Q249">
        <f t="shared" si="16"/>
        <v>49.302682499793207</v>
      </c>
      <c r="R249">
        <f t="shared" si="17"/>
        <v>54.556737495198746</v>
      </c>
      <c r="S249" t="e">
        <f xml:space="preserve"> 1.667/G249 + P249/A249 * Performance!$E$12 + Performance!$E$23 / Constraints!P249 * Constraints!A249</f>
        <v>#VALUE!</v>
      </c>
      <c r="T249">
        <f xml:space="preserve"> 1.667/H249 + Q249/A249 * Performance!$E$12 + Performance!$E$23 / Constraints!Q249 * Constraints!A249</f>
        <v>0.22756569127329571</v>
      </c>
      <c r="U249">
        <f xml:space="preserve"> 1.667/I249 + R249/A249 * Performance!$E$12 + Performance!$E$23 / Constraints!R249 * Constraints!A249</f>
        <v>0.21378935811707611</v>
      </c>
    </row>
    <row r="250" spans="1:21" x14ac:dyDescent="0.3">
      <c r="A250" s="51">
        <v>124</v>
      </c>
      <c r="B250" s="50">
        <f>$V$4*Performance!$E$12*(1/A250)+Performance!$E$23*(1/Constraints!$V$4)*Constraints!A250</f>
        <v>0.23394065341305612</v>
      </c>
      <c r="C250" s="50">
        <f>$V$5*Performance!$E$12*(1/A250)+Performance!$E$23*(1/Constraints!$V$5)*Constraints!A250</f>
        <v>0.3606827407978529</v>
      </c>
      <c r="D250" s="52">
        <f t="shared" si="14"/>
        <v>0.31610185664682799</v>
      </c>
      <c r="E250" s="52">
        <f>$V$4*Performance!$E$12*(1/A250)+Performance!$E$23*(1/Constraints!$V$9)*Constraints!A250</f>
        <v>0.23338064955208385</v>
      </c>
      <c r="F250" s="52">
        <f xml:space="preserve"> 1.21 / (9.81 * Constraints!$N$7 * Performance!$E$15 * Constraints!$N$5 ) * Constraints!A250 + 0.605 /Performance!$E$15 * (Performance!$E$16  - Constraints!$N$6 * Performance!$E$14) + Constraints!$N$6</f>
        <v>0.31603302193057237</v>
      </c>
      <c r="G250" s="54" t="s">
        <v>198</v>
      </c>
      <c r="H250" s="55">
        <f>SQRT(2/$V$3 * A250 * SQRT(Performance!$E$23 / (3 * Performance!$E$12)))</f>
        <v>13.730650941780951</v>
      </c>
      <c r="I250" s="55">
        <f>SQRT(2/$V$3 * A250 * (SQRT(Performance!$E$23)/(SQRT(3*Performance!$E$12 + 4* Performance!$E$23 * Performance!$E$11^2) - SQRT(Performance!$E$23)*Performance!$E$11)))</f>
        <v>14.443752826415123</v>
      </c>
      <c r="J250" t="e">
        <f xml:space="preserve"> $AC$3/G250 + $AC$6/A250 * Performance!$E$12 + Performance!$E$23/Constraints!$AC$6 * Constraints!A250</f>
        <v>#VALUE!</v>
      </c>
      <c r="K250">
        <f xml:space="preserve"> $AC$3/H250 + $AC$6/A250 * Performance!$E$12 + Performance!$E$23/Constraints!$AC$6 * Constraints!A250</f>
        <v>0.77117875414792803</v>
      </c>
      <c r="L250">
        <f xml:space="preserve"> $AC$3/I250 + $AC$6/A250 * Performance!$E$12 + Performance!$E$23/Constraints!$AC$6 * Constraints!A250</f>
        <v>0.75291272602438364</v>
      </c>
      <c r="M250">
        <f>SIN($AC$9 * PI()/180) + 1/Performance!$AE$5</f>
        <v>0.24073077270730886</v>
      </c>
      <c r="N250">
        <f>SIN($AC$9 * PI()/180) + 1/Performance!$AE$8</f>
        <v>0.22738716112204788</v>
      </c>
      <c r="O250" s="60">
        <f>$AC$16 * (Performance!$E$12/Constraints!A250 + Performance!$E$23 * (Constraints!$AC$13/Constraints!$AC$17)^2 * Constraints!A250)</f>
        <v>2.5424033551321289E-4</v>
      </c>
      <c r="P250" t="e">
        <f t="shared" si="15"/>
        <v>#VALUE!</v>
      </c>
      <c r="Q250">
        <f t="shared" si="16"/>
        <v>49.502288501816643</v>
      </c>
      <c r="R250">
        <f t="shared" si="17"/>
        <v>54.777614974936384</v>
      </c>
      <c r="S250" t="e">
        <f xml:space="preserve"> 1.667/G250 + P250/A250 * Performance!$E$12 + Performance!$E$23 / Constraints!P250 * Constraints!A250</f>
        <v>#VALUE!</v>
      </c>
      <c r="T250">
        <f xml:space="preserve"> 1.667/H250 + Q250/A250 * Performance!$E$12 + Performance!$E$23 / Constraints!Q250 * Constraints!A250</f>
        <v>0.2273201759398846</v>
      </c>
      <c r="U250">
        <f xml:space="preserve"> 1.667/I250 + R250/A250 * Performance!$E$12 + Performance!$E$23 / Constraints!R250 * Constraints!A250</f>
        <v>0.21355596411037739</v>
      </c>
    </row>
    <row r="251" spans="1:21" x14ac:dyDescent="0.3">
      <c r="A251" s="51">
        <v>124.5</v>
      </c>
      <c r="B251" s="50">
        <f>$V$4*Performance!$E$12*(1/A251)+Performance!$E$23*(1/Constraints!$V$4)*Constraints!A251</f>
        <v>0.2330406671493867</v>
      </c>
      <c r="C251" s="50">
        <f>$V$5*Performance!$E$12*(1/A251)+Performance!$E$23*(1/Constraints!$V$5)*Constraints!A251</f>
        <v>0.3592595404813817</v>
      </c>
      <c r="D251" s="52">
        <f t="shared" si="14"/>
        <v>0.3163741423591136</v>
      </c>
      <c r="E251" s="52">
        <f>$V$4*Performance!$E$12*(1/A251)+Performance!$E$23*(1/Constraints!$V$9)*Constraints!A251</f>
        <v>0.23247840520832985</v>
      </c>
      <c r="F251" s="52">
        <f xml:space="preserve"> 1.21 / (9.81 * Constraints!$N$7 * Performance!$E$15 * Constraints!$N$5 ) * Constraints!A251 + 0.605 /Performance!$E$15 * (Performance!$E$16  - Constraints!$N$6 * Performance!$E$14) + Constraints!$N$6</f>
        <v>0.31630503008351818</v>
      </c>
      <c r="G251" s="54" t="s">
        <v>198</v>
      </c>
      <c r="H251" s="55">
        <f>SQRT(2/$V$3 * A251 * SQRT(Performance!$E$23 / (3 * Performance!$E$12)))</f>
        <v>13.758305855885117</v>
      </c>
      <c r="I251" s="55">
        <f>SQRT(2/$V$3 * A251 * (SQRT(Performance!$E$23)/(SQRT(3*Performance!$E$12 + 4* Performance!$E$23 * Performance!$E$11^2) - SQRT(Performance!$E$23)*Performance!$E$11)))</f>
        <v>14.472843999546678</v>
      </c>
      <c r="J251" t="e">
        <f xml:space="preserve"> $AC$3/G251 + $AC$6/A251 * Performance!$E$12 + Performance!$E$23/Constraints!$AC$6 * Constraints!A251</f>
        <v>#VALUE!</v>
      </c>
      <c r="K251">
        <f xml:space="preserve"> $AC$3/H251 + $AC$6/A251 * Performance!$E$12 + Performance!$E$23/Constraints!$AC$6 * Constraints!A251</f>
        <v>0.77203011270887523</v>
      </c>
      <c r="L251">
        <f xml:space="preserve"> $AC$3/I251 + $AC$6/A251 * Performance!$E$12 + Performance!$E$23/Constraints!$AC$6 * Constraints!A251</f>
        <v>0.75380080025687302</v>
      </c>
      <c r="M251">
        <f>SIN($AC$9 * PI()/180) + 1/Performance!$AE$5</f>
        <v>0.24073077270730886</v>
      </c>
      <c r="N251">
        <f>SIN($AC$9 * PI()/180) + 1/Performance!$AE$8</f>
        <v>0.22738716112204788</v>
      </c>
      <c r="O251" s="60">
        <f>$AC$16 * (Performance!$E$12/Constraints!A251 + Performance!$E$23 * (Constraints!$AC$13/Constraints!$AC$17)^2 * Constraints!A251)</f>
        <v>2.5367055287944199E-4</v>
      </c>
      <c r="P251" t="e">
        <f t="shared" si="15"/>
        <v>#VALUE!</v>
      </c>
      <c r="Q251">
        <f t="shared" si="16"/>
        <v>49.701894503840123</v>
      </c>
      <c r="R251">
        <f t="shared" si="17"/>
        <v>54.998492454674029</v>
      </c>
      <c r="S251" t="e">
        <f xml:space="preserve"> 1.667/G251 + P251/A251 * Performance!$E$12 + Performance!$E$23 / Constraints!P251 * Constraints!A251</f>
        <v>#VALUE!</v>
      </c>
      <c r="T251">
        <f xml:space="preserve"> 1.667/H251 + Q251/A251 * Performance!$E$12 + Performance!$E$23 / Constraints!Q251 * Constraints!A251</f>
        <v>0.22707614110344615</v>
      </c>
      <c r="U251">
        <f xml:space="preserve"> 1.667/I251 + R251/A251 * Performance!$E$12 + Performance!$E$23 / Constraints!R251 * Constraints!A251</f>
        <v>0.21332397750710055</v>
      </c>
    </row>
    <row r="252" spans="1:21" x14ac:dyDescent="0.3">
      <c r="A252" s="51">
        <v>125</v>
      </c>
      <c r="B252" s="50">
        <f>$V$4*Performance!$E$12*(1/A252)+Performance!$E$23*(1/Constraints!$V$4)*Constraints!A252</f>
        <v>0.23214803923174232</v>
      </c>
      <c r="C252" s="50">
        <f>$V$5*Performance!$E$12*(1/A252)+Performance!$E$23*(1/Constraints!$V$5)*Constraints!A252</f>
        <v>0.35784782727025105</v>
      </c>
      <c r="D252" s="52">
        <f t="shared" si="14"/>
        <v>0.3166464280713992</v>
      </c>
      <c r="E252" s="52">
        <f>$V$4*Performance!$E$12*(1/A252)+Performance!$E$23*(1/Constraints!$V$9)*Constraints!A252</f>
        <v>0.23158351921060091</v>
      </c>
      <c r="F252" s="52">
        <f xml:space="preserve"> 1.21 / (9.81 * Constraints!$N$7 * Performance!$E$15 * Constraints!$N$5 ) * Constraints!A252 + 0.605 /Performance!$E$15 * (Performance!$E$16  - Constraints!$N$6 * Performance!$E$14) + Constraints!$N$6</f>
        <v>0.31657703823646405</v>
      </c>
      <c r="G252" s="54" t="s">
        <v>198</v>
      </c>
      <c r="H252" s="55">
        <f>SQRT(2/$V$3 * A252 * SQRT(Performance!$E$23 / (3 * Performance!$E$12)))</f>
        <v>13.785905293564701</v>
      </c>
      <c r="I252" s="55">
        <f>SQRT(2/$V$3 * A252 * (SQRT(Performance!$E$23)/(SQRT(3*Performance!$E$12 + 4* Performance!$E$23 * Performance!$E$11^2) - SQRT(Performance!$E$23)*Performance!$E$11)))</f>
        <v>14.501876815083408</v>
      </c>
      <c r="J252" t="e">
        <f xml:space="preserve"> $AC$3/G252 + $AC$6/A252 * Performance!$E$12 + Performance!$E$23/Constraints!$AC$6 * Constraints!A252</f>
        <v>#VALUE!</v>
      </c>
      <c r="K252">
        <f xml:space="preserve"> $AC$3/H252 + $AC$6/A252 * Performance!$E$12 + Performance!$E$23/Constraints!$AC$6 * Constraints!A252</f>
        <v>0.77288602849096688</v>
      </c>
      <c r="L252">
        <f xml:space="preserve"> $AC$3/I252 + $AC$6/A252 * Performance!$E$12 + Performance!$E$23/Constraints!$AC$6 * Constraints!A252</f>
        <v>0.75469321119559374</v>
      </c>
      <c r="M252">
        <f>SIN($AC$9 * PI()/180) + 1/Performance!$AE$5</f>
        <v>0.24073077270730886</v>
      </c>
      <c r="N252">
        <f>SIN($AC$9 * PI()/180) + 1/Performance!$AE$8</f>
        <v>0.22738716112204788</v>
      </c>
      <c r="O252" s="60">
        <f>$AC$16 * (Performance!$E$12/Constraints!A252 + Performance!$E$23 * (Constraints!$AC$13/Constraints!$AC$17)^2 * Constraints!A252)</f>
        <v>2.5310713719019727E-4</v>
      </c>
      <c r="P252" t="e">
        <f t="shared" si="15"/>
        <v>#VALUE!</v>
      </c>
      <c r="Q252">
        <f t="shared" si="16"/>
        <v>49.901500505863567</v>
      </c>
      <c r="R252">
        <f t="shared" si="17"/>
        <v>55.219369934411681</v>
      </c>
      <c r="S252" t="e">
        <f xml:space="preserve"> 1.667/G252 + P252/A252 * Performance!$E$12 + Performance!$E$23 / Constraints!P252 * Constraints!A252</f>
        <v>#VALUE!</v>
      </c>
      <c r="T252">
        <f xml:space="preserve"> 1.667/H252 + Q252/A252 * Performance!$E$12 + Performance!$E$23 / Constraints!Q252 * Constraints!A252</f>
        <v>0.22683357194415615</v>
      </c>
      <c r="U252">
        <f xml:space="preserve"> 1.667/I252 + R252/A252 * Performance!$E$12 + Performance!$E$23 / Constraints!R252 * Constraints!A252</f>
        <v>0.21309338421909016</v>
      </c>
    </row>
    <row r="253" spans="1:21" x14ac:dyDescent="0.3">
      <c r="A253" s="51">
        <v>125.5</v>
      </c>
      <c r="B253" s="50">
        <f>$V$4*Performance!$E$12*(1/A253)+Performance!$E$23*(1/Constraints!$V$4)*Constraints!A253</f>
        <v>0.23126268171176403</v>
      </c>
      <c r="C253" s="50">
        <f>$V$5*Performance!$E$12*(1/A253)+Performance!$E$23*(1/Constraints!$V$5)*Constraints!A253</f>
        <v>0.35644746386838122</v>
      </c>
      <c r="D253" s="52">
        <f t="shared" si="14"/>
        <v>0.3169187137836848</v>
      </c>
      <c r="E253" s="52">
        <f>$V$4*Performance!$E$12*(1/A253)+Performance!$E$23*(1/Constraints!$V$9)*Constraints!A253</f>
        <v>0.23069590361053807</v>
      </c>
      <c r="F253" s="52">
        <f xml:space="preserve"> 1.21 / (9.81 * Constraints!$N$7 * Performance!$E$15 * Constraints!$N$5 ) * Constraints!A253 + 0.605 /Performance!$E$15 * (Performance!$E$16  - Constraints!$N$6 * Performance!$E$14) + Constraints!$N$6</f>
        <v>0.31684904638940992</v>
      </c>
      <c r="G253" s="54" t="s">
        <v>198</v>
      </c>
      <c r="H253" s="55">
        <f>SQRT(2/$V$3 * A253 * SQRT(Performance!$E$23 / (3 * Performance!$E$12)))</f>
        <v>13.813449587347391</v>
      </c>
      <c r="I253" s="55">
        <f>SQRT(2/$V$3 * A253 * (SQRT(Performance!$E$23)/(SQRT(3*Performance!$E$12 + 4* Performance!$E$23 * Performance!$E$11^2) - SQRT(Performance!$E$23)*Performance!$E$11)))</f>
        <v>14.530851622822839</v>
      </c>
      <c r="J253" t="e">
        <f xml:space="preserve"> $AC$3/G253 + $AC$6/A253 * Performance!$E$12 + Performance!$E$23/Constraints!$AC$6 * Constraints!A253</f>
        <v>#VALUE!</v>
      </c>
      <c r="K253">
        <f xml:space="preserve"> $AC$3/H253 + $AC$6/A253 * Performance!$E$12 + Performance!$E$23/Constraints!$AC$6 * Constraints!A253</f>
        <v>0.77374645587835822</v>
      </c>
      <c r="L253">
        <f xml:space="preserve"> $AC$3/I253 + $AC$6/A253 * Performance!$E$12 + Performance!$E$23/Constraints!$AC$6 * Constraints!A253</f>
        <v>0.75558991542325937</v>
      </c>
      <c r="M253">
        <f>SIN($AC$9 * PI()/180) + 1/Performance!$AE$5</f>
        <v>0.24073077270730886</v>
      </c>
      <c r="N253">
        <f>SIN($AC$9 * PI()/180) + 1/Performance!$AE$8</f>
        <v>0.22738716112204788</v>
      </c>
      <c r="O253" s="60">
        <f>$AC$16 * (Performance!$E$12/Constraints!A253 + Performance!$E$23 * (Constraints!$AC$13/Constraints!$AC$17)^2 * Constraints!A253)</f>
        <v>2.5255001234654023E-4</v>
      </c>
      <c r="P253" t="e">
        <f t="shared" si="15"/>
        <v>#VALUE!</v>
      </c>
      <c r="Q253">
        <f t="shared" si="16"/>
        <v>50.101106507887032</v>
      </c>
      <c r="R253">
        <f t="shared" si="17"/>
        <v>55.440247414149333</v>
      </c>
      <c r="S253" t="e">
        <f xml:space="preserve"> 1.667/G253 + P253/A253 * Performance!$E$12 + Performance!$E$23 / Constraints!P253 * Constraints!A253</f>
        <v>#VALUE!</v>
      </c>
      <c r="T253">
        <f xml:space="preserve"> 1.667/H253 + Q253/A253 * Performance!$E$12 + Performance!$E$23 / Constraints!Q253 * Constraints!A253</f>
        <v>0.2265924538490478</v>
      </c>
      <c r="U253">
        <f xml:space="preserve"> 1.667/I253 + R253/A253 * Performance!$E$12 + Performance!$E$23 / Constraints!R253 * Constraints!A253</f>
        <v>0.21286417035483562</v>
      </c>
    </row>
    <row r="254" spans="1:21" x14ac:dyDescent="0.3">
      <c r="A254" s="51">
        <v>126</v>
      </c>
      <c r="B254" s="50">
        <f>$V$4*Performance!$E$12*(1/A254)+Performance!$E$23*(1/Constraints!$V$4)*Constraints!A254</f>
        <v>0.2303845080370987</v>
      </c>
      <c r="C254" s="50">
        <f>$V$5*Performance!$E$12*(1/A254)+Performance!$E$23*(1/Constraints!$V$5)*Constraints!A254</f>
        <v>0.35505831515899522</v>
      </c>
      <c r="D254" s="52">
        <f t="shared" si="14"/>
        <v>0.3171909994959704</v>
      </c>
      <c r="E254" s="52">
        <f>$V$4*Performance!$E$12*(1/A254)+Performance!$E$23*(1/Constraints!$V$9)*Constraints!A254</f>
        <v>0.22981547185578818</v>
      </c>
      <c r="F254" s="52">
        <f xml:space="preserve"> 1.21 / (9.81 * Constraints!$N$7 * Performance!$E$15 * Constraints!$N$5 ) * Constraints!A254 + 0.605 /Performance!$E$15 * (Performance!$E$16  - Constraints!$N$6 * Performance!$E$14) + Constraints!$N$6</f>
        <v>0.31712105454235578</v>
      </c>
      <c r="G254" s="54" t="s">
        <v>198</v>
      </c>
      <c r="H254" s="55">
        <f>SQRT(2/$V$3 * A254 * SQRT(Performance!$E$23 / (3 * Performance!$E$12)))</f>
        <v>13.840939066452114</v>
      </c>
      <c r="I254" s="55">
        <f>SQRT(2/$V$3 * A254 * (SQRT(Performance!$E$23)/(SQRT(3*Performance!$E$12 + 4* Performance!$E$23 * Performance!$E$11^2) - SQRT(Performance!$E$23)*Performance!$E$11)))</f>
        <v>14.559768769081895</v>
      </c>
      <c r="J254" t="e">
        <f xml:space="preserve"> $AC$3/G254 + $AC$6/A254 * Performance!$E$12 + Performance!$E$23/Constraints!$AC$6 * Constraints!A254</f>
        <v>#VALUE!</v>
      </c>
      <c r="K254">
        <f xml:space="preserve"> $AC$3/H254 + $AC$6/A254 * Performance!$E$12 + Performance!$E$23/Constraints!$AC$6 * Constraints!A254</f>
        <v>0.77461134989152569</v>
      </c>
      <c r="L254">
        <f xml:space="preserve"> $AC$3/I254 + $AC$6/A254 * Performance!$E$12 + Performance!$E$23/Constraints!$AC$6 * Constraints!A254</f>
        <v>0.75649087012833938</v>
      </c>
      <c r="M254">
        <f>SIN($AC$9 * PI()/180) + 1/Performance!$AE$5</f>
        <v>0.24073077270730886</v>
      </c>
      <c r="N254">
        <f>SIN($AC$9 * PI()/180) + 1/Performance!$AE$8</f>
        <v>0.22738716112204788</v>
      </c>
      <c r="O254" s="60">
        <f>$AC$16 * (Performance!$E$12/Constraints!A254 + Performance!$E$23 * (Constraints!$AC$13/Constraints!$AC$17)^2 * Constraints!A254)</f>
        <v>2.5199910345745179E-4</v>
      </c>
      <c r="P254" t="e">
        <f t="shared" si="15"/>
        <v>#VALUE!</v>
      </c>
      <c r="Q254">
        <f t="shared" si="16"/>
        <v>50.300712509910475</v>
      </c>
      <c r="R254">
        <f t="shared" si="17"/>
        <v>55.661124893886978</v>
      </c>
      <c r="S254" t="e">
        <f xml:space="preserve"> 1.667/G254 + P254/A254 * Performance!$E$12 + Performance!$E$23 / Constraints!P254 * Constraints!A254</f>
        <v>#VALUE!</v>
      </c>
      <c r="T254">
        <f xml:space="preserve"> 1.667/H254 + Q254/A254 * Performance!$E$12 + Performance!$E$23 / Constraints!Q254 * Constraints!A254</f>
        <v>0.22635277240831436</v>
      </c>
      <c r="U254">
        <f xml:space="preserve"> 1.667/I254 + R254/A254 * Performance!$E$12 + Performance!$E$23 / Constraints!R254 * Constraints!A254</f>
        <v>0.21263632221595613</v>
      </c>
    </row>
    <row r="255" spans="1:21" x14ac:dyDescent="0.3">
      <c r="A255" s="51">
        <v>126.5</v>
      </c>
      <c r="B255" s="50">
        <f>$V$4*Performance!$E$12*(1/A255)+Performance!$E$23*(1/Constraints!$V$4)*Constraints!A255</f>
        <v>0.22951343302380989</v>
      </c>
      <c r="C255" s="50">
        <f>$V$5*Performance!$E$12*(1/A255)+Performance!$E$23*(1/Constraints!$V$5)*Constraints!A255</f>
        <v>0.3536802481615498</v>
      </c>
      <c r="D255" s="52">
        <f t="shared" si="14"/>
        <v>0.31746328520825601</v>
      </c>
      <c r="E255" s="52">
        <f>$V$4*Performance!$E$12*(1/A255)+Performance!$E$23*(1/Constraints!$V$9)*Constraints!A255</f>
        <v>0.22894213876241479</v>
      </c>
      <c r="F255" s="52">
        <f xml:space="preserve"> 1.21 / (9.81 * Constraints!$N$7 * Performance!$E$15 * Constraints!$N$5 ) * Constraints!A255 + 0.605 /Performance!$E$15 * (Performance!$E$16  - Constraints!$N$6 * Performance!$E$14) + Constraints!$N$6</f>
        <v>0.31739306269530165</v>
      </c>
      <c r="G255" s="54" t="s">
        <v>198</v>
      </c>
      <c r="H255" s="55">
        <f>SQRT(2/$V$3 * A255 * SQRT(Performance!$E$23 / (3 * Performance!$E$12)))</f>
        <v>13.868374056834956</v>
      </c>
      <c r="I255" s="55">
        <f>SQRT(2/$V$3 * A255 * (SQRT(Performance!$E$23)/(SQRT(3*Performance!$E$12 + 4* Performance!$E$23 * Performance!$E$11^2) - SQRT(Performance!$E$23)*Performance!$E$11)))</f>
        <v>14.588628596745204</v>
      </c>
      <c r="J255" t="e">
        <f xml:space="preserve"> $AC$3/G255 + $AC$6/A255 * Performance!$E$12 + Performance!$E$23/Constraints!$AC$6 * Constraints!A255</f>
        <v>#VALUE!</v>
      </c>
      <c r="K255">
        <f xml:space="preserve"> $AC$3/H255 + $AC$6/A255 * Performance!$E$12 + Performance!$E$23/Constraints!$AC$6 * Constraints!A255</f>
        <v>0.77548066617590417</v>
      </c>
      <c r="L255">
        <f xml:space="preserve"> $AC$3/I255 + $AC$6/A255 * Performance!$E$12 + Performance!$E$23/Constraints!$AC$6 * Constraints!A255</f>
        <v>0.75739603309423909</v>
      </c>
      <c r="M255">
        <f>SIN($AC$9 * PI()/180) + 1/Performance!$AE$5</f>
        <v>0.24073077270730886</v>
      </c>
      <c r="N255">
        <f>SIN($AC$9 * PI()/180) + 1/Performance!$AE$8</f>
        <v>0.22738716112204788</v>
      </c>
      <c r="O255" s="60">
        <f>$AC$16 * (Performance!$E$12/Constraints!A255 + Performance!$E$23 * (Constraints!$AC$13/Constraints!$AC$17)^2 * Constraints!A255)</f>
        <v>2.5145433681596094E-4</v>
      </c>
      <c r="P255" t="e">
        <f t="shared" si="15"/>
        <v>#VALUE!</v>
      </c>
      <c r="Q255">
        <f t="shared" si="16"/>
        <v>50.500318511933926</v>
      </c>
      <c r="R255">
        <f t="shared" si="17"/>
        <v>55.882002373624623</v>
      </c>
      <c r="S255" t="e">
        <f xml:space="preserve"> 1.667/G255 + P255/A255 * Performance!$E$12 + Performance!$E$23 / Constraints!P255 * Constraints!A255</f>
        <v>#VALUE!</v>
      </c>
      <c r="T255">
        <f xml:space="preserve"> 1.667/H255 + Q255/A255 * Performance!$E$12 + Performance!$E$23 / Constraints!Q255 * Constraints!A255</f>
        <v>0.22611451341169209</v>
      </c>
      <c r="U255">
        <f xml:space="preserve"> 1.667/I255 + R255/A255 * Performance!$E$12 + Performance!$E$23 / Constraints!R255 * Constraints!A255</f>
        <v>0.21240982629376221</v>
      </c>
    </row>
    <row r="256" spans="1:21" x14ac:dyDescent="0.3">
      <c r="A256" s="51">
        <v>127</v>
      </c>
      <c r="B256" s="50">
        <f>$V$4*Performance!$E$12*(1/A256)+Performance!$E$23*(1/Constraints!$V$4)*Constraints!A256</f>
        <v>0.22864937282944026</v>
      </c>
      <c r="C256" s="50">
        <f>$V$5*Performance!$E$12*(1/A256)+Performance!$E$23*(1/Constraints!$V$5)*Constraints!A256</f>
        <v>0.35231313198968356</v>
      </c>
      <c r="D256" s="52">
        <f t="shared" si="14"/>
        <v>0.31773557092054161</v>
      </c>
      <c r="E256" s="52">
        <f>$V$4*Performance!$E$12*(1/A256)+Performance!$E$23*(1/Constraints!$V$9)*Constraints!A256</f>
        <v>0.2280758204879606</v>
      </c>
      <c r="F256" s="52">
        <f xml:space="preserve"> 1.21 / (9.81 * Constraints!$N$7 * Performance!$E$15 * Constraints!$N$5 ) * Constraints!A256 + 0.605 /Performance!$E$15 * (Performance!$E$16  - Constraints!$N$6 * Performance!$E$14) + Constraints!$N$6</f>
        <v>0.31766507084824747</v>
      </c>
      <c r="G256" s="54" t="s">
        <v>198</v>
      </c>
      <c r="H256" s="55">
        <f>SQRT(2/$V$3 * A256 * SQRT(Performance!$E$23 / (3 * Performance!$E$12)))</f>
        <v>13.895754881234248</v>
      </c>
      <c r="I256" s="55">
        <f>SQRT(2/$V$3 * A256 * (SQRT(Performance!$E$23)/(SQRT(3*Performance!$E$12 + 4* Performance!$E$23 * Performance!$E$11^2) - SQRT(Performance!$E$23)*Performance!$E$11)))</f>
        <v>14.617431445312524</v>
      </c>
      <c r="J256" t="e">
        <f xml:space="preserve"> $AC$3/G256 + $AC$6/A256 * Performance!$E$12 + Performance!$E$23/Constraints!$AC$6 * Constraints!A256</f>
        <v>#VALUE!</v>
      </c>
      <c r="K256">
        <f xml:space="preserve"> $AC$3/H256 + $AC$6/A256 * Performance!$E$12 + Performance!$E$23/Constraints!$AC$6 * Constraints!A256</f>
        <v>0.77635436099077015</v>
      </c>
      <c r="L256">
        <f xml:space="preserve"> $AC$3/I256 + $AC$6/A256 * Performance!$E$12 + Performance!$E$23/Constraints!$AC$6 * Constraints!A256</f>
        <v>0.75830536268871718</v>
      </c>
      <c r="M256">
        <f>SIN($AC$9 * PI()/180) + 1/Performance!$AE$5</f>
        <v>0.24073077270730886</v>
      </c>
      <c r="N256">
        <f>SIN($AC$9 * PI()/180) + 1/Performance!$AE$8</f>
        <v>0.22738716112204788</v>
      </c>
      <c r="O256" s="60">
        <f>$AC$16 * (Performance!$E$12/Constraints!A256 + Performance!$E$23 * (Constraints!$AC$13/Constraints!$AC$17)^2 * Constraints!A256)</f>
        <v>2.5091563987583623E-4</v>
      </c>
      <c r="P256" t="e">
        <f t="shared" si="15"/>
        <v>#VALUE!</v>
      </c>
      <c r="Q256">
        <f t="shared" si="16"/>
        <v>50.699924513957392</v>
      </c>
      <c r="R256">
        <f t="shared" si="17"/>
        <v>56.102879853362282</v>
      </c>
      <c r="S256" t="e">
        <f xml:space="preserve"> 1.667/G256 + P256/A256 * Performance!$E$12 + Performance!$E$23 / Constraints!P256 * Constraints!A256</f>
        <v>#VALUE!</v>
      </c>
      <c r="T256">
        <f xml:space="preserve"> 1.667/H256 + Q256/A256 * Performance!$E$12 + Performance!$E$23 / Constraints!Q256 * Constraints!A256</f>
        <v>0.22587766284492122</v>
      </c>
      <c r="U256">
        <f xml:space="preserve"> 1.667/I256 + R256/A256 * Performance!$E$12 + Performance!$E$23 / Constraints!R256 * Constraints!A256</f>
        <v>0.21218466926589158</v>
      </c>
    </row>
    <row r="257" spans="1:21" x14ac:dyDescent="0.3">
      <c r="A257" s="51">
        <v>127.5</v>
      </c>
      <c r="B257" s="50">
        <f>$V$4*Performance!$E$12*(1/A257)+Performance!$E$23*(1/Constraints!$V$4)*Constraints!A257</f>
        <v>0.22779224492670849</v>
      </c>
      <c r="C257" s="50">
        <f>$V$5*Performance!$E$12*(1/A257)+Performance!$E$23*(1/Constraints!$V$5)*Constraints!A257</f>
        <v>0.3509568378101543</v>
      </c>
      <c r="D257" s="52">
        <f t="shared" si="14"/>
        <v>0.31800785663282721</v>
      </c>
      <c r="E257" s="52">
        <f>$V$4*Performance!$E$12*(1/A257)+Performance!$E$23*(1/Constraints!$V$9)*Constraints!A257</f>
        <v>0.22721643450514428</v>
      </c>
      <c r="F257" s="52">
        <f xml:space="preserve"> 1.21 / (9.81 * Constraints!$N$7 * Performance!$E$15 * Constraints!$N$5 ) * Constraints!A257 + 0.605 /Performance!$E$15 * (Performance!$E$16  - Constraints!$N$6 * Performance!$E$14) + Constraints!$N$6</f>
        <v>0.31793707900119333</v>
      </c>
      <c r="G257" s="54" t="s">
        <v>198</v>
      </c>
      <c r="H257" s="55">
        <f>SQRT(2/$V$3 * A257 * SQRT(Performance!$E$23 / (3 * Performance!$E$12)))</f>
        <v>13.923081859214861</v>
      </c>
      <c r="I257" s="55">
        <f>SQRT(2/$V$3 * A257 * (SQRT(Performance!$E$23)/(SQRT(3*Performance!$E$12 + 4* Performance!$E$23 * Performance!$E$11^2) - SQRT(Performance!$E$23)*Performance!$E$11)))</f>
        <v>14.64617765094534</v>
      </c>
      <c r="J257" t="e">
        <f xml:space="preserve"> $AC$3/G257 + $AC$6/A257 * Performance!$E$12 + Performance!$E$23/Constraints!$AC$6 * Constraints!A257</f>
        <v>#VALUE!</v>
      </c>
      <c r="K257">
        <f xml:space="preserve"> $AC$3/H257 + $AC$6/A257 * Performance!$E$12 + Performance!$E$23/Constraints!$AC$6 * Constraints!A257</f>
        <v>0.77723239119836762</v>
      </c>
      <c r="L257">
        <f xml:space="preserve"> $AC$3/I257 + $AC$6/A257 * Performance!$E$12 + Performance!$E$23/Constraints!$AC$6 * Constraints!A257</f>
        <v>0.7592188178535304</v>
      </c>
      <c r="M257">
        <f>SIN($AC$9 * PI()/180) + 1/Performance!$AE$5</f>
        <v>0.24073077270730886</v>
      </c>
      <c r="N257">
        <f>SIN($AC$9 * PI()/180) + 1/Performance!$AE$8</f>
        <v>0.22738716112204788</v>
      </c>
      <c r="O257" s="60">
        <f>$AC$16 * (Performance!$E$12/Constraints!A257 + Performance!$E$23 * (Constraints!$AC$13/Constraints!$AC$17)^2 * Constraints!A257)</f>
        <v>2.5038294122882616E-4</v>
      </c>
      <c r="P257" t="e">
        <f t="shared" si="15"/>
        <v>#VALUE!</v>
      </c>
      <c r="Q257">
        <f t="shared" si="16"/>
        <v>50.899530515980842</v>
      </c>
      <c r="R257">
        <f t="shared" si="17"/>
        <v>56.323757333099913</v>
      </c>
      <c r="S257" t="e">
        <f xml:space="preserve"> 1.667/G257 + P257/A257 * Performance!$E$12 + Performance!$E$23 / Constraints!P257 * Constraints!A257</f>
        <v>#VALUE!</v>
      </c>
      <c r="T257">
        <f xml:space="preserve"> 1.667/H257 + Q257/A257 * Performance!$E$12 + Performance!$E$23 / Constraints!Q257 * Constraints!A257</f>
        <v>0.22564220688628428</v>
      </c>
      <c r="U257">
        <f xml:space="preserve"> 1.667/I257 + R257/A257 * Performance!$E$12 + Performance!$E$23 / Constraints!R257 * Constraints!A257</f>
        <v>0.21196083799301813</v>
      </c>
    </row>
    <row r="258" spans="1:21" x14ac:dyDescent="0.3">
      <c r="A258" s="51">
        <v>128</v>
      </c>
      <c r="B258" s="50">
        <f>$V$4*Performance!$E$12*(1/A258)+Performance!$E$23*(1/Constraints!$V$4)*Constraints!A258</f>
        <v>0.22694196807782197</v>
      </c>
      <c r="C258" s="50">
        <f>$V$5*Performance!$E$12*(1/A258)+Performance!$E$23*(1/Constraints!$V$5)*Constraints!A258</f>
        <v>0.34961123880273931</v>
      </c>
      <c r="D258" s="52">
        <f t="shared" si="14"/>
        <v>0.31828014234511282</v>
      </c>
      <c r="E258" s="52">
        <f>$V$4*Performance!$E$12*(1/A258)+Performance!$E$23*(1/Constraints!$V$9)*Constraints!A258</f>
        <v>0.22636389957617314</v>
      </c>
      <c r="F258" s="52">
        <f xml:space="preserve"> 1.21 / (9.81 * Constraints!$N$7 * Performance!$E$15 * Constraints!$N$5 ) * Constraints!A258 + 0.605 /Performance!$E$15 * (Performance!$E$16  - Constraints!$N$6 * Performance!$E$14) + Constraints!$N$6</f>
        <v>0.3182090871541392</v>
      </c>
      <c r="G258" s="54" t="s">
        <v>198</v>
      </c>
      <c r="H258" s="55">
        <f>SQRT(2/$V$3 * A258 * SQRT(Performance!$E$23 / (3 * Performance!$E$12)))</f>
        <v>13.95035530721173</v>
      </c>
      <c r="I258" s="55">
        <f>SQRT(2/$V$3 * A258 * (SQRT(Performance!$E$23)/(SQRT(3*Performance!$E$12 + 4* Performance!$E$23 * Performance!$E$11^2) - SQRT(Performance!$E$23)*Performance!$E$11)))</f>
        <v>14.674867546512649</v>
      </c>
      <c r="J258" t="e">
        <f xml:space="preserve"> $AC$3/G258 + $AC$6/A258 * Performance!$E$12 + Performance!$E$23/Constraints!$AC$6 * Constraints!A258</f>
        <v>#VALUE!</v>
      </c>
      <c r="K258">
        <f xml:space="preserve"> $AC$3/H258 + $AC$6/A258 * Performance!$E$12 + Performance!$E$23/Constraints!$AC$6 * Constraints!A258</f>
        <v>0.77811471425326639</v>
      </c>
      <c r="L258">
        <f xml:space="preserve"> $AC$3/I258 + $AC$6/A258 * Performance!$E$12 + Performance!$E$23/Constraints!$AC$6 * Constraints!A258</f>
        <v>0.7601363580943028</v>
      </c>
      <c r="M258">
        <f>SIN($AC$9 * PI()/180) + 1/Performance!$AE$5</f>
        <v>0.24073077270730886</v>
      </c>
      <c r="N258">
        <f>SIN($AC$9 * PI()/180) + 1/Performance!$AE$8</f>
        <v>0.22738716112204788</v>
      </c>
      <c r="O258" s="60">
        <f>$AC$16 * (Performance!$E$12/Constraints!A258 + Performance!$E$23 * (Constraints!$AC$13/Constraints!$AC$17)^2 * Constraints!A258)</f>
        <v>2.4985617058243339E-4</v>
      </c>
      <c r="P258" t="e">
        <f t="shared" si="15"/>
        <v>#VALUE!</v>
      </c>
      <c r="Q258">
        <f t="shared" si="16"/>
        <v>51.099136518004293</v>
      </c>
      <c r="R258">
        <f t="shared" si="17"/>
        <v>56.544634812837565</v>
      </c>
      <c r="S258" t="e">
        <f xml:space="preserve"> 1.667/G258 + P258/A258 * Performance!$E$12 + Performance!$E$23 / Constraints!P258 * Constraints!A258</f>
        <v>#VALUE!</v>
      </c>
      <c r="T258">
        <f xml:space="preserve"> 1.667/H258 + Q258/A258 * Performance!$E$12 + Performance!$E$23 / Constraints!Q258 * Constraints!A258</f>
        <v>0.22540813190321757</v>
      </c>
      <c r="U258">
        <f xml:space="preserve"> 1.667/I258 + R258/A258 * Performance!$E$12 + Performance!$E$23 / Constraints!R258 * Constraints!A258</f>
        <v>0.21173831951563082</v>
      </c>
    </row>
    <row r="259" spans="1:21" x14ac:dyDescent="0.3">
      <c r="A259" s="51">
        <v>128.5</v>
      </c>
      <c r="B259" s="50">
        <f>$V$4*Performance!$E$12*(1/A259)+Performance!$E$23*(1/Constraints!$V$4)*Constraints!A259</f>
        <v>0.22609846230938943</v>
      </c>
      <c r="C259" s="50">
        <f>$V$5*Performance!$E$12*(1/A259)+Performance!$E$23*(1/Constraints!$V$5)*Constraints!A259</f>
        <v>0.34827621012107152</v>
      </c>
      <c r="D259" s="52">
        <f t="shared" si="14"/>
        <v>0.31855242805739842</v>
      </c>
      <c r="E259" s="52">
        <f>$V$4*Performance!$E$12*(1/A259)+Performance!$E$23*(1/Constraints!$V$9)*Constraints!A259</f>
        <v>0.22551813572765605</v>
      </c>
      <c r="F259" s="52">
        <f xml:space="preserve"> 1.21 / (9.81 * Constraints!$N$7 * Performance!$E$15 * Constraints!$N$5 ) * Constraints!A259 + 0.605 /Performance!$E$15 * (Performance!$E$16  - Constraints!$N$6 * Performance!$E$14) + Constraints!$N$6</f>
        <v>0.31848109530708507</v>
      </c>
      <c r="G259" s="54" t="s">
        <v>198</v>
      </c>
      <c r="H259" s="55">
        <f>SQRT(2/$V$3 * A259 * SQRT(Performance!$E$23 / (3 * Performance!$E$12)))</f>
        <v>13.977575538572598</v>
      </c>
      <c r="I259" s="55">
        <f>SQRT(2/$V$3 * A259 * (SQRT(Performance!$E$23)/(SQRT(3*Performance!$E$12 + 4* Performance!$E$23 * Performance!$E$11^2) - SQRT(Performance!$E$23)*Performance!$E$11)))</f>
        <v>14.70350146163592</v>
      </c>
      <c r="J259" t="e">
        <f xml:space="preserve"> $AC$3/G259 + $AC$6/A259 * Performance!$E$12 + Performance!$E$23/Constraints!$AC$6 * Constraints!A259</f>
        <v>#VALUE!</v>
      </c>
      <c r="K259">
        <f xml:space="preserve"> $AC$3/H259 + $AC$6/A259 * Performance!$E$12 + Performance!$E$23/Constraints!$AC$6 * Constraints!A259</f>
        <v>0.77900128819194991</v>
      </c>
      <c r="L259">
        <f xml:space="preserve"> $AC$3/I259 + $AC$6/A259 * Performance!$E$12 + Performance!$E$23/Constraints!$AC$6 * Constraints!A259</f>
        <v>0.76105794347061251</v>
      </c>
      <c r="M259">
        <f>SIN($AC$9 * PI()/180) + 1/Performance!$AE$5</f>
        <v>0.24073077270730886</v>
      </c>
      <c r="N259">
        <f>SIN($AC$9 * PI()/180) + 1/Performance!$AE$8</f>
        <v>0.22738716112204788</v>
      </c>
      <c r="O259" s="60">
        <f>$AC$16 * (Performance!$E$12/Constraints!A259 + Performance!$E$23 * (Constraints!$AC$13/Constraints!$AC$17)^2 * Constraints!A259)</f>
        <v>2.4933525873820707E-4</v>
      </c>
      <c r="P259" t="e">
        <f t="shared" si="15"/>
        <v>#VALUE!</v>
      </c>
      <c r="Q259">
        <f t="shared" si="16"/>
        <v>51.298742520027758</v>
      </c>
      <c r="R259">
        <f t="shared" si="17"/>
        <v>56.765512292575217</v>
      </c>
      <c r="S259" t="e">
        <f xml:space="preserve"> 1.667/G259 + P259/A259 * Performance!$E$12 + Performance!$E$23 / Constraints!P259 * Constraints!A259</f>
        <v>#VALUE!</v>
      </c>
      <c r="T259">
        <f xml:space="preserve"> 1.667/H259 + Q259/A259 * Performance!$E$12 + Performance!$E$23 / Constraints!Q259 * Constraints!A259</f>
        <v>0.22517542444899616</v>
      </c>
      <c r="U259">
        <f xml:space="preserve"> 1.667/I259 + R259/A259 * Performance!$E$12 + Performance!$E$23 / Constraints!R259 * Constraints!A259</f>
        <v>0.21151710105088245</v>
      </c>
    </row>
    <row r="260" spans="1:21" x14ac:dyDescent="0.3">
      <c r="A260" s="51">
        <v>129</v>
      </c>
      <c r="B260" s="50">
        <f>$V$4*Performance!$E$12*(1/A260)+Performance!$E$23*(1/Constraints!$V$4)*Constraints!A260</f>
        <v>0.22526164888791725</v>
      </c>
      <c r="C260" s="50">
        <f>$V$5*Performance!$E$12*(1/A260)+Performance!$E$23*(1/Constraints!$V$5)*Constraints!A260</f>
        <v>0.34695162885438635</v>
      </c>
      <c r="D260" s="52">
        <f t="shared" si="14"/>
        <v>0.31882471376968397</v>
      </c>
      <c r="E260" s="52">
        <f>$V$4*Performance!$E$12*(1/A260)+Performance!$E$23*(1/Constraints!$V$9)*Constraints!A260</f>
        <v>0.22467906422609932</v>
      </c>
      <c r="F260" s="52">
        <f xml:space="preserve"> 1.21 / (9.81 * Constraints!$N$7 * Performance!$E$15 * Constraints!$N$5 ) * Constraints!A260 + 0.605 /Performance!$E$15 * (Performance!$E$16  - Constraints!$N$6 * Performance!$E$14) + Constraints!$N$6</f>
        <v>0.31875310346003088</v>
      </c>
      <c r="G260" s="54" t="s">
        <v>198</v>
      </c>
      <c r="H260" s="55">
        <f>SQRT(2/$V$3 * A260 * SQRT(Performance!$E$23 / (3 * Performance!$E$12)))</f>
        <v>14.004742863600015</v>
      </c>
      <c r="I260" s="55">
        <f>SQRT(2/$V$3 * A260 * (SQRT(Performance!$E$23)/(SQRT(3*Performance!$E$12 + 4* Performance!$E$23 * Performance!$E$11^2) - SQRT(Performance!$E$23)*Performance!$E$11)))</f>
        <v>14.732079722733278</v>
      </c>
      <c r="J260" t="e">
        <f xml:space="preserve"> $AC$3/G260 + $AC$6/A260 * Performance!$E$12 + Performance!$E$23/Constraints!$AC$6 * Constraints!A260</f>
        <v>#VALUE!</v>
      </c>
      <c r="K260">
        <f xml:space="preserve"> $AC$3/H260 + $AC$6/A260 * Performance!$E$12 + Performance!$E$23/Constraints!$AC$6 * Constraints!A260</f>
        <v>0.77989207162262619</v>
      </c>
      <c r="L260">
        <f xml:space="preserve"> $AC$3/I260 + $AC$6/A260 * Performance!$E$12 + Performance!$E$23/Constraints!$AC$6 * Constraints!A260</f>
        <v>0.76198353458629031</v>
      </c>
      <c r="M260">
        <f>SIN($AC$9 * PI()/180) + 1/Performance!$AE$5</f>
        <v>0.24073077270730886</v>
      </c>
      <c r="N260">
        <f>SIN($AC$9 * PI()/180) + 1/Performance!$AE$8</f>
        <v>0.22738716112204788</v>
      </c>
      <c r="O260" s="60">
        <f>$AC$16 * (Performance!$E$12/Constraints!A260 + Performance!$E$23 * (Constraints!$AC$13/Constraints!$AC$17)^2 * Constraints!A260)</f>
        <v>2.4882013757054065E-4</v>
      </c>
      <c r="P260" t="e">
        <f t="shared" si="15"/>
        <v>#VALUE!</v>
      </c>
      <c r="Q260">
        <f t="shared" si="16"/>
        <v>51.498348522051195</v>
      </c>
      <c r="R260">
        <f t="shared" si="17"/>
        <v>56.986389772312862</v>
      </c>
      <c r="S260" t="e">
        <f xml:space="preserve"> 1.667/G260 + P260/A260 * Performance!$E$12 + Performance!$E$23 / Constraints!P260 * Constraints!A260</f>
        <v>#VALUE!</v>
      </c>
      <c r="T260">
        <f xml:space="preserve"> 1.667/H260 + Q260/A260 * Performance!$E$12 + Performance!$E$23 / Constraints!Q260 * Constraints!A260</f>
        <v>0.22494407125948965</v>
      </c>
      <c r="U260">
        <f xml:space="preserve"> 1.667/I260 + R260/A260 * Performance!$E$12 + Performance!$E$23 / Constraints!R260 * Constraints!A260</f>
        <v>0.21129716998950532</v>
      </c>
    </row>
    <row r="261" spans="1:21" x14ac:dyDescent="0.3">
      <c r="A261" s="51">
        <v>129.5</v>
      </c>
      <c r="B261" s="50">
        <f>$V$4*Performance!$E$12*(1/A261)+Performance!$E$23*(1/Constraints!$V$4)*Constraints!A261</f>
        <v>0.22443145029587314</v>
      </c>
      <c r="C261" s="50">
        <f>$V$5*Performance!$E$12*(1/A261)+Performance!$E$23*(1/Constraints!$V$5)*Constraints!A261</f>
        <v>0.34563737399015521</v>
      </c>
      <c r="D261" s="52">
        <f t="shared" si="14"/>
        <v>0.31909699948196957</v>
      </c>
      <c r="E261" s="52">
        <f>$V$4*Performance!$E$12*(1/A261)+Performance!$E$23*(1/Constraints!$V$9)*Constraints!A261</f>
        <v>0.22384660755397062</v>
      </c>
      <c r="F261" s="52">
        <f xml:space="preserve"> 1.21 / (9.81 * Constraints!$N$7 * Performance!$E$15 * Constraints!$N$5 ) * Constraints!A261 + 0.605 /Performance!$E$15 * (Performance!$E$16  - Constraints!$N$6 * Performance!$E$14) + Constraints!$N$6</f>
        <v>0.31902511161297675</v>
      </c>
      <c r="G261" s="54" t="s">
        <v>198</v>
      </c>
      <c r="H261" s="55">
        <f>SQRT(2/$V$3 * A261 * SQRT(Performance!$E$23 / (3 * Performance!$E$12)))</f>
        <v>14.031857589592622</v>
      </c>
      <c r="I261" s="55">
        <f>SQRT(2/$V$3 * A261 * (SQRT(Performance!$E$23)/(SQRT(3*Performance!$E$12 + 4* Performance!$E$23 * Performance!$E$11^2) - SQRT(Performance!$E$23)*Performance!$E$11)))</f>
        <v>14.76060265306293</v>
      </c>
      <c r="J261" t="e">
        <f xml:space="preserve"> $AC$3/G261 + $AC$6/A261 * Performance!$E$12 + Performance!$E$23/Constraints!$AC$6 * Constraints!A261</f>
        <v>#VALUE!</v>
      </c>
      <c r="K261">
        <f xml:space="preserve"> $AC$3/H261 + $AC$6/A261 * Performance!$E$12 + Performance!$E$23/Constraints!$AC$6 * Constraints!A261</f>
        <v>0.7807870237152551</v>
      </c>
      <c r="L261">
        <f xml:space="preserve"> $AC$3/I261 + $AC$6/A261 * Performance!$E$12 + Performance!$E$23/Constraints!$AC$6 * Constraints!A261</f>
        <v>0.76291309257992479</v>
      </c>
      <c r="M261">
        <f>SIN($AC$9 * PI()/180) + 1/Performance!$AE$5</f>
        <v>0.24073077270730886</v>
      </c>
      <c r="N261">
        <f>SIN($AC$9 * PI()/180) + 1/Performance!$AE$8</f>
        <v>0.22738716112204788</v>
      </c>
      <c r="O261" s="60">
        <f>$AC$16 * (Performance!$E$12/Constraints!A261 + Performance!$E$23 * (Constraints!$AC$13/Constraints!$AC$17)^2 * Constraints!A261)</f>
        <v>2.4831074000596055E-4</v>
      </c>
      <c r="P261" t="e">
        <f t="shared" si="15"/>
        <v>#VALUE!</v>
      </c>
      <c r="Q261">
        <f t="shared" si="16"/>
        <v>51.697954524074646</v>
      </c>
      <c r="R261">
        <f t="shared" si="17"/>
        <v>57.207267252050499</v>
      </c>
      <c r="S261" t="e">
        <f xml:space="preserve"> 1.667/G261 + P261/A261 * Performance!$E$12 + Performance!$E$23 / Constraints!P261 * Constraints!A261</f>
        <v>#VALUE!</v>
      </c>
      <c r="T261">
        <f xml:space="preserve"> 1.667/H261 + Q261/A261 * Performance!$E$12 + Performance!$E$23 / Constraints!Q261 * Constraints!A261</f>
        <v>0.22471405924998603</v>
      </c>
      <c r="U261">
        <f xml:space="preserve"> 1.667/I261 + R261/A261 * Performance!$E$12 + Performance!$E$23 / Constraints!R261 * Constraints!A261</f>
        <v>0.21107851389279231</v>
      </c>
    </row>
    <row r="262" spans="1:21" x14ac:dyDescent="0.3">
      <c r="A262" s="51">
        <v>130</v>
      </c>
      <c r="B262" s="50">
        <f>$V$4*Performance!$E$12*(1/A262)+Performance!$E$23*(1/Constraints!$V$4)*Constraints!A262</f>
        <v>0.22360779020830207</v>
      </c>
      <c r="C262" s="50">
        <f>$V$5*Performance!$E$12*(1/A262)+Performance!$E$23*(1/Constraints!$V$5)*Constraints!A262</f>
        <v>0.34433332637758046</v>
      </c>
      <c r="D262" s="52">
        <f t="shared" si="14"/>
        <v>0.31936928519425517</v>
      </c>
      <c r="E262" s="52">
        <f>$V$4*Performance!$E$12*(1/A262)+Performance!$E$23*(1/Constraints!$V$9)*Constraints!A262</f>
        <v>0.223020689386315</v>
      </c>
      <c r="F262" s="52">
        <f xml:space="preserve"> 1.21 / (9.81 * Constraints!$N$7 * Performance!$E$15 * Constraints!$N$5 ) * Constraints!A262 + 0.605 /Performance!$E$15 * (Performance!$E$16  - Constraints!$N$6 * Performance!$E$14) + Constraints!$N$6</f>
        <v>0.31929711976592262</v>
      </c>
      <c r="G262" s="54" t="s">
        <v>198</v>
      </c>
      <c r="H262" s="55">
        <f>SQRT(2/$V$3 * A262 * SQRT(Performance!$E$23 / (3 * Performance!$E$12)))</f>
        <v>14.058920020885695</v>
      </c>
      <c r="I262" s="55">
        <f>SQRT(2/$V$3 * A262 * (SQRT(Performance!$E$23)/(SQRT(3*Performance!$E$12 + 4* Performance!$E$23 * Performance!$E$11^2) - SQRT(Performance!$E$23)*Performance!$E$11)))</f>
        <v>14.789070572765818</v>
      </c>
      <c r="J262" t="e">
        <f xml:space="preserve"> $AC$3/G262 + $AC$6/A262 * Performance!$E$12 + Performance!$E$23/Constraints!$AC$6 * Constraints!A262</f>
        <v>#VALUE!</v>
      </c>
      <c r="K262">
        <f xml:space="preserve"> $AC$3/H262 + $AC$6/A262 * Performance!$E$12 + Performance!$E$23/Constraints!$AC$6 * Constraints!A262</f>
        <v>0.78168610419178786</v>
      </c>
      <c r="L262">
        <f xml:space="preserve"> $AC$3/I262 + $AC$6/A262 * Performance!$E$12 + Performance!$E$23/Constraints!$AC$6 * Constraints!A262</f>
        <v>0.7638465791155693</v>
      </c>
      <c r="M262">
        <f>SIN($AC$9 * PI()/180) + 1/Performance!$AE$5</f>
        <v>0.24073077270730886</v>
      </c>
      <c r="N262">
        <f>SIN($AC$9 * PI()/180) + 1/Performance!$AE$8</f>
        <v>0.22738716112204788</v>
      </c>
      <c r="O262" s="60">
        <f>$AC$16 * (Performance!$E$12/Constraints!A262 + Performance!$E$23 * (Constraints!$AC$13/Constraints!$AC$17)^2 * Constraints!A262)</f>
        <v>2.4780700000289255E-4</v>
      </c>
      <c r="P262" t="e">
        <f t="shared" si="15"/>
        <v>#VALUE!</v>
      </c>
      <c r="Q262">
        <f t="shared" si="16"/>
        <v>51.897560526098111</v>
      </c>
      <c r="R262">
        <f t="shared" si="17"/>
        <v>57.428144731788159</v>
      </c>
      <c r="S262" t="e">
        <f xml:space="preserve"> 1.667/G262 + P262/A262 * Performance!$E$12 + Performance!$E$23 / Constraints!P262 * Constraints!A262</f>
        <v>#VALUE!</v>
      </c>
      <c r="T262">
        <f xml:space="preserve"> 1.667/H262 + Q262/A262 * Performance!$E$12 + Performance!$E$23 / Constraints!Q262 * Constraints!A262</f>
        <v>0.22448537551208381</v>
      </c>
      <c r="U262">
        <f xml:space="preserve"> 1.667/I262 + R262/A262 * Performance!$E$12 + Performance!$E$23 / Constraints!R262 * Constraints!A262</f>
        <v>0.21086112048964195</v>
      </c>
    </row>
    <row r="263" spans="1:21" x14ac:dyDescent="0.3">
      <c r="A263" s="51">
        <v>130.5</v>
      </c>
      <c r="B263" s="50">
        <f>$V$4*Performance!$E$12*(1/A263)+Performance!$E$23*(1/Constraints!$V$4)*Constraints!A263</f>
        <v>0.2227905934699802</v>
      </c>
      <c r="C263" s="50">
        <f>$V$5*Performance!$E$12*(1/A263)+Performance!$E$23*(1/Constraints!$V$5)*Constraints!A263</f>
        <v>0.34303936869193036</v>
      </c>
      <c r="D263" s="52">
        <f t="shared" si="14"/>
        <v>0.31964157090654077</v>
      </c>
      <c r="E263" s="52">
        <f>$V$4*Performance!$E$12*(1/A263)+Performance!$E$23*(1/Constraints!$V$9)*Constraints!A263</f>
        <v>0.22220123456790858</v>
      </c>
      <c r="F263" s="52">
        <f xml:space="preserve"> 1.21 / (9.81 * Constraints!$N$7 * Performance!$E$15 * Constraints!$N$5 ) * Constraints!A263 + 0.605 /Performance!$E$15 * (Performance!$E$16  - Constraints!$N$6 * Performance!$E$14) + Constraints!$N$6</f>
        <v>0.31956912791886849</v>
      </c>
      <c r="G263" s="54" t="s">
        <v>198</v>
      </c>
      <c r="H263" s="55">
        <f>SQRT(2/$V$3 * A263 * SQRT(Performance!$E$23 / (3 * Performance!$E$12)))</f>
        <v>14.085930458890999</v>
      </c>
      <c r="I263" s="55">
        <f>SQRT(2/$V$3 * A263 * (SQRT(Performance!$E$23)/(SQRT(3*Performance!$E$12 + 4* Performance!$E$23 * Performance!$E$11^2) - SQRT(Performance!$E$23)*Performance!$E$11)))</f>
        <v>14.817483798907533</v>
      </c>
      <c r="J263" t="e">
        <f xml:space="preserve"> $AC$3/G263 + $AC$6/A263 * Performance!$E$12 + Performance!$E$23/Constraints!$AC$6 * Constraints!A263</f>
        <v>#VALUE!</v>
      </c>
      <c r="K263">
        <f xml:space="preserve"> $AC$3/H263 + $AC$6/A263 * Performance!$E$12 + Performance!$E$23/Constraints!$AC$6 * Constraints!A263</f>
        <v>0.78258927331661299</v>
      </c>
      <c r="L263">
        <f xml:space="preserve"> $AC$3/I263 + $AC$6/A263 * Performance!$E$12 + Performance!$E$23/Constraints!$AC$6 * Constraints!A263</f>
        <v>0.76478395637364649</v>
      </c>
      <c r="M263">
        <f>SIN($AC$9 * PI()/180) + 1/Performance!$AE$5</f>
        <v>0.24073077270730886</v>
      </c>
      <c r="N263">
        <f>SIN($AC$9 * PI()/180) + 1/Performance!$AE$8</f>
        <v>0.22738716112204788</v>
      </c>
      <c r="O263" s="60">
        <f>$AC$16 * (Performance!$E$12/Constraints!A263 + Performance!$E$23 * (Constraints!$AC$13/Constraints!$AC$17)^2 * Constraints!A263)</f>
        <v>2.47308852531894E-4</v>
      </c>
      <c r="P263" t="e">
        <f t="shared" si="15"/>
        <v>#VALUE!</v>
      </c>
      <c r="Q263">
        <f t="shared" si="16"/>
        <v>52.097166528121569</v>
      </c>
      <c r="R263">
        <f t="shared" si="17"/>
        <v>57.649022211525789</v>
      </c>
      <c r="S263" t="e">
        <f xml:space="preserve"> 1.667/G263 + P263/A263 * Performance!$E$12 + Performance!$E$23 / Constraints!P263 * Constraints!A263</f>
        <v>#VALUE!</v>
      </c>
      <c r="T263">
        <f xml:space="preserve"> 1.667/H263 + Q263/A263 * Performance!$E$12 + Performance!$E$23 / Constraints!Q263 * Constraints!A263</f>
        <v>0.22425800731064915</v>
      </c>
      <c r="U263">
        <f xml:space="preserve"> 1.667/I263 + R263/A263 * Performance!$E$12 + Performance!$E$23 / Constraints!R263 * Constraints!A263</f>
        <v>0.21064497767366622</v>
      </c>
    </row>
    <row r="264" spans="1:21" x14ac:dyDescent="0.3">
      <c r="A264" s="51">
        <v>131</v>
      </c>
      <c r="B264" s="50">
        <f>$V$4*Performance!$E$12*(1/A264)+Performance!$E$23*(1/Constraints!$V$4)*Constraints!A264</f>
        <v>0.22197978607309182</v>
      </c>
      <c r="C264" s="50">
        <f>$V$5*Performance!$E$12*(1/A264)+Performance!$E$23*(1/Constraints!$V$5)*Constraints!A264</f>
        <v>0.34175538539969058</v>
      </c>
      <c r="D264" s="52">
        <f t="shared" si="14"/>
        <v>0.31991385661882638</v>
      </c>
      <c r="E264" s="52">
        <f>$V$4*Performance!$E$12*(1/A264)+Performance!$E$23*(1/Constraints!$V$9)*Constraints!A264</f>
        <v>0.22138816909093562</v>
      </c>
      <c r="F264" s="52">
        <f xml:space="preserve"> 1.21 / (9.81 * Constraints!$N$7 * Performance!$E$15 * Constraints!$N$5 ) * Constraints!A264 + 0.605 /Performance!$E$15 * (Performance!$E$16  - Constraints!$N$6 * Performance!$E$14) + Constraints!$N$6</f>
        <v>0.31984113607181436</v>
      </c>
      <c r="G264" s="54" t="s">
        <v>198</v>
      </c>
      <c r="H264" s="55">
        <f>SQRT(2/$V$3 * A264 * SQRT(Performance!$E$23 / (3 * Performance!$E$12)))</f>
        <v>14.112889202135959</v>
      </c>
      <c r="I264" s="55">
        <f>SQRT(2/$V$3 * A264 * (SQRT(Performance!$E$23)/(SQRT(3*Performance!$E$12 + 4* Performance!$E$23 * Performance!$E$11^2) - SQRT(Performance!$E$23)*Performance!$E$11)))</f>
        <v>14.845842645519541</v>
      </c>
      <c r="J264" t="e">
        <f xml:space="preserve"> $AC$3/G264 + $AC$6/A264 * Performance!$E$12 + Performance!$E$23/Constraints!$AC$6 * Constraints!A264</f>
        <v>#VALUE!</v>
      </c>
      <c r="K264">
        <f xml:space="preserve"> $AC$3/H264 + $AC$6/A264 * Performance!$E$12 + Performance!$E$23/Constraints!$AC$6 * Constraints!A264</f>
        <v>0.78349649188720327</v>
      </c>
      <c r="L264">
        <f xml:space="preserve"> $AC$3/I264 + $AC$6/A264 * Performance!$E$12 + Performance!$E$23/Constraints!$AC$6 * Constraints!A264</f>
        <v>0.76572518704204218</v>
      </c>
      <c r="M264">
        <f>SIN($AC$9 * PI()/180) + 1/Performance!$AE$5</f>
        <v>0.24073077270730886</v>
      </c>
      <c r="N264">
        <f>SIN($AC$9 * PI()/180) + 1/Performance!$AE$8</f>
        <v>0.22738716112204788</v>
      </c>
      <c r="O264" s="60">
        <f>$AC$16 * (Performance!$E$12/Constraints!A264 + Performance!$E$23 * (Constraints!$AC$13/Constraints!$AC$17)^2 * Constraints!A264)</f>
        <v>2.4681623355633824E-4</v>
      </c>
      <c r="P264" t="e">
        <f t="shared" si="15"/>
        <v>#VALUE!</v>
      </c>
      <c r="Q264">
        <f t="shared" si="16"/>
        <v>52.296772530145027</v>
      </c>
      <c r="R264">
        <f t="shared" si="17"/>
        <v>57.869899691263434</v>
      </c>
      <c r="S264" t="e">
        <f xml:space="preserve"> 1.667/G264 + P264/A264 * Performance!$E$12 + Performance!$E$23 / Constraints!P264 * Constraints!A264</f>
        <v>#VALUE!</v>
      </c>
      <c r="T264">
        <f xml:space="preserve"> 1.667/H264 + Q264/A264 * Performance!$E$12 + Performance!$E$23 / Constraints!Q264 * Constraints!A264</f>
        <v>0.22403194208083699</v>
      </c>
      <c r="U264">
        <f xml:space="preserve"> 1.667/I264 + R264/A264 * Performance!$E$12 + Performance!$E$23 / Constraints!R264 * Constraints!A264</f>
        <v>0.21043007350035828</v>
      </c>
    </row>
    <row r="265" spans="1:21" x14ac:dyDescent="0.3">
      <c r="A265" s="51">
        <v>131.5</v>
      </c>
      <c r="B265" s="50">
        <f>$V$4*Performance!$E$12*(1/A265)+Performance!$E$23*(1/Constraints!$V$4)*Constraints!A265</f>
        <v>0.22117529513541515</v>
      </c>
      <c r="C265" s="50">
        <f>$V$5*Performance!$E$12*(1/A265)+Performance!$E$23*(1/Constraints!$V$5)*Constraints!A265</f>
        <v>0.3404812627245104</v>
      </c>
      <c r="D265" s="52">
        <f t="shared" si="14"/>
        <v>0.32018614233111198</v>
      </c>
      <c r="E265" s="52">
        <f>$V$4*Performance!$E$12*(1/A265)+Performance!$E$23*(1/Constraints!$V$9)*Constraints!A265</f>
        <v>0.22058142007317438</v>
      </c>
      <c r="F265" s="52">
        <f xml:space="preserve"> 1.21 / (9.81 * Constraints!$N$7 * Performance!$E$15 * Constraints!$N$5 ) * Constraints!A265 + 0.605 /Performance!$E$15 * (Performance!$E$16  - Constraints!$N$6 * Performance!$E$14) + Constraints!$N$6</f>
        <v>0.32011314422476017</v>
      </c>
      <c r="G265" s="54" t="s">
        <v>198</v>
      </c>
      <c r="H265" s="55">
        <f>SQRT(2/$V$3 * A265 * SQRT(Performance!$E$23 / (3 * Performance!$E$12)))</f>
        <v>14.139796546302152</v>
      </c>
      <c r="I265" s="55">
        <f>SQRT(2/$V$3 * A265 * (SQRT(Performance!$E$23)/(SQRT(3*Performance!$E$12 + 4* Performance!$E$23 * Performance!$E$11^2) - SQRT(Performance!$E$23)*Performance!$E$11)))</f>
        <v>14.874147423639652</v>
      </c>
      <c r="J265" t="e">
        <f xml:space="preserve"> $AC$3/G265 + $AC$6/A265 * Performance!$E$12 + Performance!$E$23/Constraints!$AC$6 * Constraints!A265</f>
        <v>#VALUE!</v>
      </c>
      <c r="K265">
        <f xml:space="preserve"> $AC$3/H265 + $AC$6/A265 * Performance!$E$12 + Performance!$E$23/Constraints!$AC$6 * Constraints!A265</f>
        <v>0.78440772122495916</v>
      </c>
      <c r="L265">
        <f xml:space="preserve"> $AC$3/I265 + $AC$6/A265 * Performance!$E$12 + Performance!$E$23/Constraints!$AC$6 * Constraints!A265</f>
        <v>0.76667023430738879</v>
      </c>
      <c r="M265">
        <f>SIN($AC$9 * PI()/180) + 1/Performance!$AE$5</f>
        <v>0.24073077270730886</v>
      </c>
      <c r="N265">
        <f>SIN($AC$9 * PI()/180) + 1/Performance!$AE$8</f>
        <v>0.22738716112204788</v>
      </c>
      <c r="O265" s="60">
        <f>$AC$16 * (Performance!$E$12/Constraints!A265 + Performance!$E$23 * (Constraints!$AC$13/Constraints!$AC$17)^2 * Constraints!A265)</f>
        <v>2.4632908001353951E-4</v>
      </c>
      <c r="P265" t="e">
        <f t="shared" si="15"/>
        <v>#VALUE!</v>
      </c>
      <c r="Q265">
        <f t="shared" si="16"/>
        <v>52.496378532168478</v>
      </c>
      <c r="R265">
        <f t="shared" si="17"/>
        <v>58.090777171001093</v>
      </c>
      <c r="S265" t="e">
        <f xml:space="preserve"> 1.667/G265 + P265/A265 * Performance!$E$12 + Performance!$E$23 / Constraints!P265 * Constraints!A265</f>
        <v>#VALUE!</v>
      </c>
      <c r="T265">
        <f xml:space="preserve"> 1.667/H265 + Q265/A265 * Performance!$E$12 + Performance!$E$23 / Constraints!Q265 * Constraints!A265</f>
        <v>0.22380716742517448</v>
      </c>
      <c r="U265">
        <f xml:space="preserve"> 1.667/I265 + R265/A265 * Performance!$E$12 + Performance!$E$23 / Constraints!R265 * Constraints!A265</f>
        <v>0.21021639618432053</v>
      </c>
    </row>
    <row r="266" spans="1:21" x14ac:dyDescent="0.3">
      <c r="A266" s="51">
        <v>132</v>
      </c>
      <c r="B266" s="50">
        <f>$V$4*Performance!$E$12*(1/A266)+Performance!$E$23*(1/Constraints!$V$4)*Constraints!A266</f>
        <v>0.22037704887900464</v>
      </c>
      <c r="C266" s="50">
        <f>$V$5*Performance!$E$12*(1/A266)+Performance!$E$23*(1/Constraints!$V$5)*Constraints!A266</f>
        <v>0.3392168886139233</v>
      </c>
      <c r="D266" s="52">
        <f t="shared" si="14"/>
        <v>0.32045842804339758</v>
      </c>
      <c r="E266" s="52">
        <f>$V$4*Performance!$E$12*(1/A266)+Performance!$E$23*(1/Constraints!$V$9)*Constraints!A266</f>
        <v>0.21978091573667932</v>
      </c>
      <c r="F266" s="52">
        <f xml:space="preserve"> 1.21 / (9.81 * Constraints!$N$7 * Performance!$E$15 * Constraints!$N$5 ) * Constraints!A266 + 0.605 /Performance!$E$15 * (Performance!$E$16  - Constraints!$N$6 * Performance!$E$14) + Constraints!$N$6</f>
        <v>0.32038515237770604</v>
      </c>
      <c r="G266" s="54" t="s">
        <v>198</v>
      </c>
      <c r="H266" s="55">
        <f>SQRT(2/$V$3 * A266 * SQRT(Performance!$E$23 / (3 * Performance!$E$12)))</f>
        <v>14.16665278426315</v>
      </c>
      <c r="I266" s="55">
        <f>SQRT(2/$V$3 * A266 * (SQRT(Performance!$E$23)/(SQRT(3*Performance!$E$12 + 4* Performance!$E$23 * Performance!$E$11^2) - SQRT(Performance!$E$23)*Performance!$E$11)))</f>
        <v>14.902398441351833</v>
      </c>
      <c r="J266" t="e">
        <f xml:space="preserve"> $AC$3/G266 + $AC$6/A266 * Performance!$E$12 + Performance!$E$23/Constraints!$AC$6 * Constraints!A266</f>
        <v>#VALUE!</v>
      </c>
      <c r="K266">
        <f xml:space="preserve"> $AC$3/H266 + $AC$6/A266 * Performance!$E$12 + Performance!$E$23/Constraints!$AC$6 * Constraints!A266</f>
        <v>0.78532292316624386</v>
      </c>
      <c r="L266">
        <f xml:space="preserve"> $AC$3/I266 + $AC$6/A266 * Performance!$E$12 + Performance!$E$23/Constraints!$AC$6 * Constraints!A266</f>
        <v>0.7676190618465295</v>
      </c>
      <c r="M266">
        <f>SIN($AC$9 * PI()/180) + 1/Performance!$AE$5</f>
        <v>0.24073077270730886</v>
      </c>
      <c r="N266">
        <f>SIN($AC$9 * PI()/180) + 1/Performance!$AE$8</f>
        <v>0.22738716112204788</v>
      </c>
      <c r="O266" s="60">
        <f>$AC$16 * (Performance!$E$12/Constraints!A266 + Performance!$E$23 * (Constraints!$AC$13/Constraints!$AC$17)^2 * Constraints!A266)</f>
        <v>2.458473297963075E-4</v>
      </c>
      <c r="P266" t="e">
        <f t="shared" si="15"/>
        <v>#VALUE!</v>
      </c>
      <c r="Q266">
        <f t="shared" si="16"/>
        <v>52.695984534191943</v>
      </c>
      <c r="R266">
        <f t="shared" si="17"/>
        <v>58.311654650738745</v>
      </c>
      <c r="S266" t="e">
        <f xml:space="preserve"> 1.667/G266 + P266/A266 * Performance!$E$12 + Performance!$E$23 / Constraints!P266 * Constraints!A266</f>
        <v>#VALUE!</v>
      </c>
      <c r="T266">
        <f xml:space="preserve"> 1.667/H266 + Q266/A266 * Performance!$E$12 + Performance!$E$23 / Constraints!Q266 * Constraints!A266</f>
        <v>0.22358367111070554</v>
      </c>
      <c r="U266">
        <f xml:space="preserve"> 1.667/I266 + R266/A266 * Performance!$E$12 + Performance!$E$23 / Constraints!R266 * Constraints!A266</f>
        <v>0.21000393409654966</v>
      </c>
    </row>
    <row r="267" spans="1:21" x14ac:dyDescent="0.3">
      <c r="A267" s="51">
        <v>132.5</v>
      </c>
      <c r="B267" s="50">
        <f>$V$4*Performance!$E$12*(1/A267)+Performance!$E$23*(1/Constraints!$V$4)*Constraints!A267</f>
        <v>0.21958497660935536</v>
      </c>
      <c r="C267" s="50">
        <f>$V$5*Performance!$E$12*(1/A267)+Performance!$E$23*(1/Constraints!$V$5)*Constraints!A267</f>
        <v>0.33796215270682056</v>
      </c>
      <c r="D267" s="52">
        <f t="shared" si="14"/>
        <v>0.32073071375568318</v>
      </c>
      <c r="E267" s="52">
        <f>$V$4*Performance!$E$12*(1/A267)+Performance!$E$23*(1/Constraints!$V$9)*Constraints!A267</f>
        <v>0.21898658538694549</v>
      </c>
      <c r="F267" s="52">
        <f xml:space="preserve"> 1.21 / (9.81 * Constraints!$N$7 * Performance!$E$15 * Constraints!$N$5 ) * Constraints!A267 + 0.605 /Performance!$E$15 * (Performance!$E$16  - Constraints!$N$6 * Performance!$E$14) + Constraints!$N$6</f>
        <v>0.32065716053065191</v>
      </c>
      <c r="G267" s="54" t="s">
        <v>198</v>
      </c>
      <c r="H267" s="55">
        <f>SQRT(2/$V$3 * A267 * SQRT(Performance!$E$23 / (3 * Performance!$E$12)))</f>
        <v>14.193458206121697</v>
      </c>
      <c r="I267" s="55">
        <f>SQRT(2/$V$3 * A267 * (SQRT(Performance!$E$23)/(SQRT(3*Performance!$E$12 + 4* Performance!$E$23 * Performance!$E$11^2) - SQRT(Performance!$E$23)*Performance!$E$11)))</f>
        <v>14.930596003825329</v>
      </c>
      <c r="J267" t="e">
        <f xml:space="preserve"> $AC$3/G267 + $AC$6/A267 * Performance!$E$12 + Performance!$E$23/Constraints!$AC$6 * Constraints!A267</f>
        <v>#VALUE!</v>
      </c>
      <c r="K267">
        <f xml:space="preserve"> $AC$3/H267 + $AC$6/A267 * Performance!$E$12 + Performance!$E$23/Constraints!$AC$6 * Constraints!A267</f>
        <v>0.78624206005360464</v>
      </c>
      <c r="L267">
        <f xml:space="preserve"> $AC$3/I267 + $AC$6/A267 * Performance!$E$12 + Performance!$E$23/Constraints!$AC$6 * Constraints!A267</f>
        <v>0.76857163381815996</v>
      </c>
      <c r="M267">
        <f>SIN($AC$9 * PI()/180) + 1/Performance!$AE$5</f>
        <v>0.24073077270730886</v>
      </c>
      <c r="N267">
        <f>SIN($AC$9 * PI()/180) + 1/Performance!$AE$8</f>
        <v>0.22738716112204788</v>
      </c>
      <c r="O267" s="60">
        <f>$AC$16 * (Performance!$E$12/Constraints!A267 + Performance!$E$23 * (Constraints!$AC$13/Constraints!$AC$17)^2 * Constraints!A267)</f>
        <v>2.4537092173491871E-4</v>
      </c>
      <c r="P267" t="e">
        <f t="shared" si="15"/>
        <v>#VALUE!</v>
      </c>
      <c r="Q267">
        <f t="shared" si="16"/>
        <v>52.89559053621538</v>
      </c>
      <c r="R267">
        <f t="shared" si="17"/>
        <v>58.532532130476376</v>
      </c>
      <c r="S267" t="e">
        <f xml:space="preserve"> 1.667/G267 + P267/A267 * Performance!$E$12 + Performance!$E$23 / Constraints!P267 * Constraints!A267</f>
        <v>#VALUE!</v>
      </c>
      <c r="T267">
        <f xml:space="preserve"> 1.667/H267 + Q267/A267 * Performance!$E$12 + Performance!$E$23 / Constraints!Q267 * Constraints!A267</f>
        <v>0.22336144106619454</v>
      </c>
      <c r="U267">
        <f xml:space="preserve"> 1.667/I267 + R267/A267 * Performance!$E$12 + Performance!$E$23 / Constraints!R267 * Constraints!A267</f>
        <v>0.20979267576177829</v>
      </c>
    </row>
    <row r="268" spans="1:21" x14ac:dyDescent="0.3">
      <c r="A268" s="51">
        <v>133</v>
      </c>
      <c r="B268" s="50">
        <f>$V$4*Performance!$E$12*(1/A268)+Performance!$E$23*(1/Constraints!$V$4)*Constraints!A268</f>
        <v>0.21879900869503771</v>
      </c>
      <c r="C268" s="50">
        <f>$V$5*Performance!$E$12*(1/A268)+Performance!$E$23*(1/Constraints!$V$5)*Constraints!A268</f>
        <v>0.33671694630165921</v>
      </c>
      <c r="D268" s="52">
        <f t="shared" si="14"/>
        <v>0.32100299946796879</v>
      </c>
      <c r="E268" s="52">
        <f>$V$4*Performance!$E$12*(1/A268)+Performance!$E$23*(1/Constraints!$V$9)*Constraints!A268</f>
        <v>0.21819835939254326</v>
      </c>
      <c r="F268" s="52">
        <f xml:space="preserve"> 1.21 / (9.81 * Constraints!$N$7 * Performance!$E$15 * Constraints!$N$5 ) * Constraints!A268 + 0.605 /Performance!$E$15 * (Performance!$E$16  - Constraints!$N$6 * Performance!$E$14) + Constraints!$N$6</f>
        <v>0.32092916868359778</v>
      </c>
      <c r="G268" s="54" t="s">
        <v>198</v>
      </c>
      <c r="H268" s="55">
        <f>SQRT(2/$V$3 * A268 * SQRT(Performance!$E$23 / (3 * Performance!$E$12)))</f>
        <v>14.220213099246294</v>
      </c>
      <c r="I268" s="55">
        <f>SQRT(2/$V$3 * A268 * (SQRT(Performance!$E$23)/(SQRT(3*Performance!$E$12 + 4* Performance!$E$23 * Performance!$E$11^2) - SQRT(Performance!$E$23)*Performance!$E$11)))</f>
        <v>14.958740413353135</v>
      </c>
      <c r="J268" t="e">
        <f xml:space="preserve"> $AC$3/G268 + $AC$6/A268 * Performance!$E$12 + Performance!$E$23/Constraints!$AC$6 * Constraints!A268</f>
        <v>#VALUE!</v>
      </c>
      <c r="K268">
        <f xml:space="preserve"> $AC$3/H268 + $AC$6/A268 * Performance!$E$12 + Performance!$E$23/Constraints!$AC$6 * Constraints!A268</f>
        <v>0.78716509472717666</v>
      </c>
      <c r="L268">
        <f xml:space="preserve"> $AC$3/I268 + $AC$6/A268 * Performance!$E$12 + Performance!$E$23/Constraints!$AC$6 * Constraints!A268</f>
        <v>0.76952791485464478</v>
      </c>
      <c r="M268">
        <f>SIN($AC$9 * PI()/180) + 1/Performance!$AE$5</f>
        <v>0.24073077270730886</v>
      </c>
      <c r="N268">
        <f>SIN($AC$9 * PI()/180) + 1/Performance!$AE$8</f>
        <v>0.22738716112204788</v>
      </c>
      <c r="O268" s="60">
        <f>$AC$16 * (Performance!$E$12/Constraints!A268 + Performance!$E$23 * (Constraints!$AC$13/Constraints!$AC$17)^2 * Constraints!A268)</f>
        <v>2.4489979557949527E-4</v>
      </c>
      <c r="P268" t="e">
        <f t="shared" si="15"/>
        <v>#VALUE!</v>
      </c>
      <c r="Q268">
        <f t="shared" si="16"/>
        <v>53.095196538238831</v>
      </c>
      <c r="R268">
        <f t="shared" si="17"/>
        <v>58.753409610214028</v>
      </c>
      <c r="S268" t="e">
        <f xml:space="preserve"> 1.667/G268 + P268/A268 * Performance!$E$12 + Performance!$E$23 / Constraints!P268 * Constraints!A268</f>
        <v>#VALUE!</v>
      </c>
      <c r="T268">
        <f xml:space="preserve"> 1.667/H268 + Q268/A268 * Performance!$E$12 + Performance!$E$23 / Constraints!Q268 * Constraints!A268</f>
        <v>0.22314046537938748</v>
      </c>
      <c r="U268">
        <f xml:space="preserve"> 1.667/I268 + R268/A268 * Performance!$E$12 + Performance!$E$23 / Constraints!R268 * Constraints!A268</f>
        <v>0.20958260985587196</v>
      </c>
    </row>
    <row r="269" spans="1:21" x14ac:dyDescent="0.3">
      <c r="A269" s="51">
        <v>133.5</v>
      </c>
      <c r="B269" s="50">
        <f>$V$4*Performance!$E$12*(1/A269)+Performance!$E$23*(1/Constraints!$V$4)*Constraints!A269</f>
        <v>0.21801907654778954</v>
      </c>
      <c r="C269" s="50">
        <f>$V$5*Performance!$E$12*(1/A269)+Performance!$E$23*(1/Constraints!$V$5)*Constraints!A269</f>
        <v>0.33548116232538377</v>
      </c>
      <c r="D269" s="52">
        <f t="shared" si="14"/>
        <v>0.32127528518025433</v>
      </c>
      <c r="E269" s="52">
        <f>$V$4*Performance!$E$12*(1/A269)+Performance!$E$23*(1/Constraints!$V$9)*Constraints!A269</f>
        <v>0.21741616916521053</v>
      </c>
      <c r="F269" s="52">
        <f xml:space="preserve"> 1.21 / (9.81 * Constraints!$N$7 * Performance!$E$15 * Constraints!$N$5 ) * Constraints!A269 + 0.605 /Performance!$E$15 * (Performance!$E$16  - Constraints!$N$6 * Performance!$E$14) + Constraints!$N$6</f>
        <v>0.32120117683654359</v>
      </c>
      <c r="G269" s="54" t="s">
        <v>198</v>
      </c>
      <c r="H269" s="55">
        <f>SQRT(2/$V$3 * A269 * SQRT(Performance!$E$23 / (3 * Performance!$E$12)))</f>
        <v>14.246917748307121</v>
      </c>
      <c r="I269" s="55">
        <f>SQRT(2/$V$3 * A269 * (SQRT(Performance!$E$23)/(SQRT(3*Performance!$E$12 + 4* Performance!$E$23 * Performance!$E$11^2) - SQRT(Performance!$E$23)*Performance!$E$11)))</f>
        <v>14.986831969389787</v>
      </c>
      <c r="J269" t="e">
        <f xml:space="preserve"> $AC$3/G269 + $AC$6/A269 * Performance!$E$12 + Performance!$E$23/Constraints!$AC$6 * Constraints!A269</f>
        <v>#VALUE!</v>
      </c>
      <c r="K269">
        <f xml:space="preserve"> $AC$3/H269 + $AC$6/A269 * Performance!$E$12 + Performance!$E$23/Constraints!$AC$6 * Constraints!A269</f>
        <v>0.78809199051626466</v>
      </c>
      <c r="L269">
        <f xml:space="preserve"> $AC$3/I269 + $AC$6/A269 * Performance!$E$12 + Performance!$E$23/Constraints!$AC$6 * Constraints!A269</f>
        <v>0.77048787005400232</v>
      </c>
      <c r="M269">
        <f>SIN($AC$9 * PI()/180) + 1/Performance!$AE$5</f>
        <v>0.24073077270730886</v>
      </c>
      <c r="N269">
        <f>SIN($AC$9 * PI()/180) + 1/Performance!$AE$8</f>
        <v>0.22738716112204788</v>
      </c>
      <c r="O269" s="60">
        <f>$AC$16 * (Performance!$E$12/Constraints!A269 + Performance!$E$23 * (Constraints!$AC$13/Constraints!$AC$17)^2 * Constraints!A269)</f>
        <v>2.4443389198277915E-4</v>
      </c>
      <c r="P269" t="e">
        <f t="shared" si="15"/>
        <v>#VALUE!</v>
      </c>
      <c r="Q269">
        <f t="shared" si="16"/>
        <v>53.294802540262296</v>
      </c>
      <c r="R269">
        <f t="shared" si="17"/>
        <v>58.97428708995168</v>
      </c>
      <c r="S269" t="e">
        <f xml:space="preserve"> 1.667/G269 + P269/A269 * Performance!$E$12 + Performance!$E$23 / Constraints!P269 * Constraints!A269</f>
        <v>#VALUE!</v>
      </c>
      <c r="T269">
        <f xml:space="preserve"> 1.667/H269 + Q269/A269 * Performance!$E$12 + Performance!$E$23 / Constraints!Q269 * Constraints!A269</f>
        <v>0.2229207322943304</v>
      </c>
      <c r="U269">
        <f xml:space="preserve"> 1.667/I269 + R269/A269 * Performance!$E$12 + Performance!$E$23 / Constraints!R269 * Constraints!A269</f>
        <v>0.20937372520327935</v>
      </c>
    </row>
    <row r="270" spans="1:21" x14ac:dyDescent="0.3">
      <c r="A270" s="51">
        <v>134</v>
      </c>
      <c r="B270" s="50">
        <f>$V$4*Performance!$E$12*(1/A270)+Performance!$E$23*(1/Constraints!$V$4)*Constraints!A270</f>
        <v>0.21724511260305404</v>
      </c>
      <c r="C270" s="50">
        <f>$V$5*Performance!$E$12*(1/A270)+Performance!$E$23*(1/Constraints!$V$5)*Constraints!A270</f>
        <v>0.33425469530304386</v>
      </c>
      <c r="D270" s="52">
        <f t="shared" si="14"/>
        <v>0.32154757089253994</v>
      </c>
      <c r="E270" s="52">
        <f>$V$4*Performance!$E$12*(1/A270)+Performance!$E$23*(1/Constraints!$V$9)*Constraints!A270</f>
        <v>0.21663994714039048</v>
      </c>
      <c r="F270" s="52">
        <f xml:space="preserve"> 1.21 / (9.81 * Constraints!$N$7 * Performance!$E$15 * Constraints!$N$5 ) * Constraints!A270 + 0.605 /Performance!$E$15 * (Performance!$E$16  - Constraints!$N$6 * Performance!$E$14) + Constraints!$N$6</f>
        <v>0.32147318498948946</v>
      </c>
      <c r="G270" s="54" t="s">
        <v>198</v>
      </c>
      <c r="H270" s="55">
        <f>SQRT(2/$V$3 * A270 * SQRT(Performance!$E$23 / (3 * Performance!$E$12)))</f>
        <v>14.273572435311385</v>
      </c>
      <c r="I270" s="55">
        <f>SQRT(2/$V$3 * A270 * (SQRT(Performance!$E$23)/(SQRT(3*Performance!$E$12 + 4* Performance!$E$23 * Performance!$E$11^2) - SQRT(Performance!$E$23)*Performance!$E$11)))</f>
        <v>15.014870968588546</v>
      </c>
      <c r="J270" t="e">
        <f xml:space="preserve"> $AC$3/G270 + $AC$6/A270 * Performance!$E$12 + Performance!$E$23/Constraints!$AC$6 * Constraints!A270</f>
        <v>#VALUE!</v>
      </c>
      <c r="K270">
        <f xml:space="preserve"> $AC$3/H270 + $AC$6/A270 * Performance!$E$12 + Performance!$E$23/Constraints!$AC$6 * Constraints!A270</f>
        <v>0.78902271123109724</v>
      </c>
      <c r="L270">
        <f xml:space="preserve"> $AC$3/I270 + $AC$6/A270 * Performance!$E$12 + Performance!$E$23/Constraints!$AC$6 * Constraints!A270</f>
        <v>0.77145146497205452</v>
      </c>
      <c r="M270">
        <f>SIN($AC$9 * PI()/180) + 1/Performance!$AE$5</f>
        <v>0.24073077270730886</v>
      </c>
      <c r="N270">
        <f>SIN($AC$9 * PI()/180) + 1/Performance!$AE$8</f>
        <v>0.22738716112204788</v>
      </c>
      <c r="O270" s="60">
        <f>$AC$16 * (Performance!$E$12/Constraints!A270 + Performance!$E$23 * (Constraints!$AC$13/Constraints!$AC$17)^2 * Constraints!A270)</f>
        <v>2.4397315248329219E-4</v>
      </c>
      <c r="P270" t="e">
        <f t="shared" si="15"/>
        <v>#VALUE!</v>
      </c>
      <c r="Q270">
        <f t="shared" si="16"/>
        <v>53.494408542285747</v>
      </c>
      <c r="R270">
        <f t="shared" si="17"/>
        <v>59.195164569689318</v>
      </c>
      <c r="S270" t="e">
        <f xml:space="preserve"> 1.667/G270 + P270/A270 * Performance!$E$12 + Performance!$E$23 / Constraints!P270 * Constraints!A270</f>
        <v>#VALUE!</v>
      </c>
      <c r="T270">
        <f xml:space="preserve"> 1.667/H270 + Q270/A270 * Performance!$E$12 + Performance!$E$23 / Constraints!Q270 * Constraints!A270</f>
        <v>0.22270223020874247</v>
      </c>
      <c r="U270">
        <f xml:space="preserve"> 1.667/I270 + R270/A270 * Performance!$E$12 + Performance!$E$23 / Constraints!R270 * Constraints!A270</f>
        <v>0.20916601077453528</v>
      </c>
    </row>
    <row r="271" spans="1:21" x14ac:dyDescent="0.3">
      <c r="A271" s="51">
        <v>134.5</v>
      </c>
      <c r="B271" s="50">
        <f>$V$4*Performance!$E$12*(1/A271)+Performance!$E$23*(1/Constraints!$V$4)*Constraints!A271</f>
        <v>0.21647705030095199</v>
      </c>
      <c r="C271" s="50">
        <f>$V$5*Performance!$E$12*(1/A271)+Performance!$E$23*(1/Constraints!$V$5)*Constraints!A271</f>
        <v>0.33303744132809021</v>
      </c>
      <c r="D271" s="52">
        <f t="shared" si="14"/>
        <v>0.32181985660482554</v>
      </c>
      <c r="E271" s="52">
        <f>$V$4*Performance!$E$12*(1/A271)+Performance!$E$23*(1/Constraints!$V$9)*Constraints!A271</f>
        <v>0.21586962675820381</v>
      </c>
      <c r="F271" s="52">
        <f xml:space="preserve"> 1.21 / (9.81 * Constraints!$N$7 * Performance!$E$15 * Constraints!$N$5 ) * Constraints!A271 + 0.605 /Performance!$E$15 * (Performance!$E$16  - Constraints!$N$6 * Performance!$E$14) + Constraints!$N$6</f>
        <v>0.32174519314243533</v>
      </c>
      <c r="G271" s="54" t="s">
        <v>198</v>
      </c>
      <c r="H271" s="55">
        <f>SQRT(2/$V$3 * A271 * SQRT(Performance!$E$23 / (3 * Performance!$E$12)))</f>
        <v>14.300177439638066</v>
      </c>
      <c r="I271" s="55">
        <f>SQRT(2/$V$3 * A271 * (SQRT(Performance!$E$23)/(SQRT(3*Performance!$E$12 + 4* Performance!$E$23 * Performance!$E$11^2) - SQRT(Performance!$E$23)*Performance!$E$11)))</f>
        <v>15.042857704837953</v>
      </c>
      <c r="J271" t="e">
        <f xml:space="preserve"> $AC$3/G271 + $AC$6/A271 * Performance!$E$12 + Performance!$E$23/Constraints!$AC$6 * Constraints!A271</f>
        <v>#VALUE!</v>
      </c>
      <c r="K271">
        <f xml:space="preserve"> $AC$3/H271 + $AC$6/A271 * Performance!$E$12 + Performance!$E$23/Constraints!$AC$6 * Constraints!A271</f>
        <v>0.78995722115475175</v>
      </c>
      <c r="L271">
        <f xml:space="preserve"> $AC$3/I271 + $AC$6/A271 * Performance!$E$12 + Performance!$E$23/Constraints!$AC$6 * Constraints!A271</f>
        <v>0.77241866561473826</v>
      </c>
      <c r="M271">
        <f>SIN($AC$9 * PI()/180) + 1/Performance!$AE$5</f>
        <v>0.24073077270730886</v>
      </c>
      <c r="N271">
        <f>SIN($AC$9 * PI()/180) + 1/Performance!$AE$8</f>
        <v>0.22738716112204788</v>
      </c>
      <c r="O271" s="60">
        <f>$AC$16 * (Performance!$E$12/Constraints!A271 + Performance!$E$23 * (Constraints!$AC$13/Constraints!$AC$17)^2 * Constraints!A271)</f>
        <v>2.4351751948887209E-4</v>
      </c>
      <c r="P271" t="e">
        <f t="shared" si="15"/>
        <v>#VALUE!</v>
      </c>
      <c r="Q271">
        <f t="shared" si="16"/>
        <v>53.694014544309205</v>
      </c>
      <c r="R271">
        <f t="shared" si="17"/>
        <v>59.41604204942697</v>
      </c>
      <c r="S271" t="e">
        <f xml:space="preserve"> 1.667/G271 + P271/A271 * Performance!$E$12 + Performance!$E$23 / Constraints!P271 * Constraints!A271</f>
        <v>#VALUE!</v>
      </c>
      <c r="T271">
        <f xml:space="preserve"> 1.667/H271 + Q271/A271 * Performance!$E$12 + Performance!$E$23 / Constraints!Q271 * Constraints!A271</f>
        <v>0.2224849476714425</v>
      </c>
      <c r="U271">
        <f xml:space="preserve"> 1.667/I271 + R271/A271 * Performance!$E$12 + Performance!$E$23 / Constraints!R271 * Constraints!A271</f>
        <v>0.20895945568381441</v>
      </c>
    </row>
    <row r="272" spans="1:21" x14ac:dyDescent="0.3">
      <c r="A272" s="51">
        <v>135</v>
      </c>
      <c r="B272" s="50">
        <f>$V$4*Performance!$E$12*(1/A272)+Performance!$E$23*(1/Constraints!$V$4)*Constraints!A272</f>
        <v>0.21571482406767625</v>
      </c>
      <c r="C272" s="50">
        <f>$V$5*Performance!$E$12*(1/A272)+Performance!$E$23*(1/Constraints!$V$5)*Constraints!A272</f>
        <v>0.33182929803332956</v>
      </c>
      <c r="D272" s="52">
        <f t="shared" si="14"/>
        <v>0.32209214231711114</v>
      </c>
      <c r="E272" s="52">
        <f>$V$4*Performance!$E$12*(1/A272)+Performance!$E$23*(1/Constraints!$V$9)*Constraints!A272</f>
        <v>0.21510514244484352</v>
      </c>
      <c r="F272" s="52">
        <f xml:space="preserve"> 1.21 / (9.81 * Constraints!$N$7 * Performance!$E$15 * Constraints!$N$5 ) * Constraints!A272 + 0.605 /Performance!$E$15 * (Performance!$E$16  - Constraints!$N$6 * Performance!$E$14) + Constraints!$N$6</f>
        <v>0.32201720129538119</v>
      </c>
      <c r="G272" s="54" t="s">
        <v>198</v>
      </c>
      <c r="H272" s="55">
        <f>SQRT(2/$V$3 * A272 * SQRT(Performance!$E$23 / (3 * Performance!$E$12)))</f>
        <v>14.32673303807208</v>
      </c>
      <c r="I272" s="55">
        <f>SQRT(2/$V$3 * A272 * (SQRT(Performance!$E$23)/(SQRT(3*Performance!$E$12 + 4* Performance!$E$23 * Performance!$E$11^2) - SQRT(Performance!$E$23)*Performance!$E$11)))</f>
        <v>15.070792469297757</v>
      </c>
      <c r="J272" t="e">
        <f xml:space="preserve"> $AC$3/G272 + $AC$6/A272 * Performance!$E$12 + Performance!$E$23/Constraints!$AC$6 * Constraints!A272</f>
        <v>#VALUE!</v>
      </c>
      <c r="K272">
        <f xml:space="preserve"> $AC$3/H272 + $AC$6/A272 * Performance!$E$12 + Performance!$E$23/Constraints!$AC$6 * Constraints!A272</f>
        <v>0.79089548503524254</v>
      </c>
      <c r="L272">
        <f xml:space="preserve"> $AC$3/I272 + $AC$6/A272 * Performance!$E$12 + Performance!$E$23/Constraints!$AC$6 * Constraints!A272</f>
        <v>0.77338943843057351</v>
      </c>
      <c r="M272">
        <f>SIN($AC$9 * PI()/180) + 1/Performance!$AE$5</f>
        <v>0.24073077270730886</v>
      </c>
      <c r="N272">
        <f>SIN($AC$9 * PI()/180) + 1/Performance!$AE$8</f>
        <v>0.22738716112204788</v>
      </c>
      <c r="O272" s="60">
        <f>$AC$16 * (Performance!$E$12/Constraints!A272 + Performance!$E$23 * (Constraints!$AC$13/Constraints!$AC$17)^2 * Constraints!A272)</f>
        <v>2.4306693626057366E-4</v>
      </c>
      <c r="P272" t="e">
        <f t="shared" si="15"/>
        <v>#VALUE!</v>
      </c>
      <c r="Q272">
        <f t="shared" si="16"/>
        <v>53.893620546332649</v>
      </c>
      <c r="R272">
        <f t="shared" si="17"/>
        <v>59.636919529164615</v>
      </c>
      <c r="S272" t="e">
        <f xml:space="preserve"> 1.667/G272 + P272/A272 * Performance!$E$12 + Performance!$E$23 / Constraints!P272 * Constraints!A272</f>
        <v>#VALUE!</v>
      </c>
      <c r="T272">
        <f xml:space="preserve"> 1.667/H272 + Q272/A272 * Performance!$E$12 + Performance!$E$23 / Constraints!Q272 * Constraints!A272</f>
        <v>0.22226887337982865</v>
      </c>
      <c r="U272">
        <f xml:space="preserve"> 1.667/I272 + R272/A272 * Performance!$E$12 + Performance!$E$23 / Constraints!R272 * Constraints!A272</f>
        <v>0.20875404918653506</v>
      </c>
    </row>
    <row r="273" spans="1:21" x14ac:dyDescent="0.3">
      <c r="A273" s="51">
        <v>135.5</v>
      </c>
      <c r="B273" s="50">
        <f>$V$4*Performance!$E$12*(1/A273)+Performance!$E$23*(1/Constraints!$V$4)*Constraints!A273</f>
        <v>0.21495836929729889</v>
      </c>
      <c r="C273" s="50">
        <f>$V$5*Performance!$E$12*(1/A273)+Performance!$E$23*(1/Constraints!$V$5)*Constraints!A273</f>
        <v>0.33063016456252353</v>
      </c>
      <c r="D273" s="52">
        <f t="shared" si="14"/>
        <v>0.32236442802939674</v>
      </c>
      <c r="E273" s="52">
        <f>$V$4*Performance!$E$12*(1/A273)+Performance!$E$23*(1/Constraints!$V$9)*Constraints!A273</f>
        <v>0.2143464295943816</v>
      </c>
      <c r="F273" s="52">
        <f xml:space="preserve"> 1.21 / (9.81 * Constraints!$N$7 * Performance!$E$15 * Constraints!$N$5 ) * Constraints!A273 + 0.605 /Performance!$E$15 * (Performance!$E$16  - Constraints!$N$6 * Performance!$E$14) + Constraints!$N$6</f>
        <v>0.32228920944832706</v>
      </c>
      <c r="G273" s="54" t="s">
        <v>198</v>
      </c>
      <c r="H273" s="55">
        <f>SQRT(2/$V$3 * A273 * SQRT(Performance!$E$23 / (3 * Performance!$E$12)))</f>
        <v>14.353239504837875</v>
      </c>
      <c r="I273" s="55">
        <f>SQRT(2/$V$3 * A273 * (SQRT(Performance!$E$23)/(SQRT(3*Performance!$E$12 + 4* Performance!$E$23 * Performance!$E$11^2) - SQRT(Performance!$E$23)*Performance!$E$11)))</f>
        <v>15.098675550434264</v>
      </c>
      <c r="J273" t="e">
        <f xml:space="preserve"> $AC$3/G273 + $AC$6/A273 * Performance!$E$12 + Performance!$E$23/Constraints!$AC$6 * Constraints!A273</f>
        <v>#VALUE!</v>
      </c>
      <c r="K273">
        <f xml:space="preserve"> $AC$3/H273 + $AC$6/A273 * Performance!$E$12 + Performance!$E$23/Constraints!$AC$6 * Constraints!A273</f>
        <v>0.79183746807777178</v>
      </c>
      <c r="L273">
        <f xml:space="preserve"> $AC$3/I273 + $AC$6/A273 * Performance!$E$12 + Performance!$E$23/Constraints!$AC$6 * Constraints!A273</f>
        <v>0.77436375030328575</v>
      </c>
      <c r="M273">
        <f>SIN($AC$9 * PI()/180) + 1/Performance!$AE$5</f>
        <v>0.24073077270730886</v>
      </c>
      <c r="N273">
        <f>SIN($AC$9 * PI()/180) + 1/Performance!$AE$8</f>
        <v>0.22738716112204788</v>
      </c>
      <c r="O273" s="60">
        <f>$AC$16 * (Performance!$E$12/Constraints!A273 + Performance!$E$23 * (Constraints!$AC$13/Constraints!$AC$17)^2 * Constraints!A273)</f>
        <v>2.4262134689692687E-4</v>
      </c>
      <c r="P273" t="e">
        <f t="shared" si="15"/>
        <v>#VALUE!</v>
      </c>
      <c r="Q273">
        <f t="shared" si="16"/>
        <v>54.093226548356114</v>
      </c>
      <c r="R273">
        <f t="shared" si="17"/>
        <v>59.857797008902267</v>
      </c>
      <c r="S273" t="e">
        <f xml:space="preserve"> 1.667/G273 + P273/A273 * Performance!$E$12 + Performance!$E$23 / Constraints!P273 * Constraints!A273</f>
        <v>#VALUE!</v>
      </c>
      <c r="T273">
        <f xml:space="preserve"> 1.667/H273 + Q273/A273 * Performance!$E$12 + Performance!$E$23 / Constraints!Q273 * Constraints!A273</f>
        <v>0.22205399617740876</v>
      </c>
      <c r="U273">
        <f xml:space="preserve"> 1.667/I273 + R273/A273 * Performance!$E$12 + Performance!$E$23 / Constraints!R273 * Constraints!A273</f>
        <v>0.2085497806770118</v>
      </c>
    </row>
    <row r="274" spans="1:21" x14ac:dyDescent="0.3">
      <c r="A274" s="51">
        <v>136</v>
      </c>
      <c r="B274" s="50">
        <f>$V$4*Performance!$E$12*(1/A274)+Performance!$E$23*(1/Constraints!$V$4)*Constraints!A274</f>
        <v>0.21420762233397914</v>
      </c>
      <c r="C274" s="50">
        <f>$V$5*Performance!$E$12*(1/A274)+Performance!$E$23*(1/Constraints!$V$5)*Constraints!A274</f>
        <v>0.32943994154261391</v>
      </c>
      <c r="D274" s="52">
        <f t="shared" si="14"/>
        <v>0.32263671374168235</v>
      </c>
      <c r="E274" s="52">
        <f>$V$4*Performance!$E$12*(1/A274)+Performance!$E$23*(1/Constraints!$V$9)*Constraints!A274</f>
        <v>0.2135934245509773</v>
      </c>
      <c r="F274" s="52">
        <f xml:space="preserve"> 1.21 / (9.81 * Constraints!$N$7 * Performance!$E$15 * Constraints!$N$5 ) * Constraints!A274 + 0.605 /Performance!$E$15 * (Performance!$E$16  - Constraints!$N$6 * Performance!$E$14) + Constraints!$N$6</f>
        <v>0.32256121760127288</v>
      </c>
      <c r="G274" s="54" t="s">
        <v>198</v>
      </c>
      <c r="H274" s="55">
        <f>SQRT(2/$V$3 * A274 * SQRT(Performance!$E$23 / (3 * Performance!$E$12)))</f>
        <v>14.379697111632469</v>
      </c>
      <c r="I274" s="55">
        <f>SQRT(2/$V$3 * A274 * (SQRT(Performance!$E$23)/(SQRT(3*Performance!$E$12 + 4* Performance!$E$23 * Performance!$E$11^2) - SQRT(Performance!$E$23)*Performance!$E$11)))</f>
        <v>15.126507234055085</v>
      </c>
      <c r="J274" t="e">
        <f xml:space="preserve"> $AC$3/G274 + $AC$6/A274 * Performance!$E$12 + Performance!$E$23/Constraints!$AC$6 * Constraints!A274</f>
        <v>#VALUE!</v>
      </c>
      <c r="K274">
        <f xml:space="preserve"> $AC$3/H274 + $AC$6/A274 * Performance!$E$12 + Performance!$E$23/Constraints!$AC$6 * Constraints!A274</f>
        <v>0.79278313593713667</v>
      </c>
      <c r="L274">
        <f xml:space="preserve"> $AC$3/I274 + $AC$6/A274 * Performance!$E$12 + Performance!$E$23/Constraints!$AC$6 * Constraints!A274</f>
        <v>0.77534156854457659</v>
      </c>
      <c r="M274">
        <f>SIN($AC$9 * PI()/180) + 1/Performance!$AE$5</f>
        <v>0.24073077270730886</v>
      </c>
      <c r="N274">
        <f>SIN($AC$9 * PI()/180) + 1/Performance!$AE$8</f>
        <v>0.22738716112204788</v>
      </c>
      <c r="O274" s="60">
        <f>$AC$16 * (Performance!$E$12/Constraints!A274 + Performance!$E$23 * (Constraints!$AC$13/Constraints!$AC$17)^2 * Constraints!A274)</f>
        <v>2.4218069631854215E-4</v>
      </c>
      <c r="P274" t="e">
        <f t="shared" si="15"/>
        <v>#VALUE!</v>
      </c>
      <c r="Q274">
        <f t="shared" si="16"/>
        <v>54.292832550379572</v>
      </c>
      <c r="R274">
        <f t="shared" si="17"/>
        <v>60.078674488639905</v>
      </c>
      <c r="S274" t="e">
        <f xml:space="preserve"> 1.667/G274 + P274/A274 * Performance!$E$12 + Performance!$E$23 / Constraints!P274 * Constraints!A274</f>
        <v>#VALUE!</v>
      </c>
      <c r="T274">
        <f xml:space="preserve"> 1.667/H274 + Q274/A274 * Performance!$E$12 + Performance!$E$23 / Constraints!Q274 * Constraints!A274</f>
        <v>0.22184030505138089</v>
      </c>
      <c r="U274">
        <f xml:space="preserve"> 1.667/I274 + R274/A274 * Performance!$E$12 + Performance!$E$23 / Constraints!R274 * Constraints!A274</f>
        <v>0.2083466396861553</v>
      </c>
    </row>
    <row r="275" spans="1:21" x14ac:dyDescent="0.3">
      <c r="A275" s="51">
        <v>136.5</v>
      </c>
      <c r="B275" s="50">
        <f>$V$4*Performance!$E$12*(1/A275)+Performance!$E$23*(1/Constraints!$V$4)*Constraints!A275</f>
        <v>0.21346252045456252</v>
      </c>
      <c r="C275" s="50">
        <f>$V$5*Performance!$E$12*(1/A275)+Performance!$E$23*(1/Constraints!$V$5)*Constraints!A275</f>
        <v>0.32825853105655783</v>
      </c>
      <c r="D275" s="52">
        <f t="shared" si="14"/>
        <v>0.32290899945396795</v>
      </c>
      <c r="E275" s="52">
        <f>$V$4*Performance!$E$12*(1/A275)+Performance!$E$23*(1/Constraints!$V$9)*Constraints!A275</f>
        <v>0.21284606459147609</v>
      </c>
      <c r="F275" s="52">
        <f xml:space="preserve"> 1.21 / (9.81 * Constraints!$N$7 * Performance!$E$15 * Constraints!$N$5 ) * Constraints!A275 + 0.605 /Performance!$E$15 * (Performance!$E$16  - Constraints!$N$6 * Performance!$E$14) + Constraints!$N$6</f>
        <v>0.32283322575421874</v>
      </c>
      <c r="G275" s="54" t="s">
        <v>198</v>
      </c>
      <c r="H275" s="55">
        <f>SQRT(2/$V$3 * A275 * SQRT(Performance!$E$23 / (3 * Performance!$E$12)))</f>
        <v>14.406106127657941</v>
      </c>
      <c r="I275" s="55">
        <f>SQRT(2/$V$3 * A275 * (SQRT(Performance!$E$23)/(SQRT(3*Performance!$E$12 + 4* Performance!$E$23 * Performance!$E$11^2) - SQRT(Performance!$E$23)*Performance!$E$11)))</f>
        <v>15.154287803343324</v>
      </c>
      <c r="J275" t="e">
        <f xml:space="preserve"> $AC$3/G275 + $AC$6/A275 * Performance!$E$12 + Performance!$E$23/Constraints!$AC$6 * Constraints!A275</f>
        <v>#VALUE!</v>
      </c>
      <c r="K275">
        <f xml:space="preserve"> $AC$3/H275 + $AC$6/A275 * Performance!$E$12 + Performance!$E$23/Constraints!$AC$6 * Constraints!A275</f>
        <v>0.79373245471029075</v>
      </c>
      <c r="L275">
        <f xml:space="preserve"> $AC$3/I275 + $AC$6/A275 * Performance!$E$12 + Performance!$E$23/Constraints!$AC$6 * Constraints!A275</f>
        <v>0.77632286088704183</v>
      </c>
      <c r="M275">
        <f>SIN($AC$9 * PI()/180) + 1/Performance!$AE$5</f>
        <v>0.24073077270730886</v>
      </c>
      <c r="N275">
        <f>SIN($AC$9 * PI()/180) + 1/Performance!$AE$8</f>
        <v>0.22738716112204788</v>
      </c>
      <c r="O275" s="60">
        <f>$AC$16 * (Performance!$E$12/Constraints!A275 + Performance!$E$23 * (Constraints!$AC$13/Constraints!$AC$17)^2 * Constraints!A275)</f>
        <v>2.4174493025305409E-4</v>
      </c>
      <c r="P275" t="e">
        <f t="shared" si="15"/>
        <v>#VALUE!</v>
      </c>
      <c r="Q275">
        <f t="shared" si="16"/>
        <v>54.492438552403009</v>
      </c>
      <c r="R275">
        <f t="shared" si="17"/>
        <v>60.299551968377557</v>
      </c>
      <c r="S275" t="e">
        <f xml:space="preserve"> 1.667/G275 + P275/A275 * Performance!$E$12 + Performance!$E$23 / Constraints!P275 * Constraints!A275</f>
        <v>#VALUE!</v>
      </c>
      <c r="T275">
        <f xml:space="preserve"> 1.667/H275 + Q275/A275 * Performance!$E$12 + Performance!$E$23 / Constraints!Q275 * Constraints!A275</f>
        <v>0.22162778913026271</v>
      </c>
      <c r="U275">
        <f xml:space="preserve"> 1.667/I275 + R275/A275 * Performance!$E$12 + Performance!$E$23 / Constraints!R275 * Constraints!A275</f>
        <v>0.20814461587921856</v>
      </c>
    </row>
    <row r="276" spans="1:21" x14ac:dyDescent="0.3">
      <c r="A276" s="51">
        <v>137</v>
      </c>
      <c r="B276" s="50">
        <f>$V$4*Performance!$E$12*(1/A276)+Performance!$E$23*(1/Constraints!$V$4)*Constraints!A276</f>
        <v>0.21272300185156098</v>
      </c>
      <c r="C276" s="50">
        <f>$V$5*Performance!$E$12*(1/A276)+Performance!$E$23*(1/Constraints!$V$5)*Constraints!A276</f>
        <v>0.32708583661675833</v>
      </c>
      <c r="D276" s="52">
        <f t="shared" si="14"/>
        <v>0.32318128516625355</v>
      </c>
      <c r="E276" s="52">
        <f>$V$4*Performance!$E$12*(1/A276)+Performance!$E$23*(1/Constraints!$V$9)*Constraints!A276</f>
        <v>0.21210428790839</v>
      </c>
      <c r="F276" s="52">
        <f xml:space="preserve"> 1.21 / (9.81 * Constraints!$N$7 * Performance!$E$15 * Constraints!$N$5 ) * Constraints!A276 + 0.605 /Performance!$E$15 * (Performance!$E$16  - Constraints!$N$6 * Performance!$E$14) + Constraints!$N$6</f>
        <v>0.32310523390716461</v>
      </c>
      <c r="G276" s="54" t="s">
        <v>198</v>
      </c>
      <c r="H276" s="55">
        <f>SQRT(2/$V$3 * A276 * SQRT(Performance!$E$23 / (3 * Performance!$E$12)))</f>
        <v>14.432466819653397</v>
      </c>
      <c r="I276" s="55">
        <f>SQRT(2/$V$3 * A276 * (SQRT(Performance!$E$23)/(SQRT(3*Performance!$E$12 + 4* Performance!$E$23 * Performance!$E$11^2) - SQRT(Performance!$E$23)*Performance!$E$11)))</f>
        <v>15.182017538891188</v>
      </c>
      <c r="J276" t="e">
        <f xml:space="preserve"> $AC$3/G276 + $AC$6/A276 * Performance!$E$12 + Performance!$E$23/Constraints!$AC$6 * Constraints!A276</f>
        <v>#VALUE!</v>
      </c>
      <c r="K276">
        <f xml:space="preserve"> $AC$3/H276 + $AC$6/A276 * Performance!$E$12 + Performance!$E$23/Constraints!$AC$6 * Constraints!A276</f>
        <v>0.7946853909290541</v>
      </c>
      <c r="L276">
        <f xml:space="preserve"> $AC$3/I276 + $AC$6/A276 * Performance!$E$12 + Performance!$E$23/Constraints!$AC$6 * Constraints!A276</f>
        <v>0.77730759547723238</v>
      </c>
      <c r="M276">
        <f>SIN($AC$9 * PI()/180) + 1/Performance!$AE$5</f>
        <v>0.24073077270730886</v>
      </c>
      <c r="N276">
        <f>SIN($AC$9 * PI()/180) + 1/Performance!$AE$8</f>
        <v>0.22738716112204788</v>
      </c>
      <c r="O276" s="60">
        <f>$AC$16 * (Performance!$E$12/Constraints!A276 + Performance!$E$23 * (Constraints!$AC$13/Constraints!$AC$17)^2 * Constraints!A276)</f>
        <v>2.4131399522039437E-4</v>
      </c>
      <c r="P276" t="e">
        <f t="shared" si="15"/>
        <v>#VALUE!</v>
      </c>
      <c r="Q276">
        <f t="shared" si="16"/>
        <v>54.692044554426481</v>
      </c>
      <c r="R276">
        <f t="shared" si="17"/>
        <v>60.520429448115202</v>
      </c>
      <c r="S276" t="e">
        <f xml:space="preserve"> 1.667/G276 + P276/A276 * Performance!$E$12 + Performance!$E$23 / Constraints!P276 * Constraints!A276</f>
        <v>#VALUE!</v>
      </c>
      <c r="T276">
        <f xml:space="preserve"> 1.667/H276 + Q276/A276 * Performance!$E$12 + Performance!$E$23 / Constraints!Q276 * Constraints!A276</f>
        <v>0.22141643768156821</v>
      </c>
      <c r="U276">
        <f xml:space="preserve"> 1.667/I276 + R276/A276 * Performance!$E$12 + Performance!$E$23 / Constraints!R276 * Constraints!A276</f>
        <v>0.20794369905358889</v>
      </c>
    </row>
    <row r="277" spans="1:21" x14ac:dyDescent="0.3">
      <c r="A277" s="51">
        <v>137.5</v>
      </c>
      <c r="B277" s="50">
        <f>$V$4*Performance!$E$12*(1/A277)+Performance!$E$23*(1/Constraints!$V$4)*Constraints!A277</f>
        <v>0.21198900561650461</v>
      </c>
      <c r="C277" s="50">
        <f>$V$5*Performance!$E$12*(1/A277)+Performance!$E$23*(1/Constraints!$V$5)*Constraints!A277</f>
        <v>0.32592176313907451</v>
      </c>
      <c r="D277" s="52">
        <f t="shared" si="14"/>
        <v>0.32345357087853915</v>
      </c>
      <c r="E277" s="52">
        <f>$V$4*Performance!$E$12*(1/A277)+Performance!$E$23*(1/Constraints!$V$9)*Constraints!A277</f>
        <v>0.21136803359324907</v>
      </c>
      <c r="F277" s="52">
        <f xml:space="preserve"> 1.21 / (9.81 * Constraints!$N$7 * Performance!$E$15 * Constraints!$N$5 ) * Constraints!A277 + 0.605 /Performance!$E$15 * (Performance!$E$16  - Constraints!$N$6 * Performance!$E$14) + Constraints!$N$6</f>
        <v>0.32337724206011048</v>
      </c>
      <c r="G277" s="54" t="s">
        <v>198</v>
      </c>
      <c r="H277" s="55">
        <f>SQRT(2/$V$3 * A277 * SQRT(Performance!$E$23 / (3 * Performance!$E$12)))</f>
        <v>14.458779451926389</v>
      </c>
      <c r="I277" s="55">
        <f>SQRT(2/$V$3 * A277 * (SQRT(Performance!$E$23)/(SQRT(3*Performance!$E$12 + 4* Performance!$E$23 * Performance!$E$11^2) - SQRT(Performance!$E$23)*Performance!$E$11)))</f>
        <v>15.209696718733055</v>
      </c>
      <c r="J277" t="e">
        <f xml:space="preserve"> $AC$3/G277 + $AC$6/A277 * Performance!$E$12 + Performance!$E$23/Constraints!$AC$6 * Constraints!A277</f>
        <v>#VALUE!</v>
      </c>
      <c r="K277">
        <f xml:space="preserve"> $AC$3/H277 + $AC$6/A277 * Performance!$E$12 + Performance!$E$23/Constraints!$AC$6 * Constraints!A277</f>
        <v>0.79564191155297104</v>
      </c>
      <c r="L277">
        <f xml:space="preserve"> $AC$3/I277 + $AC$6/A277 * Performance!$E$12 + Performance!$E$23/Constraints!$AC$6 * Constraints!A277</f>
        <v>0.77829574086885256</v>
      </c>
      <c r="M277">
        <f>SIN($AC$9 * PI()/180) + 1/Performance!$AE$5</f>
        <v>0.24073077270730886</v>
      </c>
      <c r="N277">
        <f>SIN($AC$9 * PI()/180) + 1/Performance!$AE$8</f>
        <v>0.22738716112204788</v>
      </c>
      <c r="O277" s="60">
        <f>$AC$16 * (Performance!$E$12/Constraints!A277 + Performance!$E$23 * (Constraints!$AC$13/Constraints!$AC$17)^2 * Constraints!A277)</f>
        <v>2.4088783851838671E-4</v>
      </c>
      <c r="P277" t="e">
        <f t="shared" si="15"/>
        <v>#VALUE!</v>
      </c>
      <c r="Q277">
        <f t="shared" si="16"/>
        <v>54.891650556449932</v>
      </c>
      <c r="R277">
        <f t="shared" si="17"/>
        <v>60.74130692785284</v>
      </c>
      <c r="S277" t="e">
        <f xml:space="preserve"> 1.667/G277 + P277/A277 * Performance!$E$12 + Performance!$E$23 / Constraints!P277 * Constraints!A277</f>
        <v>#VALUE!</v>
      </c>
      <c r="T277">
        <f xml:space="preserve"> 1.667/H277 + Q277/A277 * Performance!$E$12 + Performance!$E$23 / Constraints!Q277 * Constraints!A277</f>
        <v>0.22120624010953147</v>
      </c>
      <c r="U277">
        <f xml:space="preserve"> 1.667/I277 + R277/A277 * Performance!$E$12 + Performance!$E$23 / Constraints!R277 * Constraints!A277</f>
        <v>0.20774387913662326</v>
      </c>
    </row>
    <row r="278" spans="1:21" x14ac:dyDescent="0.3">
      <c r="A278" s="51">
        <v>138</v>
      </c>
      <c r="B278" s="50">
        <f>$V$4*Performance!$E$12*(1/A278)+Performance!$E$23*(1/Constraints!$V$4)*Constraints!A278</f>
        <v>0.21126047172365489</v>
      </c>
      <c r="C278" s="50">
        <f>$V$5*Performance!$E$12*(1/A278)+Performance!$E$23*(1/Constraints!$V$5)*Constraints!A278</f>
        <v>0.32476621691739632</v>
      </c>
      <c r="D278" s="52">
        <f t="shared" si="14"/>
        <v>0.32372585659082476</v>
      </c>
      <c r="E278" s="52">
        <f>$V$4*Performance!$E$12*(1/A278)+Performance!$E$23*(1/Constraints!$V$9)*Constraints!A278</f>
        <v>0.21063724162031477</v>
      </c>
      <c r="F278" s="52">
        <f xml:space="preserve"> 1.21 / (9.81 * Constraints!$N$7 * Performance!$E$15 * Constraints!$N$5 ) * Constraints!A278 + 0.605 /Performance!$E$15 * (Performance!$E$16  - Constraints!$N$6 * Performance!$E$14) + Constraints!$N$6</f>
        <v>0.32364925021305629</v>
      </c>
      <c r="G278" s="54" t="s">
        <v>198</v>
      </c>
      <c r="H278" s="55">
        <f>SQRT(2/$V$3 * A278 * SQRT(Performance!$E$23 / (3 * Performance!$E$12)))</f>
        <v>14.485044286383847</v>
      </c>
      <c r="I278" s="55">
        <f>SQRT(2/$V$3 * A278 * (SQRT(Performance!$E$23)/(SQRT(3*Performance!$E$12 + 4* Performance!$E$23 * Performance!$E$11^2) - SQRT(Performance!$E$23)*Performance!$E$11)))</f>
        <v>15.237325618378</v>
      </c>
      <c r="J278" t="e">
        <f xml:space="preserve"> $AC$3/G278 + $AC$6/A278 * Performance!$E$12 + Performance!$E$23/Constraints!$AC$6 * Constraints!A278</f>
        <v>#VALUE!</v>
      </c>
      <c r="K278">
        <f xml:space="preserve"> $AC$3/H278 + $AC$6/A278 * Performance!$E$12 + Performance!$E$23/Constraints!$AC$6 * Constraints!A278</f>
        <v>0.79660198396231019</v>
      </c>
      <c r="L278">
        <f xml:space="preserve"> $AC$3/I278 + $AC$6/A278 * Performance!$E$12 + Performance!$E$23/Constraints!$AC$6 * Constraints!A278</f>
        <v>0.77928726601609721</v>
      </c>
      <c r="M278">
        <f>SIN($AC$9 * PI()/180) + 1/Performance!$AE$5</f>
        <v>0.24073077270730886</v>
      </c>
      <c r="N278">
        <f>SIN($AC$9 * PI()/180) + 1/Performance!$AE$8</f>
        <v>0.22738716112204788</v>
      </c>
      <c r="O278" s="60">
        <f>$AC$16 * (Performance!$E$12/Constraints!A278 + Performance!$E$23 * (Constraints!$AC$13/Constraints!$AC$17)^2 * Constraints!A278)</f>
        <v>2.4046640820865449E-4</v>
      </c>
      <c r="P278" t="e">
        <f t="shared" si="15"/>
        <v>#VALUE!</v>
      </c>
      <c r="Q278">
        <f t="shared" si="16"/>
        <v>55.09125655847339</v>
      </c>
      <c r="R278">
        <f t="shared" si="17"/>
        <v>60.962184407590499</v>
      </c>
      <c r="S278" t="e">
        <f xml:space="preserve"> 1.667/G278 + P278/A278 * Performance!$E$12 + Performance!$E$23 / Constraints!P278 * Constraints!A278</f>
        <v>#VALUE!</v>
      </c>
      <c r="T278">
        <f xml:space="preserve"> 1.667/H278 + Q278/A278 * Performance!$E$12 + Performance!$E$23 / Constraints!Q278 * Constraints!A278</f>
        <v>0.22099718595287521</v>
      </c>
      <c r="U278">
        <f xml:space="preserve"> 1.667/I278 + R278/A278 * Performance!$E$12 + Performance!$E$23 / Constraints!R278 * Constraints!A278</f>
        <v>0.20754514618352771</v>
      </c>
    </row>
    <row r="279" spans="1:21" x14ac:dyDescent="0.3">
      <c r="A279" s="51">
        <v>138.5</v>
      </c>
      <c r="B279" s="50">
        <f>$V$4*Performance!$E$12*(1/A279)+Performance!$E$23*(1/Constraints!$V$4)*Constraints!A279</f>
        <v>0.21053734101407084</v>
      </c>
      <c r="C279" s="50">
        <f>$V$5*Performance!$E$12*(1/A279)+Performance!$E$23*(1/Constraints!$V$5)*Constraints!A279</f>
        <v>0.32361910559877072</v>
      </c>
      <c r="D279" s="52">
        <f t="shared" ref="D279:D342" si="18">1.21/(9.8*$N$7*$N$8*$N$5)*A279+0.605/$N$8*($N$11-$N$6*$N$10)+$N$6</f>
        <v>0.3239981423031103</v>
      </c>
      <c r="E279" s="52">
        <f>$V$4*Performance!$E$12*(1/A279)+Performance!$E$23*(1/Constraints!$V$9)*Constraints!A279</f>
        <v>0.20991185283064617</v>
      </c>
      <c r="F279" s="52">
        <f xml:space="preserve"> 1.21 / (9.81 * Constraints!$N$7 * Performance!$E$15 * Constraints!$N$5 ) * Constraints!A279 + 0.605 /Performance!$E$15 * (Performance!$E$16  - Constraints!$N$6 * Performance!$E$14) + Constraints!$N$6</f>
        <v>0.32392125836600216</v>
      </c>
      <c r="G279" s="54" t="s">
        <v>198</v>
      </c>
      <c r="H279" s="55">
        <f>SQRT(2/$V$3 * A279 * SQRT(Performance!$E$23 / (3 * Performance!$E$12)))</f>
        <v>14.511261582562485</v>
      </c>
      <c r="I279" s="55">
        <f>SQRT(2/$V$3 * A279 * (SQRT(Performance!$E$23)/(SQRT(3*Performance!$E$12 + 4* Performance!$E$23 * Performance!$E$11^2) - SQRT(Performance!$E$23)*Performance!$E$11)))</f>
        <v>15.264904510841784</v>
      </c>
      <c r="J279" t="e">
        <f xml:space="preserve"> $AC$3/G279 + $AC$6/A279 * Performance!$E$12 + Performance!$E$23/Constraints!$AC$6 * Constraints!A279</f>
        <v>#VALUE!</v>
      </c>
      <c r="K279">
        <f xml:space="preserve"> $AC$3/H279 + $AC$6/A279 * Performance!$E$12 + Performance!$E$23/Constraints!$AC$6 * Constraints!A279</f>
        <v>0.79756557595120359</v>
      </c>
      <c r="L279">
        <f xml:space="preserve"> $AC$3/I279 + $AC$6/A279 * Performance!$E$12 + Performance!$E$23/Constraints!$AC$6 * Constraints!A279</f>
        <v>0.7802821402671194</v>
      </c>
      <c r="M279">
        <f>SIN($AC$9 * PI()/180) + 1/Performance!$AE$5</f>
        <v>0.24073077270730886</v>
      </c>
      <c r="N279">
        <f>SIN($AC$9 * PI()/180) + 1/Performance!$AE$8</f>
        <v>0.22738716112204788</v>
      </c>
      <c r="O279" s="60">
        <f>$AC$16 * (Performance!$E$12/Constraints!A279 + Performance!$E$23 * (Constraints!$AC$13/Constraints!$AC$17)^2 * Constraints!A279)</f>
        <v>2.4004965310283374E-4</v>
      </c>
      <c r="P279" t="e">
        <f t="shared" ref="P279:P342" si="19" xml:space="preserve"> 0.5 * $AJ$4 * G279^2</f>
        <v>#VALUE!</v>
      </c>
      <c r="Q279">
        <f t="shared" ref="Q279:Q342" si="20" xml:space="preserve"> 0.5 * $AJ$4 * H279^2</f>
        <v>55.290862560496841</v>
      </c>
      <c r="R279">
        <f t="shared" ref="R279:R342" si="21" xml:space="preserve"> 0.5 * $AJ$4 * I279^2</f>
        <v>61.18306188732813</v>
      </c>
      <c r="S279" t="e">
        <f xml:space="preserve"> 1.667/G279 + P279/A279 * Performance!$E$12 + Performance!$E$23 / Constraints!P279 * Constraints!A279</f>
        <v>#VALUE!</v>
      </c>
      <c r="T279">
        <f xml:space="preserve"> 1.667/H279 + Q279/A279 * Performance!$E$12 + Performance!$E$23 / Constraints!Q279 * Constraints!A279</f>
        <v>0.22078926488262413</v>
      </c>
      <c r="U279">
        <f xml:space="preserve"> 1.667/I279 + R279/A279 * Performance!$E$12 + Performance!$E$23 / Constraints!R279 * Constraints!A279</f>
        <v>0.20734749037527836</v>
      </c>
    </row>
    <row r="280" spans="1:21" x14ac:dyDescent="0.3">
      <c r="A280" s="51">
        <v>139</v>
      </c>
      <c r="B280" s="50">
        <f>$V$4*Performance!$E$12*(1/A280)+Performance!$E$23*(1/Constraints!$V$4)*Constraints!A280</f>
        <v>0.20981955518001949</v>
      </c>
      <c r="C280" s="50">
        <f>$V$5*Performance!$E$12*(1/A280)+Performance!$E$23*(1/Constraints!$V$5)*Constraints!A280</f>
        <v>0.32248033815906402</v>
      </c>
      <c r="D280" s="52">
        <f t="shared" si="18"/>
        <v>0.32427042801539591</v>
      </c>
      <c r="E280" s="52">
        <f>$V$4*Performance!$E$12*(1/A280)+Performance!$E$23*(1/Constraints!$V$9)*Constraints!A280</f>
        <v>0.20919180891651026</v>
      </c>
      <c r="F280" s="52">
        <f xml:space="preserve"> 1.21 / (9.81 * Constraints!$N$7 * Performance!$E$15 * Constraints!$N$5 ) * Constraints!A280 + 0.605 /Performance!$E$15 * (Performance!$E$16  - Constraints!$N$6 * Performance!$E$14) + Constraints!$N$6</f>
        <v>0.32419326651894803</v>
      </c>
      <c r="G280" s="54" t="s">
        <v>198</v>
      </c>
      <c r="H280" s="55">
        <f>SQRT(2/$V$3 * A280 * SQRT(Performance!$E$23 / (3 * Performance!$E$12)))</f>
        <v>14.537431597658728</v>
      </c>
      <c r="I280" s="55">
        <f>SQRT(2/$V$3 * A280 * (SQRT(Performance!$E$23)/(SQRT(3*Performance!$E$12 + 4* Performance!$E$23 * Performance!$E$11^2) - SQRT(Performance!$E$23)*Performance!$E$11)))</f>
        <v>15.292433666678345</v>
      </c>
      <c r="J280" t="e">
        <f xml:space="preserve"> $AC$3/G280 + $AC$6/A280 * Performance!$E$12 + Performance!$E$23/Constraints!$AC$6 * Constraints!A280</f>
        <v>#VALUE!</v>
      </c>
      <c r="K280">
        <f xml:space="preserve"> $AC$3/H280 + $AC$6/A280 * Performance!$E$12 + Performance!$E$23/Constraints!$AC$6 * Constraints!A280</f>
        <v>0.79853265572092236</v>
      </c>
      <c r="L280">
        <f xml:space="preserve"> $AC$3/I280 + $AC$6/A280 * Performance!$E$12 + Performance!$E$23/Constraints!$AC$6 * Constraints!A280</f>
        <v>0.78128033335762859</v>
      </c>
      <c r="M280">
        <f>SIN($AC$9 * PI()/180) + 1/Performance!$AE$5</f>
        <v>0.24073077270730886</v>
      </c>
      <c r="N280">
        <f>SIN($AC$9 * PI()/180) + 1/Performance!$AE$8</f>
        <v>0.22738716112204788</v>
      </c>
      <c r="O280" s="60">
        <f>$AC$16 * (Performance!$E$12/Constraints!A280 + Performance!$E$23 * (Constraints!$AC$13/Constraints!$AC$17)^2 * Constraints!A280)</f>
        <v>2.3963752274908356E-4</v>
      </c>
      <c r="P280" t="e">
        <f t="shared" si="19"/>
        <v>#VALUE!</v>
      </c>
      <c r="Q280">
        <f t="shared" si="20"/>
        <v>55.490468562520292</v>
      </c>
      <c r="R280">
        <f t="shared" si="21"/>
        <v>61.403939367065789</v>
      </c>
      <c r="S280" t="e">
        <f xml:space="preserve"> 1.667/G280 + P280/A280 * Performance!$E$12 + Performance!$E$23 / Constraints!P280 * Constraints!A280</f>
        <v>#VALUE!</v>
      </c>
      <c r="T280">
        <f xml:space="preserve"> 1.667/H280 + Q280/A280 * Performance!$E$12 + Performance!$E$23 / Constraints!Q280 * Constraints!A280</f>
        <v>0.22058246669996134</v>
      </c>
      <c r="U280">
        <f xml:space="preserve"> 1.667/I280 + R280/A280 * Performance!$E$12 + Performance!$E$23 / Constraints!R280 * Constraints!A280</f>
        <v>0.20715090201658359</v>
      </c>
    </row>
    <row r="281" spans="1:21" x14ac:dyDescent="0.3">
      <c r="A281" s="51">
        <v>139.5</v>
      </c>
      <c r="B281" s="50">
        <f>$V$4*Performance!$E$12*(1/A281)+Performance!$E$23*(1/Constraints!$V$4)*Constraints!A281</f>
        <v>0.20910705674972088</v>
      </c>
      <c r="C281" s="50">
        <f>$V$5*Performance!$E$12*(1/A281)+Performance!$E$23*(1/Constraints!$V$5)*Constraints!A281</f>
        <v>0.32134982487914793</v>
      </c>
      <c r="D281" s="52">
        <f t="shared" si="18"/>
        <v>0.32454271372768151</v>
      </c>
      <c r="E281" s="52">
        <f>$V$4*Performance!$E$12*(1/A281)+Performance!$E$23*(1/Constraints!$V$9)*Constraints!A281</f>
        <v>0.20847705240612707</v>
      </c>
      <c r="F281" s="52">
        <f xml:space="preserve"> 1.21 / (9.81 * Constraints!$N$7 * Performance!$E$15 * Constraints!$N$5 ) * Constraints!A281 + 0.605 /Performance!$E$15 * (Performance!$E$16  - Constraints!$N$6 * Performance!$E$14) + Constraints!$N$6</f>
        <v>0.3244652746718939</v>
      </c>
      <c r="G281" s="54" t="s">
        <v>198</v>
      </c>
      <c r="H281" s="55">
        <f>SQRT(2/$V$3 * A281 * SQRT(Performance!$E$23 / (3 * Performance!$E$12)))</f>
        <v>14.563554586558149</v>
      </c>
      <c r="I281" s="55">
        <f>SQRT(2/$V$3 * A281 * (SQRT(Performance!$E$23)/(SQRT(3*Performance!$E$12 + 4* Performance!$E$23 * Performance!$E$11^2) - SQRT(Performance!$E$23)*Performance!$E$11)))</f>
        <v>15.319913354010744</v>
      </c>
      <c r="J281" t="e">
        <f xml:space="preserve"> $AC$3/G281 + $AC$6/A281 * Performance!$E$12 + Performance!$E$23/Constraints!$AC$6 * Constraints!A281</f>
        <v>#VALUE!</v>
      </c>
      <c r="K281">
        <f xml:space="preserve"> $AC$3/H281 + $AC$6/A281 * Performance!$E$12 + Performance!$E$23/Constraints!$AC$6 * Constraints!A281</f>
        <v>0.79950319187328556</v>
      </c>
      <c r="L281">
        <f xml:space="preserve"> $AC$3/I281 + $AC$6/A281 * Performance!$E$12 + Performance!$E$23/Constraints!$AC$6 * Constraints!A281</f>
        <v>0.78228181540461561</v>
      </c>
      <c r="M281">
        <f>SIN($AC$9 * PI()/180) + 1/Performance!$AE$5</f>
        <v>0.24073077270730886</v>
      </c>
      <c r="N281">
        <f>SIN($AC$9 * PI()/180) + 1/Performance!$AE$8</f>
        <v>0.22738716112204788</v>
      </c>
      <c r="O281" s="60">
        <f>$AC$16 * (Performance!$E$12/Constraints!A281 + Performance!$E$23 * (Constraints!$AC$13/Constraints!$AC$17)^2 * Constraints!A281)</f>
        <v>2.392299674188872E-4</v>
      </c>
      <c r="P281" t="e">
        <f t="shared" si="19"/>
        <v>#VALUE!</v>
      </c>
      <c r="Q281">
        <f t="shared" si="20"/>
        <v>55.690074564543742</v>
      </c>
      <c r="R281">
        <f t="shared" si="21"/>
        <v>61.624816846803434</v>
      </c>
      <c r="S281" t="e">
        <f xml:space="preserve"> 1.667/G281 + P281/A281 * Performance!$E$12 + Performance!$E$23 / Constraints!P281 * Constraints!A281</f>
        <v>#VALUE!</v>
      </c>
      <c r="T281">
        <f xml:space="preserve"> 1.667/H281 + Q281/A281 * Performance!$E$12 + Performance!$E$23 / Constraints!Q281 * Constraints!A281</f>
        <v>0.22037678133412714</v>
      </c>
      <c r="U281">
        <f xml:space="preserve"> 1.667/I281 + R281/A281 * Performance!$E$12 + Performance!$E$23 / Constraints!R281 * Constraints!A281</f>
        <v>0.20695537153388679</v>
      </c>
    </row>
    <row r="282" spans="1:21" x14ac:dyDescent="0.3">
      <c r="A282" s="51">
        <v>140</v>
      </c>
      <c r="B282" s="50">
        <f>$V$4*Performance!$E$12*(1/A282)+Performance!$E$23*(1/Constraints!$V$4)*Constraints!A282</f>
        <v>0.20839978907242049</v>
      </c>
      <c r="C282" s="50">
        <f>$V$5*Performance!$E$12*(1/A282)+Performance!$E$23*(1/Constraints!$V$5)*Constraints!A282</f>
        <v>0.32022747732159629</v>
      </c>
      <c r="D282" s="52">
        <f t="shared" si="18"/>
        <v>0.32481499943996711</v>
      </c>
      <c r="E282" s="52">
        <f>$V$4*Performance!$E$12*(1/A282)+Performance!$E$23*(1/Constraints!$V$9)*Constraints!A282</f>
        <v>0.20776752664874212</v>
      </c>
      <c r="F282" s="52">
        <f xml:space="preserve"> 1.21 / (9.81 * Constraints!$N$7 * Performance!$E$15 * Constraints!$N$5 ) * Constraints!A282 + 0.605 /Performance!$E$15 * (Performance!$E$16  - Constraints!$N$6 * Performance!$E$14) + Constraints!$N$6</f>
        <v>0.32473728282483977</v>
      </c>
      <c r="G282" s="54" t="s">
        <v>198</v>
      </c>
      <c r="H282" s="55">
        <f>SQRT(2/$V$3 * A282 * SQRT(Performance!$E$23 / (3 * Performance!$E$12)))</f>
        <v>14.589630801864434</v>
      </c>
      <c r="I282" s="55">
        <f>SQRT(2/$V$3 * A282 * (SQRT(Performance!$E$23)/(SQRT(3*Performance!$E$12 + 4* Performance!$E$23 * Performance!$E$11^2) - SQRT(Performance!$E$23)*Performance!$E$11)))</f>
        <v>15.347343838561645</v>
      </c>
      <c r="J282" t="e">
        <f xml:space="preserve"> $AC$3/G282 + $AC$6/A282 * Performance!$E$12 + Performance!$E$23/Constraints!$AC$6 * Constraints!A282</f>
        <v>#VALUE!</v>
      </c>
      <c r="K282">
        <f xml:space="preserve"> $AC$3/H282 + $AC$6/A282 * Performance!$E$12 + Performance!$E$23/Constraints!$AC$6 * Constraints!A282</f>
        <v>0.80047715340419845</v>
      </c>
      <c r="L282">
        <f xml:space="preserve"> $AC$3/I282 + $AC$6/A282 * Performance!$E$12 + Performance!$E$23/Constraints!$AC$6 * Constraints!A282</f>
        <v>0.78328655690020121</v>
      </c>
      <c r="M282">
        <f>SIN($AC$9 * PI()/180) + 1/Performance!$AE$5</f>
        <v>0.24073077270730886</v>
      </c>
      <c r="N282">
        <f>SIN($AC$9 * PI()/180) + 1/Performance!$AE$8</f>
        <v>0.22738716112204788</v>
      </c>
      <c r="O282" s="60">
        <f>$AC$16 * (Performance!$E$12/Constraints!A282 + Performance!$E$23 * (Constraints!$AC$13/Constraints!$AC$17)^2 * Constraints!A282)</f>
        <v>2.3882693809413512E-4</v>
      </c>
      <c r="P282" t="e">
        <f t="shared" si="19"/>
        <v>#VALUE!</v>
      </c>
      <c r="Q282">
        <f t="shared" si="20"/>
        <v>55.889680566567186</v>
      </c>
      <c r="R282">
        <f t="shared" si="21"/>
        <v>61.845694326541071</v>
      </c>
      <c r="S282" t="e">
        <f xml:space="preserve"> 1.667/G282 + P282/A282 * Performance!$E$12 + Performance!$E$23 / Constraints!P282 * Constraints!A282</f>
        <v>#VALUE!</v>
      </c>
      <c r="T282">
        <f xml:space="preserve"> 1.667/H282 + Q282/A282 * Performance!$E$12 + Performance!$E$23 / Constraints!Q282 * Constraints!A282</f>
        <v>0.2201721988403591</v>
      </c>
      <c r="U282">
        <f xml:space="preserve"> 1.667/I282 + R282/A282 * Performance!$E$12 + Performance!$E$23 / Constraints!R282 * Constraints!A282</f>
        <v>0.20676088947340798</v>
      </c>
    </row>
    <row r="283" spans="1:21" x14ac:dyDescent="0.3">
      <c r="A283" s="51">
        <v>140.5</v>
      </c>
      <c r="B283" s="50">
        <f>$V$4*Performance!$E$12*(1/A283)+Performance!$E$23*(1/Constraints!$V$4)*Constraints!A283</f>
        <v>0.20769769630378027</v>
      </c>
      <c r="C283" s="50">
        <f>$V$5*Performance!$E$12*(1/A283)+Performance!$E$23*(1/Constraints!$V$5)*Constraints!A283</f>
        <v>0.31911320830787854</v>
      </c>
      <c r="D283" s="52">
        <f t="shared" si="18"/>
        <v>0.32508728515225271</v>
      </c>
      <c r="E283" s="52">
        <f>$V$4*Performance!$E$12*(1/A283)+Performance!$E$23*(1/Constraints!$V$9)*Constraints!A283</f>
        <v>0.20706317580001732</v>
      </c>
      <c r="F283" s="52">
        <f xml:space="preserve"> 1.21 / (9.81 * Constraints!$N$7 * Performance!$E$15 * Constraints!$N$5 ) * Constraints!A283 + 0.605 /Performance!$E$15 * (Performance!$E$16  - Constraints!$N$6 * Performance!$E$14) + Constraints!$N$6</f>
        <v>0.32500929097778558</v>
      </c>
      <c r="G283" s="54" t="s">
        <v>198</v>
      </c>
      <c r="H283" s="55">
        <f>SQRT(2/$V$3 * A283 * SQRT(Performance!$E$23 / (3 * Performance!$E$12)))</f>
        <v>14.615660493927875</v>
      </c>
      <c r="I283" s="55">
        <f>SQRT(2/$V$3 * A283 * (SQRT(Performance!$E$23)/(SQRT(3*Performance!$E$12 + 4* Performance!$E$23 * Performance!$E$11^2) - SQRT(Performance!$E$23)*Performance!$E$11)))</f>
        <v>15.374725383683298</v>
      </c>
      <c r="J283" t="e">
        <f xml:space="preserve"> $AC$3/G283 + $AC$6/A283 * Performance!$E$12 + Performance!$E$23/Constraints!$AC$6 * Constraints!A283</f>
        <v>#VALUE!</v>
      </c>
      <c r="K283">
        <f xml:space="preserve"> $AC$3/H283 + $AC$6/A283 * Performance!$E$12 + Performance!$E$23/Constraints!$AC$6 * Constraints!A283</f>
        <v>0.80145450969731868</v>
      </c>
      <c r="L283">
        <f xml:space="preserve"> $AC$3/I283 + $AC$6/A283 * Performance!$E$12 + Performance!$E$23/Constraints!$AC$6 * Constraints!A283</f>
        <v>0.78429452870560512</v>
      </c>
      <c r="M283">
        <f>SIN($AC$9 * PI()/180) + 1/Performance!$AE$5</f>
        <v>0.24073077270730886</v>
      </c>
      <c r="N283">
        <f>SIN($AC$9 * PI()/180) + 1/Performance!$AE$8</f>
        <v>0.22738716112204788</v>
      </c>
      <c r="O283" s="60">
        <f>$AC$16 * (Performance!$E$12/Constraints!A283 + Performance!$E$23 * (Constraints!$AC$13/Constraints!$AC$17)^2 * Constraints!A283)</f>
        <v>2.3842838645448446E-4</v>
      </c>
      <c r="P283" t="e">
        <f t="shared" si="19"/>
        <v>#VALUE!</v>
      </c>
      <c r="Q283">
        <f t="shared" si="20"/>
        <v>56.089286568590651</v>
      </c>
      <c r="R283">
        <f t="shared" si="21"/>
        <v>62.066571806278723</v>
      </c>
      <c r="S283" t="e">
        <f xml:space="preserve"> 1.667/G283 + P283/A283 * Performance!$E$12 + Performance!$E$23 / Constraints!P283 * Constraints!A283</f>
        <v>#VALUE!</v>
      </c>
      <c r="T283">
        <f xml:space="preserve"> 1.667/H283 + Q283/A283 * Performance!$E$12 + Performance!$E$23 / Constraints!Q283 * Constraints!A283</f>
        <v>0.21996870939787261</v>
      </c>
      <c r="U283">
        <f xml:space="preserve"> 1.667/I283 + R283/A283 * Performance!$E$12 + Performance!$E$23 / Constraints!R283 * Constraints!A283</f>
        <v>0.20656744649922404</v>
      </c>
    </row>
    <row r="284" spans="1:21" x14ac:dyDescent="0.3">
      <c r="A284" s="51">
        <v>141</v>
      </c>
      <c r="B284" s="50">
        <f>$V$4*Performance!$E$12*(1/A284)+Performance!$E$23*(1/Constraints!$V$4)*Constraints!A284</f>
        <v>0.20700072339158046</v>
      </c>
      <c r="C284" s="50">
        <f>$V$5*Performance!$E$12*(1/A284)+Performance!$E$23*(1/Constraints!$V$5)*Constraints!A284</f>
        <v>0.3180069318960389</v>
      </c>
      <c r="D284" s="52">
        <f t="shared" si="18"/>
        <v>0.32535957086453832</v>
      </c>
      <c r="E284" s="52">
        <f>$V$4*Performance!$E$12*(1/A284)+Performance!$E$23*(1/Constraints!$V$9)*Constraints!A284</f>
        <v>0.20636394480773296</v>
      </c>
      <c r="F284" s="52">
        <f xml:space="preserve"> 1.21 / (9.81 * Constraints!$N$7 * Performance!$E$15 * Constraints!$N$5 ) * Constraints!A284 + 0.605 /Performance!$E$15 * (Performance!$E$16  - Constraints!$N$6 * Performance!$E$14) + Constraints!$N$6</f>
        <v>0.32528129913073145</v>
      </c>
      <c r="G284" s="54" t="s">
        <v>198</v>
      </c>
      <c r="H284" s="55">
        <f>SQRT(2/$V$3 * A284 * SQRT(Performance!$E$23 / (3 * Performance!$E$12)))</f>
        <v>14.641643910873416</v>
      </c>
      <c r="I284" s="55">
        <f>SQRT(2/$V$3 * A284 * (SQRT(Performance!$E$23)/(SQRT(3*Performance!$E$12 + 4* Performance!$E$23 * Performance!$E$11^2) - SQRT(Performance!$E$23)*Performance!$E$11)))</f>
        <v>15.402058250387023</v>
      </c>
      <c r="J284" t="e">
        <f xml:space="preserve"> $AC$3/G284 + $AC$6/A284 * Performance!$E$12 + Performance!$E$23/Constraints!$AC$6 * Constraints!A284</f>
        <v>#VALUE!</v>
      </c>
      <c r="K284">
        <f xml:space="preserve"> $AC$3/H284 + $AC$6/A284 * Performance!$E$12 + Performance!$E$23/Constraints!$AC$6 * Constraints!A284</f>
        <v>0.80243523051784504</v>
      </c>
      <c r="L284">
        <f xml:space="preserve"> $AC$3/I284 + $AC$6/A284 * Performance!$E$12 + Performance!$E$23/Constraints!$AC$6 * Constraints!A284</f>
        <v>0.78530570204523376</v>
      </c>
      <c r="M284">
        <f>SIN($AC$9 * PI()/180) + 1/Performance!$AE$5</f>
        <v>0.24073077270730886</v>
      </c>
      <c r="N284">
        <f>SIN($AC$9 * PI()/180) + 1/Performance!$AE$8</f>
        <v>0.22738716112204788</v>
      </c>
      <c r="O284" s="60">
        <f>$AC$16 * (Performance!$E$12/Constraints!A284 + Performance!$E$23 * (Constraints!$AC$13/Constraints!$AC$17)^2 * Constraints!A284)</f>
        <v>2.3803426486498734E-4</v>
      </c>
      <c r="P284" t="e">
        <f t="shared" si="19"/>
        <v>#VALUE!</v>
      </c>
      <c r="Q284">
        <f t="shared" si="20"/>
        <v>56.288892570614109</v>
      </c>
      <c r="R284">
        <f t="shared" si="21"/>
        <v>62.287449286016383</v>
      </c>
      <c r="S284" t="e">
        <f xml:space="preserve"> 1.667/G284 + P284/A284 * Performance!$E$12 + Performance!$E$23 / Constraints!P284 * Constraints!A284</f>
        <v>#VALUE!</v>
      </c>
      <c r="T284">
        <f xml:space="preserve"> 1.667/H284 + Q284/A284 * Performance!$E$12 + Performance!$E$23 / Constraints!Q284 * Constraints!A284</f>
        <v>0.21976630330788063</v>
      </c>
      <c r="U284">
        <f xml:space="preserve"> 1.667/I284 + R284/A284 * Performance!$E$12 + Performance!$E$23 / Constraints!R284 * Constraints!A284</f>
        <v>0.20637503339138633</v>
      </c>
    </row>
    <row r="285" spans="1:21" x14ac:dyDescent="0.3">
      <c r="A285" s="51">
        <v>141.5</v>
      </c>
      <c r="B285" s="50">
        <f>$V$4*Performance!$E$12*(1/A285)+Performance!$E$23*(1/Constraints!$V$4)*Constraints!A285</f>
        <v>0.20630881606172452</v>
      </c>
      <c r="C285" s="50">
        <f>$V$5*Performance!$E$12*(1/A285)+Performance!$E$23*(1/Constraints!$V$5)*Constraints!A285</f>
        <v>0.31690856335884898</v>
      </c>
      <c r="D285" s="52">
        <f t="shared" si="18"/>
        <v>0.32563185657682392</v>
      </c>
      <c r="E285" s="52">
        <f>$V$4*Performance!$E$12*(1/A285)+Performance!$E$23*(1/Constraints!$V$9)*Constraints!A285</f>
        <v>0.20566977939779243</v>
      </c>
      <c r="F285" s="52">
        <f xml:space="preserve"> 1.21 / (9.81 * Constraints!$N$7 * Performance!$E$15 * Constraints!$N$5 ) * Constraints!A285 + 0.605 /Performance!$E$15 * (Performance!$E$16  - Constraints!$N$6 * Performance!$E$14) + Constraints!$N$6</f>
        <v>0.32555330728367732</v>
      </c>
      <c r="G285" s="54" t="s">
        <v>198</v>
      </c>
      <c r="H285" s="55">
        <f>SQRT(2/$V$3 * A285 * SQRT(Performance!$E$23 / (3 * Performance!$E$12)))</f>
        <v>14.667581298628248</v>
      </c>
      <c r="I285" s="55">
        <f>SQRT(2/$V$3 * A285 * (SQRT(Performance!$E$23)/(SQRT(3*Performance!$E$12 + 4* Performance!$E$23 * Performance!$E$11^2) - SQRT(Performance!$E$23)*Performance!$E$11)))</f>
        <v>15.429342697372251</v>
      </c>
      <c r="J285" t="e">
        <f xml:space="preserve"> $AC$3/G285 + $AC$6/A285 * Performance!$E$12 + Performance!$E$23/Constraints!$AC$6 * Constraints!A285</f>
        <v>#VALUE!</v>
      </c>
      <c r="K285">
        <f xml:space="preserve"> $AC$3/H285 + $AC$6/A285 * Performance!$E$12 + Performance!$E$23/Constraints!$AC$6 * Constraints!A285</f>
        <v>0.8034192860064282</v>
      </c>
      <c r="L285">
        <f xml:space="preserve"> $AC$3/I285 + $AC$6/A285 * Performance!$E$12 + Performance!$E$23/Constraints!$AC$6 * Constraints!A285</f>
        <v>0.78632004850088277</v>
      </c>
      <c r="M285">
        <f>SIN($AC$9 * PI()/180) + 1/Performance!$AE$5</f>
        <v>0.24073077270730886</v>
      </c>
      <c r="N285">
        <f>SIN($AC$9 * PI()/180) + 1/Performance!$AE$8</f>
        <v>0.22738716112204788</v>
      </c>
      <c r="O285" s="60">
        <f>$AC$16 * (Performance!$E$12/Constraints!A285 + Performance!$E$23 * (Constraints!$AC$13/Constraints!$AC$17)^2 * Constraints!A285)</f>
        <v>2.3764452636398139E-4</v>
      </c>
      <c r="P285" t="e">
        <f t="shared" si="19"/>
        <v>#VALUE!</v>
      </c>
      <c r="Q285">
        <f t="shared" si="20"/>
        <v>56.488498572637567</v>
      </c>
      <c r="R285">
        <f t="shared" si="21"/>
        <v>62.508326765754028</v>
      </c>
      <c r="S285" t="e">
        <f xml:space="preserve"> 1.667/G285 + P285/A285 * Performance!$E$12 + Performance!$E$23 / Constraints!P285 * Constraints!A285</f>
        <v>#VALUE!</v>
      </c>
      <c r="T285">
        <f xml:space="preserve"> 1.667/H285 + Q285/A285 * Performance!$E$12 + Performance!$E$23 / Constraints!Q285 * Constraints!A285</f>
        <v>0.21956497099165218</v>
      </c>
      <c r="U285">
        <f xml:space="preserve"> 1.667/I285 + R285/A285 * Performance!$E$12 + Performance!$E$23 / Constraints!R285 * Constraints!A285</f>
        <v>0.20618364104407491</v>
      </c>
    </row>
    <row r="286" spans="1:21" x14ac:dyDescent="0.3">
      <c r="A286" s="51">
        <v>142</v>
      </c>
      <c r="B286" s="50">
        <f>$V$4*Performance!$E$12*(1/A286)+Performance!$E$23*(1/Constraints!$V$4)*Constraints!A286</f>
        <v>0.20562192080453978</v>
      </c>
      <c r="C286" s="50">
        <f>$V$5*Performance!$E$12*(1/A286)+Performance!$E$23*(1/Constraints!$V$5)*Constraints!A286</f>
        <v>0.31581801916242164</v>
      </c>
      <c r="D286" s="52">
        <f t="shared" si="18"/>
        <v>0.32590414228910952</v>
      </c>
      <c r="E286" s="52">
        <f>$V$4*Performance!$E$12*(1/A286)+Performance!$E$23*(1/Constraints!$V$9)*Constraints!A286</f>
        <v>0.20498062606052314</v>
      </c>
      <c r="F286" s="52">
        <f xml:space="preserve"> 1.21 / (9.81 * Constraints!$N$7 * Performance!$E$15 * Constraints!$N$5 ) * Constraints!A286 + 0.605 /Performance!$E$15 * (Performance!$E$16  - Constraints!$N$6 * Performance!$E$14) + Constraints!$N$6</f>
        <v>0.32582531543662319</v>
      </c>
      <c r="G286" s="54" t="s">
        <v>198</v>
      </c>
      <c r="H286" s="55">
        <f>SQRT(2/$V$3 * A286 * SQRT(Performance!$E$23 / (3 * Performance!$E$12)))</f>
        <v>14.693472900948967</v>
      </c>
      <c r="I286" s="55">
        <f>SQRT(2/$V$3 * A286 * (SQRT(Performance!$E$23)/(SQRT(3*Performance!$E$12 + 4* Performance!$E$23 * Performance!$E$11^2) - SQRT(Performance!$E$23)*Performance!$E$11)))</f>
        <v>15.456578981055083</v>
      </c>
      <c r="J286" t="e">
        <f xml:space="preserve"> $AC$3/G286 + $AC$6/A286 * Performance!$E$12 + Performance!$E$23/Constraints!$AC$6 * Constraints!A286</f>
        <v>#VALUE!</v>
      </c>
      <c r="K286">
        <f xml:space="preserve"> $AC$3/H286 + $AC$6/A286 * Performance!$E$12 + Performance!$E$23/Constraints!$AC$6 * Constraints!A286</f>
        <v>0.80440664667320028</v>
      </c>
      <c r="L286">
        <f xml:space="preserve"> $AC$3/I286 + $AC$6/A286 * Performance!$E$12 + Performance!$E$23/Constraints!$AC$6 * Constraints!A286</f>
        <v>0.78733754000605272</v>
      </c>
      <c r="M286">
        <f>SIN($AC$9 * PI()/180) + 1/Performance!$AE$5</f>
        <v>0.24073077270730886</v>
      </c>
      <c r="N286">
        <f>SIN($AC$9 * PI()/180) + 1/Performance!$AE$8</f>
        <v>0.22738716112204788</v>
      </c>
      <c r="O286" s="60">
        <f>$AC$16 * (Performance!$E$12/Constraints!A286 + Performance!$E$23 * (Constraints!$AC$13/Constraints!$AC$17)^2 * Constraints!A286)</f>
        <v>2.3725912465123606E-4</v>
      </c>
      <c r="P286" t="e">
        <f t="shared" si="19"/>
        <v>#VALUE!</v>
      </c>
      <c r="Q286">
        <f t="shared" si="20"/>
        <v>56.688104574661018</v>
      </c>
      <c r="R286">
        <f t="shared" si="21"/>
        <v>62.729204245491665</v>
      </c>
      <c r="S286" t="e">
        <f xml:space="preserve"> 1.667/G286 + P286/A286 * Performance!$E$12 + Performance!$E$23 / Constraints!P286 * Constraints!A286</f>
        <v>#VALUE!</v>
      </c>
      <c r="T286">
        <f xml:space="preserve"> 1.667/H286 + Q286/A286 * Performance!$E$12 + Performance!$E$23 / Constraints!Q286 * Constraints!A286</f>
        <v>0.21936470298860816</v>
      </c>
      <c r="U286">
        <f xml:space="preserve"> 1.667/I286 + R286/A286 * Performance!$E$12 + Performance!$E$23 / Constraints!R286 * Constraints!A286</f>
        <v>0.20599326046378866</v>
      </c>
    </row>
    <row r="287" spans="1:21" x14ac:dyDescent="0.3">
      <c r="A287" s="51">
        <v>142.5</v>
      </c>
      <c r="B287" s="50">
        <f>$V$4*Performance!$E$12*(1/A287)+Performance!$E$23*(1/Constraints!$V$4)*Constraints!A287</f>
        <v>0.20493998486136655</v>
      </c>
      <c r="C287" s="50">
        <f>$V$5*Performance!$E$12*(1/A287)+Performance!$E$23*(1/Constraints!$V$5)*Constraints!A287</f>
        <v>0.31473521694527523</v>
      </c>
      <c r="D287" s="52">
        <f t="shared" si="18"/>
        <v>0.32617642800139512</v>
      </c>
      <c r="E287" s="52">
        <f>$V$4*Performance!$E$12*(1/A287)+Performance!$E$23*(1/Constraints!$V$9)*Constraints!A287</f>
        <v>0.20429643203726536</v>
      </c>
      <c r="F287" s="52">
        <f xml:space="preserve"> 1.21 / (9.81 * Constraints!$N$7 * Performance!$E$15 * Constraints!$N$5 ) * Constraints!A287 + 0.605 /Performance!$E$15 * (Performance!$E$16  - Constraints!$N$6 * Performance!$E$14) + Constraints!$N$6</f>
        <v>0.32609732358956905</v>
      </c>
      <c r="G287" s="54" t="s">
        <v>198</v>
      </c>
      <c r="H287" s="55">
        <f>SQRT(2/$V$3 * A287 * SQRT(Performance!$E$23 / (3 * Performance!$E$12)))</f>
        <v>14.7193189594483</v>
      </c>
      <c r="I287" s="55">
        <f>SQRT(2/$V$3 * A287 * (SQRT(Performance!$E$23)/(SQRT(3*Performance!$E$12 + 4* Performance!$E$23 * Performance!$E$11^2) - SQRT(Performance!$E$23)*Performance!$E$11)))</f>
        <v>15.483767355596415</v>
      </c>
      <c r="J287" t="e">
        <f xml:space="preserve"> $AC$3/G287 + $AC$6/A287 * Performance!$E$12 + Performance!$E$23/Constraints!$AC$6 * Constraints!A287</f>
        <v>#VALUE!</v>
      </c>
      <c r="K287">
        <f xml:space="preserve"> $AC$3/H287 + $AC$6/A287 * Performance!$E$12 + Performance!$E$23/Constraints!$AC$6 * Constraints!A287</f>
        <v>0.80539728339191829</v>
      </c>
      <c r="L287">
        <f xml:space="preserve"> $AC$3/I287 + $AC$6/A287 * Performance!$E$12 + Performance!$E$23/Constraints!$AC$6 * Constraints!A287</f>
        <v>0.7883581488403737</v>
      </c>
      <c r="M287">
        <f>SIN($AC$9 * PI()/180) + 1/Performance!$AE$5</f>
        <v>0.24073077270730886</v>
      </c>
      <c r="N287">
        <f>SIN($AC$9 * PI()/180) + 1/Performance!$AE$8</f>
        <v>0.22738716112204788</v>
      </c>
      <c r="O287" s="60">
        <f>$AC$16 * (Performance!$E$12/Constraints!A287 + Performance!$E$23 * (Constraints!$AC$13/Constraints!$AC$17)^2 * Constraints!A287)</f>
        <v>2.3687801407634856E-4</v>
      </c>
      <c r="P287" t="e">
        <f t="shared" si="19"/>
        <v>#VALUE!</v>
      </c>
      <c r="Q287">
        <f t="shared" si="20"/>
        <v>56.887710576684469</v>
      </c>
      <c r="R287">
        <f t="shared" si="21"/>
        <v>62.95008172522931</v>
      </c>
      <c r="S287" t="e">
        <f xml:space="preserve"> 1.667/G287 + P287/A287 * Performance!$E$12 + Performance!$E$23 / Constraints!P287 * Constraints!A287</f>
        <v>#VALUE!</v>
      </c>
      <c r="T287">
        <f xml:space="preserve"> 1.667/H287 + Q287/A287 * Performance!$E$12 + Performance!$E$23 / Constraints!Q287 * Constraints!A287</f>
        <v>0.21916548995445451</v>
      </c>
      <c r="U287">
        <f xml:space="preserve"> 1.667/I287 + R287/A287 * Performance!$E$12 + Performance!$E$23 / Constraints!R287 * Constraints!A287</f>
        <v>0.20580388276757006</v>
      </c>
    </row>
    <row r="288" spans="1:21" x14ac:dyDescent="0.3">
      <c r="A288" s="51">
        <v>143</v>
      </c>
      <c r="B288" s="50">
        <f>$V$4*Performance!$E$12*(1/A288)+Performance!$E$23*(1/Constraints!$V$4)*Constraints!A288</f>
        <v>0.20426295621142851</v>
      </c>
      <c r="C288" s="50">
        <f>$V$5*Performance!$E$12*(1/A288)+Performance!$E$23*(1/Constraints!$V$5)*Constraints!A288</f>
        <v>0.31366007549783687</v>
      </c>
      <c r="D288" s="52">
        <f t="shared" si="18"/>
        <v>0.32644871371368073</v>
      </c>
      <c r="E288" s="52">
        <f>$V$4*Performance!$E$12*(1/A288)+Performance!$E$23*(1/Constraints!$V$9)*Constraints!A288</f>
        <v>0.20361714530724273</v>
      </c>
      <c r="F288" s="52">
        <f xml:space="preserve"> 1.21 / (9.81 * Constraints!$N$7 * Performance!$E$15 * Constraints!$N$5 ) * Constraints!A288 + 0.605 /Performance!$E$15 * (Performance!$E$16  - Constraints!$N$6 * Performance!$E$14) + Constraints!$N$6</f>
        <v>0.32636933174251487</v>
      </c>
      <c r="G288" s="54" t="s">
        <v>198</v>
      </c>
      <c r="H288" s="55">
        <f>SQRT(2/$V$3 * A288 * SQRT(Performance!$E$23 / (3 * Performance!$E$12)))</f>
        <v>14.74511971362141</v>
      </c>
      <c r="I288" s="55">
        <f>SQRT(2/$V$3 * A288 * (SQRT(Performance!$E$23)/(SQRT(3*Performance!$E$12 + 4* Performance!$E$23 * Performance!$E$11^2) - SQRT(Performance!$E$23)*Performance!$E$11)))</f>
        <v>15.510908072929601</v>
      </c>
      <c r="J288" t="e">
        <f xml:space="preserve"> $AC$3/G288 + $AC$6/A288 * Performance!$E$12 + Performance!$E$23/Constraints!$AC$6 * Constraints!A288</f>
        <v>#VALUE!</v>
      </c>
      <c r="K288">
        <f xml:space="preserve"> $AC$3/H288 + $AC$6/A288 * Performance!$E$12 + Performance!$E$23/Constraints!$AC$6 * Constraints!A288</f>
        <v>0.80639116739422234</v>
      </c>
      <c r="L288">
        <f xml:space="preserve"> $AC$3/I288 + $AC$6/A288 * Performance!$E$12 + Performance!$E$23/Constraints!$AC$6 * Constraints!A288</f>
        <v>0.78938184762413943</v>
      </c>
      <c r="M288">
        <f>SIN($AC$9 * PI()/180) + 1/Performance!$AE$5</f>
        <v>0.24073077270730886</v>
      </c>
      <c r="N288">
        <f>SIN($AC$9 * PI()/180) + 1/Performance!$AE$8</f>
        <v>0.22738716112204788</v>
      </c>
      <c r="O288" s="60">
        <f>$AC$16 * (Performance!$E$12/Constraints!A288 + Performance!$E$23 * (Constraints!$AC$13/Constraints!$AC$17)^2 * Constraints!A288)</f>
        <v>2.3650114962738342E-4</v>
      </c>
      <c r="P288" t="e">
        <f t="shared" si="19"/>
        <v>#VALUE!</v>
      </c>
      <c r="Q288">
        <f t="shared" si="20"/>
        <v>57.087316578707927</v>
      </c>
      <c r="R288">
        <f t="shared" si="21"/>
        <v>63.170959204966977</v>
      </c>
      <c r="S288" t="e">
        <f xml:space="preserve"> 1.667/G288 + P288/A288 * Performance!$E$12 + Performance!$E$23 / Constraints!P288 * Constraints!A288</f>
        <v>#VALUE!</v>
      </c>
      <c r="T288">
        <f xml:space="preserve"> 1.667/H288 + Q288/A288 * Performance!$E$12 + Performance!$E$23 / Constraints!Q288 * Constraints!A288</f>
        <v>0.21896732265935048</v>
      </c>
      <c r="U288">
        <f xml:space="preserve"> 1.667/I288 + R288/A288 * Performance!$E$12 + Performance!$E$23 / Constraints!R288 * Constraints!A288</f>
        <v>0.20561549918126454</v>
      </c>
    </row>
    <row r="289" spans="1:21" x14ac:dyDescent="0.3">
      <c r="A289" s="51">
        <v>143.5</v>
      </c>
      <c r="B289" s="50">
        <f>$V$4*Performance!$E$12*(1/A289)+Performance!$E$23*(1/Constraints!$V$4)*Constraints!A289</f>
        <v>0.2035907835589775</v>
      </c>
      <c r="C289" s="50">
        <f>$V$5*Performance!$E$12*(1/A289)+Performance!$E$23*(1/Constraints!$V$5)*Constraints!A289</f>
        <v>0.31259251474237432</v>
      </c>
      <c r="D289" s="52">
        <f t="shared" si="18"/>
        <v>0.32672099942596627</v>
      </c>
      <c r="E289" s="52">
        <f>$V$4*Performance!$E$12*(1/A289)+Performance!$E$23*(1/Constraints!$V$9)*Constraints!A289</f>
        <v>0.20294271457470717</v>
      </c>
      <c r="F289" s="52">
        <f xml:space="preserve"> 1.21 / (9.81 * Constraints!$N$7 * Performance!$E$15 * Constraints!$N$5 ) * Constraints!A289 + 0.605 /Performance!$E$15 * (Performance!$E$16  - Constraints!$N$6 * Performance!$E$14) + Constraints!$N$6</f>
        <v>0.32664133989546074</v>
      </c>
      <c r="G289" s="54" t="s">
        <v>198</v>
      </c>
      <c r="H289" s="55">
        <f>SQRT(2/$V$3 * A289 * SQRT(Performance!$E$23 / (3 * Performance!$E$12)))</f>
        <v>14.770875400871786</v>
      </c>
      <c r="I289" s="55">
        <f>SQRT(2/$V$3 * A289 * (SQRT(Performance!$E$23)/(SQRT(3*Performance!$E$12 + 4* Performance!$E$23 * Performance!$E$11^2) - SQRT(Performance!$E$23)*Performance!$E$11)))</f>
        <v>15.538001382787686</v>
      </c>
      <c r="J289" t="e">
        <f xml:space="preserve"> $AC$3/G289 + $AC$6/A289 * Performance!$E$12 + Performance!$E$23/Constraints!$AC$6 * Constraints!A289</f>
        <v>#VALUE!</v>
      </c>
      <c r="K289">
        <f xml:space="preserve"> $AC$3/H289 + $AC$6/A289 * Performance!$E$12 + Performance!$E$23/Constraints!$AC$6 * Constraints!A289</f>
        <v>0.80738827026400384</v>
      </c>
      <c r="L289">
        <f xml:space="preserve"> $AC$3/I289 + $AC$6/A289 * Performance!$E$12 + Performance!$E$23/Constraints!$AC$6 * Constraints!A289</f>
        <v>0.79040860931294488</v>
      </c>
      <c r="M289">
        <f>SIN($AC$9 * PI()/180) + 1/Performance!$AE$5</f>
        <v>0.24073077270730886</v>
      </c>
      <c r="N289">
        <f>SIN($AC$9 * PI()/180) + 1/Performance!$AE$8</f>
        <v>0.22738716112204788</v>
      </c>
      <c r="O289" s="60">
        <f>$AC$16 * (Performance!$E$12/Constraints!A289 + Performance!$E$23 * (Constraints!$AC$13/Constraints!$AC$17)^2 * Constraints!A289)</f>
        <v>2.3612848691974899E-4</v>
      </c>
      <c r="P289" t="e">
        <f t="shared" si="19"/>
        <v>#VALUE!</v>
      </c>
      <c r="Q289">
        <f t="shared" si="20"/>
        <v>57.286922580731378</v>
      </c>
      <c r="R289">
        <f t="shared" si="21"/>
        <v>63.391836684704607</v>
      </c>
      <c r="S289" t="e">
        <f xml:space="preserve"> 1.667/G289 + P289/A289 * Performance!$E$12 + Performance!$E$23 / Constraints!P289 * Constraints!A289</f>
        <v>#VALUE!</v>
      </c>
      <c r="T289">
        <f xml:space="preserve"> 1.667/H289 + Q289/A289 * Performance!$E$12 + Performance!$E$23 / Constraints!Q289 * Constraints!A289</f>
        <v>0.21877019198611297</v>
      </c>
      <c r="U289">
        <f xml:space="preserve"> 1.667/I289 + R289/A289 * Performance!$E$12 + Performance!$E$23 / Constraints!R289 * Constraints!A289</f>
        <v>0.20542810103781306</v>
      </c>
    </row>
    <row r="290" spans="1:21" x14ac:dyDescent="0.3">
      <c r="A290" s="51">
        <v>144</v>
      </c>
      <c r="B290" s="50">
        <f>$V$4*Performance!$E$12*(1/A290)+Performance!$E$23*(1/Constraints!$V$4)*Constraints!A290</f>
        <v>0.20292341632070637</v>
      </c>
      <c r="C290" s="50">
        <f>$V$5*Performance!$E$12*(1/A290)+Performance!$E$23*(1/Constraints!$V$5)*Constraints!A290</f>
        <v>0.31153245571334626</v>
      </c>
      <c r="D290" s="52">
        <f t="shared" si="18"/>
        <v>0.32699328513825188</v>
      </c>
      <c r="E290" s="52">
        <f>$V$4*Performance!$E$12*(1/A290)+Performance!$E$23*(1/Constraints!$V$9)*Constraints!A290</f>
        <v>0.20227308925635148</v>
      </c>
      <c r="F290" s="52">
        <f xml:space="preserve"> 1.21 / (9.81 * Constraints!$N$7 * Performance!$E$15 * Constraints!$N$5 ) * Constraints!A290 + 0.605 /Performance!$E$15 * (Performance!$E$16  - Constraints!$N$6 * Performance!$E$14) + Constraints!$N$6</f>
        <v>0.3269133480484066</v>
      </c>
      <c r="G290" s="54" t="s">
        <v>198</v>
      </c>
      <c r="H290" s="55">
        <f>SQRT(2/$V$3 * A290 * SQRT(Performance!$E$23 / (3 * Performance!$E$12)))</f>
        <v>14.796586256536736</v>
      </c>
      <c r="I290" s="55">
        <f>SQRT(2/$V$3 * A290 * (SQRT(Performance!$E$23)/(SQRT(3*Performance!$E$12 + 4* Performance!$E$23 * Performance!$E$11^2) - SQRT(Performance!$E$23)*Performance!$E$11)))</f>
        <v>15.565047532730231</v>
      </c>
      <c r="J290" t="e">
        <f xml:space="preserve"> $AC$3/G290 + $AC$6/A290 * Performance!$E$12 + Performance!$E$23/Constraints!$AC$6 * Constraints!A290</f>
        <v>#VALUE!</v>
      </c>
      <c r="K290">
        <f xml:space="preserve"> $AC$3/H290 + $AC$6/A290 * Performance!$E$12 + Performance!$E$23/Constraints!$AC$6 * Constraints!A290</f>
        <v>0.80838856393188085</v>
      </c>
      <c r="L290">
        <f xml:space="preserve"> $AC$3/I290 + $AC$6/A290 * Performance!$E$12 + Performance!$E$23/Constraints!$AC$6 * Constraints!A290</f>
        <v>0.79143840719242742</v>
      </c>
      <c r="M290">
        <f>SIN($AC$9 * PI()/180) + 1/Performance!$AE$5</f>
        <v>0.24073077270730886</v>
      </c>
      <c r="N290">
        <f>SIN($AC$9 * PI()/180) + 1/Performance!$AE$8</f>
        <v>0.22738716112204788</v>
      </c>
      <c r="O290" s="60">
        <f>$AC$16 * (Performance!$E$12/Constraints!A290 + Performance!$E$23 * (Constraints!$AC$13/Constraints!$AC$17)^2 * Constraints!A290)</f>
        <v>2.3575998218530647E-4</v>
      </c>
      <c r="P290" t="e">
        <f t="shared" si="19"/>
        <v>#VALUE!</v>
      </c>
      <c r="Q290">
        <f t="shared" si="20"/>
        <v>57.486528582754836</v>
      </c>
      <c r="R290">
        <f t="shared" si="21"/>
        <v>63.612714164442259</v>
      </c>
      <c r="S290" t="e">
        <f xml:space="preserve"> 1.667/G290 + P290/A290 * Performance!$E$12 + Performance!$E$23 / Constraints!P290 * Constraints!A290</f>
        <v>#VALUE!</v>
      </c>
      <c r="T290">
        <f xml:space="preserve"> 1.667/H290 + Q290/A290 * Performance!$E$12 + Performance!$E$23 / Constraints!Q290 * Constraints!A290</f>
        <v>0.21857408892845437</v>
      </c>
      <c r="U290">
        <f xml:space="preserve"> 1.667/I290 + R290/A290 * Performance!$E$12 + Performance!$E$23 / Constraints!R290 * Constraints!A290</f>
        <v>0.20524167977557697</v>
      </c>
    </row>
    <row r="291" spans="1:21" x14ac:dyDescent="0.3">
      <c r="A291" s="51">
        <v>144.5</v>
      </c>
      <c r="B291" s="50">
        <f>$V$4*Performance!$E$12*(1/A291)+Performance!$E$23*(1/Constraints!$V$4)*Constraints!A291</f>
        <v>0.20226080461342305</v>
      </c>
      <c r="C291" s="50">
        <f>$V$5*Performance!$E$12*(1/A291)+Performance!$E$23*(1/Constraints!$V$5)*Constraints!A291</f>
        <v>0.31047982053815987</v>
      </c>
      <c r="D291" s="52">
        <f t="shared" si="18"/>
        <v>0.32726557085053748</v>
      </c>
      <c r="E291" s="52">
        <f>$V$4*Performance!$E$12*(1/A291)+Performance!$E$23*(1/Constraints!$V$9)*Constraints!A291</f>
        <v>0.20160821946898358</v>
      </c>
      <c r="F291" s="52">
        <f xml:space="preserve"> 1.21 / (9.81 * Constraints!$N$7 * Performance!$E$15 * Constraints!$N$5 ) * Constraints!A291 + 0.605 /Performance!$E$15 * (Performance!$E$16  - Constraints!$N$6 * Performance!$E$14) + Constraints!$N$6</f>
        <v>0.32718535620135247</v>
      </c>
      <c r="G291" s="54" t="s">
        <v>198</v>
      </c>
      <c r="H291" s="55">
        <f>SQRT(2/$V$3 * A291 * SQRT(Performance!$E$23 / (3 * Performance!$E$12)))</f>
        <v>14.822252513912463</v>
      </c>
      <c r="I291" s="55">
        <f>SQRT(2/$V$3 * A291 * (SQRT(Performance!$E$23)/(SQRT(3*Performance!$E$12 + 4* Performance!$E$23 * Performance!$E$11^2) - SQRT(Performance!$E$23)*Performance!$E$11)))</f>
        <v>15.592046768169689</v>
      </c>
      <c r="J291" t="e">
        <f xml:space="preserve"> $AC$3/G291 + $AC$6/A291 * Performance!$E$12 + Performance!$E$23/Constraints!$AC$6 * Constraints!A291</f>
        <v>#VALUE!</v>
      </c>
      <c r="K291">
        <f xml:space="preserve"> $AC$3/H291 + $AC$6/A291 * Performance!$E$12 + Performance!$E$23/Constraints!$AC$6 * Constraints!A291</f>
        <v>0.80939202066977978</v>
      </c>
      <c r="L291">
        <f xml:space="preserve"> $AC$3/I291 + $AC$6/A291 * Performance!$E$12 + Performance!$E$23/Constraints!$AC$6 * Constraints!A291</f>
        <v>0.79247121487310812</v>
      </c>
      <c r="M291">
        <f>SIN($AC$9 * PI()/180) + 1/Performance!$AE$5</f>
        <v>0.24073077270730886</v>
      </c>
      <c r="N291">
        <f>SIN($AC$9 * PI()/180) + 1/Performance!$AE$8</f>
        <v>0.22738716112204788</v>
      </c>
      <c r="O291" s="60">
        <f>$AC$16 * (Performance!$E$12/Constraints!A291 + Performance!$E$23 * (Constraints!$AC$13/Constraints!$AC$17)^2 * Constraints!A291)</f>
        <v>2.3539559226170442E-4</v>
      </c>
      <c r="P291" t="e">
        <f t="shared" si="19"/>
        <v>#VALUE!</v>
      </c>
      <c r="Q291">
        <f t="shared" si="20"/>
        <v>57.686134584778294</v>
      </c>
      <c r="R291">
        <f t="shared" si="21"/>
        <v>63.833591644179897</v>
      </c>
      <c r="S291" t="e">
        <f xml:space="preserve"> 1.667/G291 + P291/A291 * Performance!$E$12 + Performance!$E$23 / Constraints!P291 * Constraints!A291</f>
        <v>#VALUE!</v>
      </c>
      <c r="T291">
        <f xml:space="preserve"> 1.667/H291 + Q291/A291 * Performance!$E$12 + Performance!$E$23 / Constraints!Q291 * Constraints!A291</f>
        <v>0.21837900458925444</v>
      </c>
      <c r="U291">
        <f xml:space="preserve"> 1.667/I291 + R291/A291 * Performance!$E$12 + Performance!$E$23 / Constraints!R291 * Constraints!A291</f>
        <v>0.20505622693669545</v>
      </c>
    </row>
    <row r="292" spans="1:21" x14ac:dyDescent="0.3">
      <c r="A292" s="51">
        <v>145</v>
      </c>
      <c r="B292" s="50">
        <f>$V$4*Performance!$E$12*(1/A292)+Performance!$E$23*(1/Constraints!$V$4)*Constraints!A292</f>
        <v>0.20160289924197924</v>
      </c>
      <c r="C292" s="50">
        <f>$V$5*Performance!$E$12*(1/A292)+Performance!$E$23*(1/Constraints!$V$5)*Constraints!A292</f>
        <v>0.30943453241832719</v>
      </c>
      <c r="D292" s="52">
        <f t="shared" si="18"/>
        <v>0.32753785656282308</v>
      </c>
      <c r="E292" s="52">
        <f>$V$4*Performance!$E$12*(1/A292)+Performance!$E$23*(1/Constraints!$V$9)*Constraints!A292</f>
        <v>0.20094805601745522</v>
      </c>
      <c r="F292" s="52">
        <f xml:space="preserve"> 1.21 / (9.81 * Constraints!$N$7 * Performance!$E$15 * Constraints!$N$5 ) * Constraints!A292 + 0.605 /Performance!$E$15 * (Performance!$E$16  - Constraints!$N$6 * Performance!$E$14) + Constraints!$N$6</f>
        <v>0.32745736435429829</v>
      </c>
      <c r="G292" s="54" t="s">
        <v>198</v>
      </c>
      <c r="H292" s="55">
        <f>SQRT(2/$V$3 * A292 * SQRT(Performance!$E$23 / (3 * Performance!$E$12)))</f>
        <v>14.847874404278778</v>
      </c>
      <c r="I292" s="55">
        <f>SQRT(2/$V$3 * A292 * (SQRT(Performance!$E$23)/(SQRT(3*Performance!$E$12 + 4* Performance!$E$23 * Performance!$E$11^2) - SQRT(Performance!$E$23)*Performance!$E$11)))</f>
        <v>15.618999332397395</v>
      </c>
      <c r="J292" t="e">
        <f xml:space="preserve"> $AC$3/G292 + $AC$6/A292 * Performance!$E$12 + Performance!$E$23/Constraints!$AC$6 * Constraints!A292</f>
        <v>#VALUE!</v>
      </c>
      <c r="K292">
        <f xml:space="preserve"> $AC$3/H292 + $AC$6/A292 * Performance!$E$12 + Performance!$E$23/Constraints!$AC$6 * Constraints!A292</f>
        <v>0.81039861308561933</v>
      </c>
      <c r="L292">
        <f xml:space="preserve"> $AC$3/I292 + $AC$6/A292 * Performance!$E$12 + Performance!$E$23/Constraints!$AC$6 * Constraints!A292</f>
        <v>0.79350700628533111</v>
      </c>
      <c r="M292">
        <f>SIN($AC$9 * PI()/180) + 1/Performance!$AE$5</f>
        <v>0.24073077270730886</v>
      </c>
      <c r="N292">
        <f>SIN($AC$9 * PI()/180) + 1/Performance!$AE$8</f>
        <v>0.22738716112204788</v>
      </c>
      <c r="O292" s="60">
        <f>$AC$16 * (Performance!$E$12/Constraints!A292 + Performance!$E$23 * (Constraints!$AC$13/Constraints!$AC$17)^2 * Constraints!A292)</f>
        <v>2.3503527458193407E-4</v>
      </c>
      <c r="P292" t="e">
        <f t="shared" si="19"/>
        <v>#VALUE!</v>
      </c>
      <c r="Q292">
        <f t="shared" si="20"/>
        <v>57.885740586801745</v>
      </c>
      <c r="R292">
        <f t="shared" si="21"/>
        <v>64.054469123917556</v>
      </c>
      <c r="S292" t="e">
        <f xml:space="preserve"> 1.667/G292 + P292/A292 * Performance!$E$12 + Performance!$E$23 / Constraints!P292 * Constraints!A292</f>
        <v>#VALUE!</v>
      </c>
      <c r="T292">
        <f xml:space="preserve"> 1.667/H292 + Q292/A292 * Performance!$E$12 + Performance!$E$23 / Constraints!Q292 * Constraints!A292</f>
        <v>0.21818493017886495</v>
      </c>
      <c r="U292">
        <f xml:space="preserve"> 1.667/I292 + R292/A292 * Performance!$E$12 + Performance!$E$23 / Constraints!R292 * Constraints!A292</f>
        <v>0.20487173416547347</v>
      </c>
    </row>
    <row r="293" spans="1:21" x14ac:dyDescent="0.3">
      <c r="A293" s="51">
        <v>145.5</v>
      </c>
      <c r="B293" s="50">
        <f>$V$4*Performance!$E$12*(1/A293)+Performance!$E$23*(1/Constraints!$V$4)*Constraints!A293</f>
        <v>0.20094965168744883</v>
      </c>
      <c r="C293" s="50">
        <f>$V$5*Performance!$E$12*(1/A293)+Performance!$E$23*(1/Constraints!$V$5)*Constraints!A293</f>
        <v>0.30839651561100956</v>
      </c>
      <c r="D293" s="52">
        <f t="shared" si="18"/>
        <v>0.32781014227510868</v>
      </c>
      <c r="E293" s="52">
        <f>$V$4*Performance!$E$12*(1/A293)+Performance!$E$23*(1/Constraints!$V$9)*Constraints!A293</f>
        <v>0.20029255038284025</v>
      </c>
      <c r="F293" s="52">
        <f xml:space="preserve"> 1.21 / (9.81 * Constraints!$N$7 * Performance!$E$15 * Constraints!$N$5 ) * Constraints!A293 + 0.605 /Performance!$E$15 * (Performance!$E$16  - Constraints!$N$6 * Performance!$E$14) + Constraints!$N$6</f>
        <v>0.32772937250724415</v>
      </c>
      <c r="G293" s="54" t="s">
        <v>198</v>
      </c>
      <c r="H293" s="55">
        <f>SQRT(2/$V$3 * A293 * SQRT(Performance!$E$23 / (3 * Performance!$E$12)))</f>
        <v>14.873452156923403</v>
      </c>
      <c r="I293" s="55">
        <f>SQRT(2/$V$3 * A293 * (SQRT(Performance!$E$23)/(SQRT(3*Performance!$E$12 + 4* Performance!$E$23 * Performance!$E$11^2) - SQRT(Performance!$E$23)*Performance!$E$11)))</f>
        <v>15.645905466609138</v>
      </c>
      <c r="J293" t="e">
        <f xml:space="preserve"> $AC$3/G293 + $AC$6/A293 * Performance!$E$12 + Performance!$E$23/Constraints!$AC$6 * Constraints!A293</f>
        <v>#VALUE!</v>
      </c>
      <c r="K293">
        <f xml:space="preserve"> $AC$3/H293 + $AC$6/A293 * Performance!$E$12 + Performance!$E$23/Constraints!$AC$6 * Constraints!A293</f>
        <v>0.81140831411809666</v>
      </c>
      <c r="L293">
        <f xml:space="preserve"> $AC$3/I293 + $AC$6/A293 * Performance!$E$12 + Performance!$E$23/Constraints!$AC$6 * Constraints!A293</f>
        <v>0.79454575567429953</v>
      </c>
      <c r="M293">
        <f>SIN($AC$9 * PI()/180) + 1/Performance!$AE$5</f>
        <v>0.24073077270730886</v>
      </c>
      <c r="N293">
        <f>SIN($AC$9 * PI()/180) + 1/Performance!$AE$8</f>
        <v>0.22738716112204788</v>
      </c>
      <c r="O293" s="60">
        <f>$AC$16 * (Performance!$E$12/Constraints!A293 + Performance!$E$23 * (Constraints!$AC$13/Constraints!$AC$17)^2 * Constraints!A293)</f>
        <v>2.3467898716410032E-4</v>
      </c>
      <c r="P293" t="e">
        <f t="shared" si="19"/>
        <v>#VALUE!</v>
      </c>
      <c r="Q293">
        <f t="shared" si="20"/>
        <v>58.085346588825189</v>
      </c>
      <c r="R293">
        <f t="shared" si="21"/>
        <v>64.275346603655194</v>
      </c>
      <c r="S293" t="e">
        <f xml:space="preserve"> 1.667/G293 + P293/A293 * Performance!$E$12 + Performance!$E$23 / Constraints!P293 * Constraints!A293</f>
        <v>#VALUE!</v>
      </c>
      <c r="T293">
        <f xml:space="preserve"> 1.667/H293 + Q293/A293 * Performance!$E$12 + Performance!$E$23 / Constraints!Q293 * Constraints!A293</f>
        <v>0.21799185701344614</v>
      </c>
      <c r="U293">
        <f xml:space="preserve"> 1.667/I293 + R293/A293 * Performance!$E$12 + Performance!$E$23 / Constraints!R293 * Constraints!A293</f>
        <v>0.20468819320680087</v>
      </c>
    </row>
    <row r="294" spans="1:21" x14ac:dyDescent="0.3">
      <c r="A294" s="51">
        <v>146</v>
      </c>
      <c r="B294" s="50">
        <f>$V$4*Performance!$E$12*(1/A294)+Performance!$E$23*(1/Constraints!$V$4)*Constraints!A294</f>
        <v>0.20030101409554846</v>
      </c>
      <c r="C294" s="50">
        <f>$V$5*Performance!$E$12*(1/A294)+Performance!$E$23*(1/Constraints!$V$5)*Constraints!A294</f>
        <v>0.30736569541094133</v>
      </c>
      <c r="D294" s="52">
        <f t="shared" si="18"/>
        <v>0.32808242798739429</v>
      </c>
      <c r="E294" s="52">
        <f>$V$4*Performance!$E$12*(1/A294)+Performance!$E$23*(1/Constraints!$V$9)*Constraints!A294</f>
        <v>0.19964165471085532</v>
      </c>
      <c r="F294" s="52">
        <f xml:space="preserve"> 1.21 / (9.81 * Constraints!$N$7 * Performance!$E$15 * Constraints!$N$5 ) * Constraints!A294 + 0.605 /Performance!$E$15 * (Performance!$E$16  - Constraints!$N$6 * Performance!$E$14) + Constraints!$N$6</f>
        <v>0.32800138066019002</v>
      </c>
      <c r="G294" s="54" t="s">
        <v>198</v>
      </c>
      <c r="H294" s="55">
        <f>SQRT(2/$V$3 * A294 * SQRT(Performance!$E$23 / (3 * Performance!$E$12)))</f>
        <v>14.898985999165916</v>
      </c>
      <c r="I294" s="55">
        <f>SQRT(2/$V$3 * A294 * (SQRT(Performance!$E$23)/(SQRT(3*Performance!$E$12 + 4* Performance!$E$23 * Performance!$E$11^2) - SQRT(Performance!$E$23)*Performance!$E$11)))</f>
        <v>15.672765409930346</v>
      </c>
      <c r="J294" t="e">
        <f xml:space="preserve"> $AC$3/G294 + $AC$6/A294 * Performance!$E$12 + Performance!$E$23/Constraints!$AC$6 * Constraints!A294</f>
        <v>#VALUE!</v>
      </c>
      <c r="K294">
        <f xml:space="preserve"> $AC$3/H294 + $AC$6/A294 * Performance!$E$12 + Performance!$E$23/Constraints!$AC$6 * Constraints!A294</f>
        <v>0.81242109703157062</v>
      </c>
      <c r="L294">
        <f xml:space="preserve"> $AC$3/I294 + $AC$6/A294 * Performance!$E$12 + Performance!$E$23/Constraints!$AC$6 * Constraints!A294</f>
        <v>0.79558743759520478</v>
      </c>
      <c r="M294">
        <f>SIN($AC$9 * PI()/180) + 1/Performance!$AE$5</f>
        <v>0.24073077270730886</v>
      </c>
      <c r="N294">
        <f>SIN($AC$9 * PI()/180) + 1/Performance!$AE$8</f>
        <v>0.22738716112204788</v>
      </c>
      <c r="O294" s="60">
        <f>$AC$16 * (Performance!$E$12/Constraints!A294 + Performance!$E$23 * (Constraints!$AC$13/Constraints!$AC$17)^2 * Constraints!A294)</f>
        <v>2.3432668860140239E-4</v>
      </c>
      <c r="P294" t="e">
        <f t="shared" si="19"/>
        <v>#VALUE!</v>
      </c>
      <c r="Q294">
        <f t="shared" si="20"/>
        <v>58.284952590848654</v>
      </c>
      <c r="R294">
        <f t="shared" si="21"/>
        <v>64.496224083392846</v>
      </c>
      <c r="S294" t="e">
        <f xml:space="preserve"> 1.667/G294 + P294/A294 * Performance!$E$12 + Performance!$E$23 / Constraints!P294 * Constraints!A294</f>
        <v>#VALUE!</v>
      </c>
      <c r="T294">
        <f xml:space="preserve"> 1.667/H294 + Q294/A294 * Performance!$E$12 + Performance!$E$23 / Constraints!Q294 * Constraints!A294</f>
        <v>0.21779977651333485</v>
      </c>
      <c r="U294">
        <f xml:space="preserve"> 1.667/I294 + R294/A294 * Performance!$E$12 + Performance!$E$23 / Constraints!R294 * Constraints!A294</f>
        <v>0.2045055959046006</v>
      </c>
    </row>
    <row r="295" spans="1:21" x14ac:dyDescent="0.3">
      <c r="A295" s="51">
        <v>146.5</v>
      </c>
      <c r="B295" s="50">
        <f>$V$4*Performance!$E$12*(1/A295)+Performance!$E$23*(1/Constraints!$V$4)*Constraints!A295</f>
        <v>0.19965693926529562</v>
      </c>
      <c r="C295" s="50">
        <f>$V$5*Performance!$E$12*(1/A295)+Performance!$E$23*(1/Constraints!$V$5)*Constraints!A295</f>
        <v>0.30634199813272411</v>
      </c>
      <c r="D295" s="52">
        <f t="shared" si="18"/>
        <v>0.32835471369967989</v>
      </c>
      <c r="E295" s="52">
        <f>$V$4*Performance!$E$12*(1/A295)+Performance!$E$23*(1/Constraints!$V$9)*Constraints!A295</f>
        <v>0.1989953218005179</v>
      </c>
      <c r="F295" s="52">
        <f xml:space="preserve"> 1.21 / (9.81 * Constraints!$N$7 * Performance!$E$15 * Constraints!$N$5 ) * Constraints!A295 + 0.605 /Performance!$E$15 * (Performance!$E$16  - Constraints!$N$6 * Performance!$E$14) + Constraints!$N$6</f>
        <v>0.32827338881313589</v>
      </c>
      <c r="G295" s="54" t="s">
        <v>198</v>
      </c>
      <c r="H295" s="55">
        <f>SQRT(2/$V$3 * A295 * SQRT(Performance!$E$23 / (3 * Performance!$E$12)))</f>
        <v>14.924476156381319</v>
      </c>
      <c r="I295" s="55">
        <f>SQRT(2/$V$3 * A295 * (SQRT(Performance!$E$23)/(SQRT(3*Performance!$E$12 + 4* Performance!$E$23 * Performance!$E$11^2) - SQRT(Performance!$E$23)*Performance!$E$11)))</f>
        <v>15.699579399440882</v>
      </c>
      <c r="J295" t="e">
        <f xml:space="preserve"> $AC$3/G295 + $AC$6/A295 * Performance!$E$12 + Performance!$E$23/Constraints!$AC$6 * Constraints!A295</f>
        <v>#VALUE!</v>
      </c>
      <c r="K295">
        <f xml:space="preserve"> $AC$3/H295 + $AC$6/A295 * Performance!$E$12 + Performance!$E$23/Constraints!$AC$6 * Constraints!A295</f>
        <v>0.81343693541104201</v>
      </c>
      <c r="L295">
        <f xml:space="preserve"> $AC$3/I295 + $AC$6/A295 * Performance!$E$12 + Performance!$E$23/Constraints!$AC$6 * Constraints!A295</f>
        <v>0.79663202690844748</v>
      </c>
      <c r="M295">
        <f>SIN($AC$9 * PI()/180) + 1/Performance!$AE$5</f>
        <v>0.24073077270730886</v>
      </c>
      <c r="N295">
        <f>SIN($AC$9 * PI()/180) + 1/Performance!$AE$8</f>
        <v>0.22738716112204788</v>
      </c>
      <c r="O295" s="60">
        <f>$AC$16 * (Performance!$E$12/Constraints!A295 + Performance!$E$23 * (Constraints!$AC$13/Constraints!$AC$17)^2 * Constraints!A295)</f>
        <v>2.3397833805232019E-4</v>
      </c>
      <c r="P295" t="e">
        <f t="shared" si="19"/>
        <v>#VALUE!</v>
      </c>
      <c r="Q295">
        <f t="shared" si="20"/>
        <v>58.484558592872105</v>
      </c>
      <c r="R295">
        <f t="shared" si="21"/>
        <v>64.717101563130484</v>
      </c>
      <c r="S295" t="e">
        <f xml:space="preserve"> 1.667/G295 + P295/A295 * Performance!$E$12 + Performance!$E$23 / Constraints!P295 * Constraints!A295</f>
        <v>#VALUE!</v>
      </c>
      <c r="T295">
        <f xml:space="preserve"> 1.667/H295 + Q295/A295 * Performance!$E$12 + Performance!$E$23 / Constraints!Q295 * Constraints!A295</f>
        <v>0.21760868020144306</v>
      </c>
      <c r="U295">
        <f xml:space="preserve"> 1.667/I295 + R295/A295 * Performance!$E$12 + Performance!$E$23 / Constraints!R295 * Constraints!A295</f>
        <v>0.20432393420030662</v>
      </c>
    </row>
    <row r="296" spans="1:21" x14ac:dyDescent="0.3">
      <c r="A296" s="51">
        <v>147</v>
      </c>
      <c r="B296" s="50">
        <f>$V$4*Performance!$E$12*(1/A296)+Performance!$E$23*(1/Constraints!$V$4)*Constraints!A296</f>
        <v>0.19901738063789789</v>
      </c>
      <c r="C296" s="50">
        <f>$V$5*Performance!$E$12*(1/A296)+Performance!$E$23*(1/Constraints!$V$5)*Constraints!A296</f>
        <v>0.30532535109348174</v>
      </c>
      <c r="D296" s="52">
        <f t="shared" si="18"/>
        <v>0.32862699941196549</v>
      </c>
      <c r="E296" s="52">
        <f>$V$4*Performance!$E$12*(1/A296)+Performance!$E$23*(1/Constraints!$V$9)*Constraints!A296</f>
        <v>0.19835350509303559</v>
      </c>
      <c r="F296" s="52">
        <f xml:space="preserve"> 1.21 / (9.81 * Constraints!$N$7 * Performance!$E$15 * Constraints!$N$5 ) * Constraints!A296 + 0.605 /Performance!$E$15 * (Performance!$E$16  - Constraints!$N$6 * Performance!$E$14) + Constraints!$N$6</f>
        <v>0.32854539696608176</v>
      </c>
      <c r="G296" s="54" t="s">
        <v>198</v>
      </c>
      <c r="H296" s="55">
        <f>SQRT(2/$V$3 * A296 * SQRT(Performance!$E$23 / (3 * Performance!$E$12)))</f>
        <v>14.949922852023253</v>
      </c>
      <c r="I296" s="55">
        <f>SQRT(2/$V$3 * A296 * (SQRT(Performance!$E$23)/(SQRT(3*Performance!$E$12 + 4* Performance!$E$23 * Performance!$E$11^2) - SQRT(Performance!$E$23)*Performance!$E$11)))</f>
        <v>15.726347670199457</v>
      </c>
      <c r="J296" t="e">
        <f xml:space="preserve"> $AC$3/G296 + $AC$6/A296 * Performance!$E$12 + Performance!$E$23/Constraints!$AC$6 * Constraints!A296</f>
        <v>#VALUE!</v>
      </c>
      <c r="K296">
        <f xml:space="preserve"> $AC$3/H296 + $AC$6/A296 * Performance!$E$12 + Performance!$E$23/Constraints!$AC$6 * Constraints!A296</f>
        <v>0.81445580315722832</v>
      </c>
      <c r="L296">
        <f xml:space="preserve"> $AC$3/I296 + $AC$6/A296 * Performance!$E$12 + Performance!$E$23/Constraints!$AC$6 * Constraints!A296</f>
        <v>0.7976794987749487</v>
      </c>
      <c r="M296">
        <f>SIN($AC$9 * PI()/180) + 1/Performance!$AE$5</f>
        <v>0.24073077270730886</v>
      </c>
      <c r="N296">
        <f>SIN($AC$9 * PI()/180) + 1/Performance!$AE$8</f>
        <v>0.22738716112204788</v>
      </c>
      <c r="O296" s="60">
        <f>$AC$16 * (Performance!$E$12/Constraints!A296 + Performance!$E$23 * (Constraints!$AC$13/Constraints!$AC$17)^2 * Constraints!A296)</f>
        <v>2.3363389523100046E-4</v>
      </c>
      <c r="P296" t="e">
        <f t="shared" si="19"/>
        <v>#VALUE!</v>
      </c>
      <c r="Q296">
        <f t="shared" si="20"/>
        <v>58.68416459489557</v>
      </c>
      <c r="R296">
        <f t="shared" si="21"/>
        <v>64.937979042868122</v>
      </c>
      <c r="S296" t="e">
        <f xml:space="preserve"> 1.667/G296 + P296/A296 * Performance!$E$12 + Performance!$E$23 / Constraints!P296 * Constraints!A296</f>
        <v>#VALUE!</v>
      </c>
      <c r="T296">
        <f xml:space="preserve"> 1.667/H296 + Q296/A296 * Performance!$E$12 + Performance!$E$23 / Constraints!Q296 * Constraints!A296</f>
        <v>0.21741855970168661</v>
      </c>
      <c r="U296">
        <f xml:space="preserve"> 1.667/I296 + R296/A296 * Performance!$E$12 + Performance!$E$23 / Constraints!R296 * Constraints!A296</f>
        <v>0.20414320013137002</v>
      </c>
    </row>
    <row r="297" spans="1:21" x14ac:dyDescent="0.3">
      <c r="A297" s="51">
        <v>147.5</v>
      </c>
      <c r="B297" s="50">
        <f>$V$4*Performance!$E$12*(1/A297)+Performance!$E$23*(1/Constraints!$V$4)*Constraints!A297</f>
        <v>0.19838229228586868</v>
      </c>
      <c r="C297" s="50">
        <f>$V$5*Performance!$E$12*(1/A297)+Performance!$E$23*(1/Constraints!$V$5)*Constraints!A297</f>
        <v>0.30431568259586889</v>
      </c>
      <c r="D297" s="52">
        <f t="shared" si="18"/>
        <v>0.3288992851242511</v>
      </c>
      <c r="E297" s="52">
        <f>$V$4*Performance!$E$12*(1/A297)+Performance!$E$23*(1/Constraints!$V$9)*Constraints!A297</f>
        <v>0.19771615866092182</v>
      </c>
      <c r="F297" s="52">
        <f xml:space="preserve"> 1.21 / (9.81 * Constraints!$N$7 * Performance!$E$15 * Constraints!$N$5 ) * Constraints!A297 + 0.605 /Performance!$E$15 * (Performance!$E$16  - Constraints!$N$6 * Performance!$E$14) + Constraints!$N$6</f>
        <v>0.32881740511902757</v>
      </c>
      <c r="G297" s="54" t="s">
        <v>198</v>
      </c>
      <c r="H297" s="55">
        <f>SQRT(2/$V$3 * A297 * SQRT(Performance!$E$23 / (3 * Performance!$E$12)))</f>
        <v>14.975326307646842</v>
      </c>
      <c r="I297" s="55">
        <f>SQRT(2/$V$3 * A297 * (SQRT(Performance!$E$23)/(SQRT(3*Performance!$E$12 + 4* Performance!$E$23 * Performance!$E$11^2) - SQRT(Performance!$E$23)*Performance!$E$11)))</f>
        <v>15.753070455267677</v>
      </c>
      <c r="J297" t="e">
        <f xml:space="preserve"> $AC$3/G297 + $AC$6/A297 * Performance!$E$12 + Performance!$E$23/Constraints!$AC$6 * Constraints!A297</f>
        <v>#VALUE!</v>
      </c>
      <c r="K297">
        <f xml:space="preserve"> $AC$3/H297 + $AC$6/A297 * Performance!$E$12 + Performance!$E$23/Constraints!$AC$6 * Constraints!A297</f>
        <v>0.81547767448173003</v>
      </c>
      <c r="L297">
        <f xml:space="preserve"> $AC$3/I297 + $AC$6/A297 * Performance!$E$12 + Performance!$E$23/Constraints!$AC$6 * Constraints!A297</f>
        <v>0.79872982865154774</v>
      </c>
      <c r="M297">
        <f>SIN($AC$9 * PI()/180) + 1/Performance!$AE$5</f>
        <v>0.24073077270730886</v>
      </c>
      <c r="N297">
        <f>SIN($AC$9 * PI()/180) + 1/Performance!$AE$8</f>
        <v>0.22738716112204788</v>
      </c>
      <c r="O297" s="60">
        <f>$AC$16 * (Performance!$E$12/Constraints!A297 + Performance!$E$23 * (Constraints!$AC$13/Constraints!$AC$17)^2 * Constraints!A297)</f>
        <v>2.3329332039783883E-4</v>
      </c>
      <c r="P297" t="e">
        <f t="shared" si="19"/>
        <v>#VALUE!</v>
      </c>
      <c r="Q297">
        <f t="shared" si="20"/>
        <v>58.883770596919014</v>
      </c>
      <c r="R297">
        <f t="shared" si="21"/>
        <v>65.158856522605788</v>
      </c>
      <c r="S297" t="e">
        <f xml:space="preserve"> 1.667/G297 + P297/A297 * Performance!$E$12 + Performance!$E$23 / Constraints!P297 * Constraints!A297</f>
        <v>#VALUE!</v>
      </c>
      <c r="T297">
        <f xml:space="preserve"> 1.667/H297 + Q297/A297 * Performance!$E$12 + Performance!$E$23 / Constraints!Q297 * Constraints!A297</f>
        <v>0.21722940673744312</v>
      </c>
      <c r="U297">
        <f xml:space="preserve"> 1.667/I297 + R297/A297 * Performance!$E$12 + Performance!$E$23 / Constraints!R297 * Constraints!A297</f>
        <v>0.20396338582979312</v>
      </c>
    </row>
    <row r="298" spans="1:21" x14ac:dyDescent="0.3">
      <c r="A298" s="51">
        <v>148</v>
      </c>
      <c r="B298" s="50">
        <f>$V$4*Performance!$E$12*(1/A298)+Performance!$E$23*(1/Constraints!$V$4)*Constraints!A298</f>
        <v>0.19775162890236303</v>
      </c>
      <c r="C298" s="50">
        <f>$V$5*Performance!$E$12*(1/A298)+Performance!$E$23*(1/Constraints!$V$5)*Constraints!A298</f>
        <v>0.30331292191142306</v>
      </c>
      <c r="D298" s="52">
        <f t="shared" si="18"/>
        <v>0.32917157083653664</v>
      </c>
      <c r="E298" s="52">
        <f>$V$4*Performance!$E$12*(1/A298)+Performance!$E$23*(1/Constraints!$V$9)*Constraints!A298</f>
        <v>0.19708323719733159</v>
      </c>
      <c r="F298" s="52">
        <f xml:space="preserve"> 1.21 / (9.81 * Constraints!$N$7 * Performance!$E$15 * Constraints!$N$5 ) * Constraints!A298 + 0.605 /Performance!$E$15 * (Performance!$E$16  - Constraints!$N$6 * Performance!$E$14) + Constraints!$N$6</f>
        <v>0.32908941327197344</v>
      </c>
      <c r="G298" s="54" t="s">
        <v>198</v>
      </c>
      <c r="H298" s="55">
        <f>SQRT(2/$V$3 * A298 * SQRT(Performance!$E$23 / (3 * Performance!$E$12)))</f>
        <v>15.00068674293121</v>
      </c>
      <c r="I298" s="55">
        <f>SQRT(2/$V$3 * A298 * (SQRT(Performance!$E$23)/(SQRT(3*Performance!$E$12 + 4* Performance!$E$23 * Performance!$E$11^2) - SQRT(Performance!$E$23)*Performance!$E$11)))</f>
        <v>15.779747985733701</v>
      </c>
      <c r="J298" t="e">
        <f xml:space="preserve"> $AC$3/G298 + $AC$6/A298 * Performance!$E$12 + Performance!$E$23/Constraints!$AC$6 * Constraints!A298</f>
        <v>#VALUE!</v>
      </c>
      <c r="K298">
        <f xml:space="preserve"> $AC$3/H298 + $AC$6/A298 * Performance!$E$12 + Performance!$E$23/Constraints!$AC$6 * Constraints!A298</f>
        <v>0.81650252390228706</v>
      </c>
      <c r="L298">
        <f xml:space="preserve"> $AC$3/I298 + $AC$6/A298 * Performance!$E$12 + Performance!$E$23/Constraints!$AC$6 * Constraints!A298</f>
        <v>0.79978299228648764</v>
      </c>
      <c r="M298">
        <f>SIN($AC$9 * PI()/180) + 1/Performance!$AE$5</f>
        <v>0.24073077270730886</v>
      </c>
      <c r="N298">
        <f>SIN($AC$9 * PI()/180) + 1/Performance!$AE$8</f>
        <v>0.22738716112204788</v>
      </c>
      <c r="O298" s="60">
        <f>$AC$16 * (Performance!$E$12/Constraints!A298 + Performance!$E$23 * (Constraints!$AC$13/Constraints!$AC$17)^2 * Constraints!A298)</f>
        <v>2.3295657435025259E-4</v>
      </c>
      <c r="P298" t="e">
        <f t="shared" si="19"/>
        <v>#VALUE!</v>
      </c>
      <c r="Q298">
        <f t="shared" si="20"/>
        <v>59.083376598942479</v>
      </c>
      <c r="R298">
        <f t="shared" si="21"/>
        <v>65.37973400234344</v>
      </c>
      <c r="S298" t="e">
        <f xml:space="preserve"> 1.667/G298 + P298/A298 * Performance!$E$12 + Performance!$E$23 / Constraints!P298 * Constraints!A298</f>
        <v>#VALUE!</v>
      </c>
      <c r="T298">
        <f xml:space="preserve"> 1.667/H298 + Q298/A298 * Performance!$E$12 + Performance!$E$23 / Constraints!Q298 * Constraints!A298</f>
        <v>0.2170412131300386</v>
      </c>
      <c r="U298">
        <f xml:space="preserve"> 1.667/I298 + R298/A298 * Performance!$E$12 + Performance!$E$23 / Constraints!R298 * Constraints!A298</f>
        <v>0.20378448352069098</v>
      </c>
    </row>
    <row r="299" spans="1:21" x14ac:dyDescent="0.3">
      <c r="A299" s="51">
        <v>148.5</v>
      </c>
      <c r="B299" s="50">
        <f>$V$4*Performance!$E$12*(1/A299)+Performance!$E$23*(1/Constraints!$V$4)*Constraints!A299</f>
        <v>0.19712534579072913</v>
      </c>
      <c r="C299" s="50">
        <f>$V$5*Performance!$E$12*(1/A299)+Performance!$E$23*(1/Constraints!$V$5)*Constraints!A299</f>
        <v>0.30231699926425354</v>
      </c>
      <c r="D299" s="52">
        <f t="shared" si="18"/>
        <v>0.32944385654882224</v>
      </c>
      <c r="E299" s="52">
        <f>$V$4*Performance!$E$12*(1/A299)+Performance!$E$23*(1/Constraints!$V$9)*Constraints!A299</f>
        <v>0.19645469600561313</v>
      </c>
      <c r="F299" s="52">
        <f xml:space="preserve"> 1.21 / (9.81 * Constraints!$N$7 * Performance!$E$15 * Constraints!$N$5 ) * Constraints!A299 + 0.605 /Performance!$E$15 * (Performance!$E$16  - Constraints!$N$6 * Performance!$E$14) + Constraints!$N$6</f>
        <v>0.32936142142491931</v>
      </c>
      <c r="G299" s="54" t="s">
        <v>198</v>
      </c>
      <c r="H299" s="55">
        <f>SQRT(2/$V$3 * A299 * SQRT(Performance!$E$23 / (3 * Performance!$E$12)))</f>
        <v>15.026004375701635</v>
      </c>
      <c r="I299" s="55">
        <f>SQRT(2/$V$3 * A299 * (SQRT(Performance!$E$23)/(SQRT(3*Performance!$E$12 + 4* Performance!$E$23 * Performance!$E$11^2) - SQRT(Performance!$E$23)*Performance!$E$11)))</f>
        <v>15.806380490735574</v>
      </c>
      <c r="J299" t="e">
        <f xml:space="preserve"> $AC$3/G299 + $AC$6/A299 * Performance!$E$12 + Performance!$E$23/Constraints!$AC$6 * Constraints!A299</f>
        <v>#VALUE!</v>
      </c>
      <c r="K299">
        <f xml:space="preserve"> $AC$3/H299 + $AC$6/A299 * Performance!$E$12 + Performance!$E$23/Constraints!$AC$6 * Constraints!A299</f>
        <v>0.81753032623812427</v>
      </c>
      <c r="L299">
        <f xml:space="preserve"> $AC$3/I299 + $AC$6/A299 * Performance!$E$12 + Performance!$E$23/Constraints!$AC$6 * Constraints!A299</f>
        <v>0.80083896571498259</v>
      </c>
      <c r="M299">
        <f>SIN($AC$9 * PI()/180) + 1/Performance!$AE$5</f>
        <v>0.24073077270730886</v>
      </c>
      <c r="N299">
        <f>SIN($AC$9 * PI()/180) + 1/Performance!$AE$8</f>
        <v>0.22738716112204788</v>
      </c>
      <c r="O299" s="60">
        <f>$AC$16 * (Performance!$E$12/Constraints!A299 + Performance!$E$23 * (Constraints!$AC$13/Constraints!$AC$17)^2 * Constraints!A299)</f>
        <v>2.3262361841364001E-4</v>
      </c>
      <c r="P299" t="e">
        <f t="shared" si="19"/>
        <v>#VALUE!</v>
      </c>
      <c r="Q299">
        <f t="shared" si="20"/>
        <v>59.28298260096593</v>
      </c>
      <c r="R299">
        <f t="shared" si="21"/>
        <v>65.600611482081064</v>
      </c>
      <c r="S299" t="e">
        <f xml:space="preserve"> 1.667/G299 + P299/A299 * Performance!$E$12 + Performance!$E$23 / Constraints!P299 * Constraints!A299</f>
        <v>#VALUE!</v>
      </c>
      <c r="T299">
        <f xml:space="preserve"> 1.667/H299 + Q299/A299 * Performance!$E$12 + Performance!$E$23 / Constraints!Q299 * Constraints!A299</f>
        <v>0.21685397079726212</v>
      </c>
      <c r="U299">
        <f xml:space="preserve"> 1.667/I299 + R299/A299 * Performance!$E$12 + Performance!$E$23 / Constraints!R299 * Constraints!A299</f>
        <v>0.20360648552087918</v>
      </c>
    </row>
    <row r="300" spans="1:21" x14ac:dyDescent="0.3">
      <c r="A300" s="51">
        <v>149</v>
      </c>
      <c r="B300" s="50">
        <f>$V$4*Performance!$E$12*(1/A300)+Performance!$E$23*(1/Constraints!$V$4)*Constraints!A300</f>
        <v>0.19650339885427034</v>
      </c>
      <c r="C300" s="50">
        <f>$V$5*Performance!$E$12*(1/A300)+Performance!$E$23*(1/Constraints!$V$5)*Constraints!A300</f>
        <v>0.301327845815059</v>
      </c>
      <c r="D300" s="52">
        <f t="shared" si="18"/>
        <v>0.32971614226110785</v>
      </c>
      <c r="E300" s="52">
        <f>$V$4*Performance!$E$12*(1/A300)+Performance!$E$23*(1/Constraints!$V$9)*Constraints!A300</f>
        <v>0.19583049098906979</v>
      </c>
      <c r="F300" s="52">
        <f xml:space="preserve"> 1.21 / (9.81 * Constraints!$N$7 * Performance!$E$15 * Constraints!$N$5 ) * Constraints!A300 + 0.605 /Performance!$E$15 * (Performance!$E$16  - Constraints!$N$6 * Performance!$E$14) + Constraints!$N$6</f>
        <v>0.32963342957786518</v>
      </c>
      <c r="G300" s="54" t="s">
        <v>198</v>
      </c>
      <c r="H300" s="55">
        <f>SQRT(2/$V$3 * A300 * SQRT(Performance!$E$23 / (3 * Performance!$E$12)))</f>
        <v>15.051279421951385</v>
      </c>
      <c r="I300" s="55">
        <f>SQRT(2/$V$3 * A300 * (SQRT(Performance!$E$23)/(SQRT(3*Performance!$E$12 + 4* Performance!$E$23 * Performance!$E$11^2) - SQRT(Performance!$E$23)*Performance!$E$11)))</f>
        <v>15.832968197484185</v>
      </c>
      <c r="J300" t="e">
        <f xml:space="preserve"> $AC$3/G300 + $AC$6/A300 * Performance!$E$12 + Performance!$E$23/Constraints!$AC$6 * Constraints!A300</f>
        <v>#VALUE!</v>
      </c>
      <c r="K300">
        <f xml:space="preserve"> $AC$3/H300 + $AC$6/A300 * Performance!$E$12 + Performance!$E$23/Constraints!$AC$6 * Constraints!A300</f>
        <v>0.81856105660538192</v>
      </c>
      <c r="L300">
        <f xml:space="preserve"> $AC$3/I300 + $AC$6/A300 * Performance!$E$12 + Performance!$E$23/Constraints!$AC$6 * Constraints!A300</f>
        <v>0.80189772525486847</v>
      </c>
      <c r="M300">
        <f>SIN($AC$9 * PI()/180) + 1/Performance!$AE$5</f>
        <v>0.24073077270730886</v>
      </c>
      <c r="N300">
        <f>SIN($AC$9 * PI()/180) + 1/Performance!$AE$8</f>
        <v>0.22738716112204788</v>
      </c>
      <c r="O300" s="60">
        <f>$AC$16 * (Performance!$E$12/Constraints!A300 + Performance!$E$23 * (Constraints!$AC$13/Constraints!$AC$17)^2 * Constraints!A300)</f>
        <v>2.3229441443252147E-4</v>
      </c>
      <c r="P300" t="e">
        <f t="shared" si="19"/>
        <v>#VALUE!</v>
      </c>
      <c r="Q300">
        <f t="shared" si="20"/>
        <v>59.482588602989374</v>
      </c>
      <c r="R300">
        <f t="shared" si="21"/>
        <v>65.82148896181873</v>
      </c>
      <c r="S300" t="e">
        <f xml:space="preserve"> 1.667/G300 + P300/A300 * Performance!$E$12 + Performance!$E$23 / Constraints!P300 * Constraints!A300</f>
        <v>#VALUE!</v>
      </c>
      <c r="T300">
        <f xml:space="preserve"> 1.667/H300 + Q300/A300 * Performance!$E$12 + Performance!$E$23 / Constraints!Q300 * Constraints!A300</f>
        <v>0.21666767175190799</v>
      </c>
      <c r="U300">
        <f xml:space="preserve"> 1.667/I300 + R300/A300 * Performance!$E$12 + Performance!$E$23 / Constraints!R300 * Constraints!A300</f>
        <v>0.20342938423748788</v>
      </c>
    </row>
    <row r="301" spans="1:21" x14ac:dyDescent="0.3">
      <c r="A301" s="51">
        <v>149.5</v>
      </c>
      <c r="B301" s="50">
        <f>$V$4*Performance!$E$12*(1/A301)+Performance!$E$23*(1/Constraints!$V$4)*Constraints!A301</f>
        <v>0.19588574458621233</v>
      </c>
      <c r="C301" s="50">
        <f>$V$5*Performance!$E$12*(1/A301)+Performance!$E$23*(1/Constraints!$V$5)*Constraints!A301</f>
        <v>0.30034539364546509</v>
      </c>
      <c r="D301" s="52">
        <f t="shared" si="18"/>
        <v>0.32998842797339345</v>
      </c>
      <c r="E301" s="52">
        <f>$V$4*Performance!$E$12*(1/A301)+Performance!$E$23*(1/Constraints!$V$9)*Constraints!A301</f>
        <v>0.1952105786409272</v>
      </c>
      <c r="F301" s="52">
        <f xml:space="preserve"> 1.21 / (9.81 * Constraints!$N$7 * Performance!$E$15 * Constraints!$N$5 ) * Constraints!A301 + 0.605 /Performance!$E$15 * (Performance!$E$16  - Constraints!$N$6 * Performance!$E$14) + Constraints!$N$6</f>
        <v>0.32990543773081099</v>
      </c>
      <c r="G301" s="54" t="s">
        <v>198</v>
      </c>
      <c r="H301" s="55">
        <f>SQRT(2/$V$3 * A301 * SQRT(Performance!$E$23 / (3 * Performance!$E$12)))</f>
        <v>15.076512095863214</v>
      </c>
      <c r="I301" s="55">
        <f>SQRT(2/$V$3 * A301 * (SQRT(Performance!$E$23)/(SQRT(3*Performance!$E$12 + 4* Performance!$E$23 * Performance!$E$11^2) - SQRT(Performance!$E$23)*Performance!$E$11)))</f>
        <v>15.859511331285873</v>
      </c>
      <c r="J301" t="e">
        <f xml:space="preserve"> $AC$3/G301 + $AC$6/A301 * Performance!$E$12 + Performance!$E$23/Constraints!$AC$6 * Constraints!A301</f>
        <v>#VALUE!</v>
      </c>
      <c r="K301">
        <f xml:space="preserve"> $AC$3/H301 + $AC$6/A301 * Performance!$E$12 + Performance!$E$23/Constraints!$AC$6 * Constraints!A301</f>
        <v>0.819594690412631</v>
      </c>
      <c r="L301">
        <f xml:space="preserve"> $AC$3/I301 + $AC$6/A301 * Performance!$E$12 + Performance!$E$23/Constraints!$AC$6 * Constraints!A301</f>
        <v>0.80295924750233372</v>
      </c>
      <c r="M301">
        <f>SIN($AC$9 * PI()/180) + 1/Performance!$AE$5</f>
        <v>0.24073077270730886</v>
      </c>
      <c r="N301">
        <f>SIN($AC$9 * PI()/180) + 1/Performance!$AE$8</f>
        <v>0.22738716112204788</v>
      </c>
      <c r="O301" s="60">
        <f>$AC$16 * (Performance!$E$12/Constraints!A301 + Performance!$E$23 * (Constraints!$AC$13/Constraints!$AC$17)^2 * Constraints!A301)</f>
        <v>2.319689247618586E-4</v>
      </c>
      <c r="P301" t="e">
        <f t="shared" si="19"/>
        <v>#VALUE!</v>
      </c>
      <c r="Q301">
        <f t="shared" si="20"/>
        <v>59.682194605012839</v>
      </c>
      <c r="R301">
        <f t="shared" si="21"/>
        <v>66.042366441556368</v>
      </c>
      <c r="S301" t="e">
        <f xml:space="preserve"> 1.667/G301 + P301/A301 * Performance!$E$12 + Performance!$E$23 / Constraints!P301 * Constraints!A301</f>
        <v>#VALUE!</v>
      </c>
      <c r="T301">
        <f xml:space="preserve"> 1.667/H301 + Q301/A301 * Performance!$E$12 + Performance!$E$23 / Constraints!Q301 * Constraints!A301</f>
        <v>0.21648230810034463</v>
      </c>
      <c r="U301">
        <f xml:space="preserve"> 1.667/I301 + R301/A301 * Performance!$E$12 + Performance!$E$23 / Constraints!R301 * Constraints!A301</f>
        <v>0.20325317216660177</v>
      </c>
    </row>
    <row r="302" spans="1:21" x14ac:dyDescent="0.3">
      <c r="A302" s="51">
        <v>150</v>
      </c>
      <c r="B302" s="50">
        <f>$V$4*Performance!$E$12*(1/A302)+Performance!$E$23*(1/Constraints!$V$4)*Constraints!A302</f>
        <v>0.19527234005987107</v>
      </c>
      <c r="C302" s="50">
        <f>$V$5*Performance!$E$12*(1/A302)+Performance!$E$23*(1/Constraints!$V$5)*Constraints!A302</f>
        <v>0.29936957574267581</v>
      </c>
      <c r="D302" s="52">
        <f t="shared" si="18"/>
        <v>0.33026071368567905</v>
      </c>
      <c r="E302" s="52">
        <f>$V$4*Performance!$E$12*(1/A302)+Performance!$E$23*(1/Constraints!$V$9)*Constraints!A302</f>
        <v>0.19459491603450138</v>
      </c>
      <c r="F302" s="52">
        <f xml:space="preserve"> 1.21 / (9.81 * Constraints!$N$7 * Performance!$E$15 * Constraints!$N$5 ) * Constraints!A302 + 0.605 /Performance!$E$15 * (Performance!$E$16  - Constraints!$N$6 * Performance!$E$14) + Constraints!$N$6</f>
        <v>0.33017744588375686</v>
      </c>
      <c r="G302" s="54" t="s">
        <v>198</v>
      </c>
      <c r="H302" s="55">
        <f>SQRT(2/$V$3 * A302 * SQRT(Performance!$E$23 / (3 * Performance!$E$12)))</f>
        <v>15.101702609830532</v>
      </c>
      <c r="I302" s="55">
        <f>SQRT(2/$V$3 * A302 * (SQRT(Performance!$E$23)/(SQRT(3*Performance!$E$12 + 4* Performance!$E$23 * Performance!$E$11^2) - SQRT(Performance!$E$23)*Performance!$E$11)))</f>
        <v>15.886010115564714</v>
      </c>
      <c r="J302" t="e">
        <f xml:space="preserve"> $AC$3/G302 + $AC$6/A302 * Performance!$E$12 + Performance!$E$23/Constraints!$AC$6 * Constraints!A302</f>
        <v>#VALUE!</v>
      </c>
      <c r="K302">
        <f xml:space="preserve"> $AC$3/H302 + $AC$6/A302 * Performance!$E$12 + Performance!$E$23/Constraints!$AC$6 * Constraints!A302</f>
        <v>0.82063120335647177</v>
      </c>
      <c r="L302">
        <f xml:space="preserve"> $AC$3/I302 + $AC$6/A302 * Performance!$E$12 + Performance!$E$23/Constraints!$AC$6 * Constraints!A302</f>
        <v>0.80402350932772837</v>
      </c>
      <c r="M302">
        <f>SIN($AC$9 * PI()/180) + 1/Performance!$AE$5</f>
        <v>0.24073077270730886</v>
      </c>
      <c r="N302">
        <f>SIN($AC$9 * PI()/180) + 1/Performance!$AE$8</f>
        <v>0.22738716112204788</v>
      </c>
      <c r="O302" s="60">
        <f>$AC$16 * (Performance!$E$12/Constraints!A302 + Performance!$E$23 * (Constraints!$AC$13/Constraints!$AC$17)^2 * Constraints!A302)</f>
        <v>2.316471122585468E-4</v>
      </c>
      <c r="P302" t="e">
        <f t="shared" si="19"/>
        <v>#VALUE!</v>
      </c>
      <c r="Q302">
        <f t="shared" si="20"/>
        <v>59.88180060703629</v>
      </c>
      <c r="R302">
        <f t="shared" si="21"/>
        <v>66.26324392129402</v>
      </c>
      <c r="S302" t="e">
        <f xml:space="preserve"> 1.667/G302 + P302/A302 * Performance!$E$12 + Performance!$E$23 / Constraints!P302 * Constraints!A302</f>
        <v>#VALUE!</v>
      </c>
      <c r="T302">
        <f xml:space="preserve"> 1.667/H302 + Q302/A302 * Performance!$E$12 + Performance!$E$23 / Constraints!Q302 * Constraints!A302</f>
        <v>0.21629787204110998</v>
      </c>
      <c r="U302">
        <f xml:space="preserve"> 1.667/I302 + R302/A302 * Performance!$E$12 + Performance!$E$23 / Constraints!R302 * Constraints!A302</f>
        <v>0.20307784189192424</v>
      </c>
    </row>
    <row r="303" spans="1:21" x14ac:dyDescent="0.3">
      <c r="A303" s="51">
        <v>150.5</v>
      </c>
      <c r="B303" s="50">
        <f>$V$4*Performance!$E$12*(1/A303)+Performance!$E$23*(1/Constraints!$V$4)*Constraints!A303</f>
        <v>0.19466314291901682</v>
      </c>
      <c r="C303" s="50">
        <f>$V$5*Performance!$E$12*(1/A303)+Performance!$E$23*(1/Constraints!$V$5)*Constraints!A303</f>
        <v>0.29840032598443067</v>
      </c>
      <c r="D303" s="52">
        <f t="shared" si="18"/>
        <v>0.33053299939796466</v>
      </c>
      <c r="E303" s="52">
        <f>$V$4*Performance!$E$12*(1/A303)+Performance!$E$23*(1/Constraints!$V$9)*Constraints!A303</f>
        <v>0.19398346081356257</v>
      </c>
      <c r="F303" s="52">
        <f xml:space="preserve"> 1.21 / (9.81 * Constraints!$N$7 * Performance!$E$15 * Constraints!$N$5 ) * Constraints!A303 + 0.605 /Performance!$E$15 * (Performance!$E$16  - Constraints!$N$6 * Performance!$E$14) + Constraints!$N$6</f>
        <v>0.33044945403670273</v>
      </c>
      <c r="G303" s="54" t="s">
        <v>198</v>
      </c>
      <c r="H303" s="55">
        <f>SQRT(2/$V$3 * A303 * SQRT(Performance!$E$23 / (3 * Performance!$E$12)))</f>
        <v>15.126851174478277</v>
      </c>
      <c r="I303" s="55">
        <f>SQRT(2/$V$3 * A303 * (SQRT(Performance!$E$23)/(SQRT(3*Performance!$E$12 + 4* Performance!$E$23 * Performance!$E$11^2) - SQRT(Performance!$E$23)*Performance!$E$11)))</f>
        <v>15.912464771884457</v>
      </c>
      <c r="J303" t="e">
        <f xml:space="preserve"> $AC$3/G303 + $AC$6/A303 * Performance!$E$12 + Performance!$E$23/Constraints!$AC$6 * Constraints!A303</f>
        <v>#VALUE!</v>
      </c>
      <c r="K303">
        <f xml:space="preserve"> $AC$3/H303 + $AC$6/A303 * Performance!$E$12 + Performance!$E$23/Constraints!$AC$6 * Constraints!A303</f>
        <v>0.821670571417211</v>
      </c>
      <c r="L303">
        <f xml:space="preserve"> $AC$3/I303 + $AC$6/A303 * Performance!$E$12 + Performance!$E$23/Constraints!$AC$6 * Constraints!A303</f>
        <v>0.80509048787145021</v>
      </c>
      <c r="M303">
        <f>SIN($AC$9 * PI()/180) + 1/Performance!$AE$5</f>
        <v>0.24073077270730886</v>
      </c>
      <c r="N303">
        <f>SIN($AC$9 * PI()/180) + 1/Performance!$AE$8</f>
        <v>0.22738716112204788</v>
      </c>
      <c r="O303" s="60">
        <f>$AC$16 * (Performance!$E$12/Constraints!A303 + Performance!$E$23 * (Constraints!$AC$13/Constraints!$AC$17)^2 * Constraints!A303)</f>
        <v>2.313289402730776E-4</v>
      </c>
      <c r="P303" t="e">
        <f t="shared" si="19"/>
        <v>#VALUE!</v>
      </c>
      <c r="Q303">
        <f t="shared" si="20"/>
        <v>60.081406609059741</v>
      </c>
      <c r="R303">
        <f t="shared" si="21"/>
        <v>66.484121401031672</v>
      </c>
      <c r="S303" t="e">
        <f xml:space="preserve"> 1.667/G303 + P303/A303 * Performance!$E$12 + Performance!$E$23 / Constraints!P303 * Constraints!A303</f>
        <v>#VALUE!</v>
      </c>
      <c r="T303">
        <f xml:space="preserve"> 1.667/H303 + Q303/A303 * Performance!$E$12 + Performance!$E$23 / Constraints!Q303 * Constraints!A303</f>
        <v>0.21611435586353198</v>
      </c>
      <c r="U303">
        <f xml:space="preserve"> 1.667/I303 + R303/A303 * Performance!$E$12 + Performance!$E$23 / Constraints!R303 * Constraints!A303</f>
        <v>0.2029033860834667</v>
      </c>
    </row>
    <row r="304" spans="1:21" x14ac:dyDescent="0.3">
      <c r="A304" s="51">
        <v>151</v>
      </c>
      <c r="B304" s="50">
        <f>$V$4*Performance!$E$12*(1/A304)+Performance!$E$23*(1/Constraints!$V$4)*Constraints!A304</f>
        <v>0.19405811136842951</v>
      </c>
      <c r="C304" s="50">
        <f>$V$5*Performance!$E$12*(1/A304)+Performance!$E$23*(1/Constraints!$V$5)*Constraints!A304</f>
        <v>0.29743757912426061</v>
      </c>
      <c r="D304" s="52">
        <f t="shared" si="18"/>
        <v>0.33080528511025026</v>
      </c>
      <c r="E304" s="52">
        <f>$V$4*Performance!$E$12*(1/A304)+Performance!$E$23*(1/Constraints!$V$9)*Constraints!A304</f>
        <v>0.19337617118289072</v>
      </c>
      <c r="F304" s="52">
        <f xml:space="preserve"> 1.21 / (9.81 * Constraints!$N$7 * Performance!$E$15 * Constraints!$N$5 ) * Constraints!A304 + 0.605 /Performance!$E$15 * (Performance!$E$16  - Constraints!$N$6 * Performance!$E$14) + Constraints!$N$6</f>
        <v>0.3307214621896486</v>
      </c>
      <c r="G304" s="54" t="s">
        <v>198</v>
      </c>
      <c r="H304" s="55">
        <f>SQRT(2/$V$3 * A304 * SQRT(Performance!$E$23 / (3 * Performance!$E$12)))</f>
        <v>15.15195799868345</v>
      </c>
      <c r="I304" s="55">
        <f>SQRT(2/$V$3 * A304 * (SQRT(Performance!$E$23)/(SQRT(3*Performance!$E$12 + 4* Performance!$E$23 * Performance!$E$11^2) - SQRT(Performance!$E$23)*Performance!$E$11)))</f>
        <v>15.938875519970136</v>
      </c>
      <c r="J304" t="e">
        <f xml:space="preserve"> $AC$3/G304 + $AC$6/A304 * Performance!$E$12 + Performance!$E$23/Constraints!$AC$6 * Constraints!A304</f>
        <v>#VALUE!</v>
      </c>
      <c r="K304">
        <f xml:space="preserve"> $AC$3/H304 + $AC$6/A304 * Performance!$E$12 + Performance!$E$23/Constraints!$AC$6 * Constraints!A304</f>
        <v>0.82271277085462091</v>
      </c>
      <c r="L304">
        <f xml:space="preserve"> $AC$3/I304 + $AC$6/A304 * Performance!$E$12 + Performance!$E$23/Constraints!$AC$6 * Constraints!A304</f>
        <v>0.80616016053990558</v>
      </c>
      <c r="M304">
        <f>SIN($AC$9 * PI()/180) + 1/Performance!$AE$5</f>
        <v>0.24073077270730886</v>
      </c>
      <c r="N304">
        <f>SIN($AC$9 * PI()/180) + 1/Performance!$AE$8</f>
        <v>0.22738716112204788</v>
      </c>
      <c r="O304" s="60">
        <f>$AC$16 * (Performance!$E$12/Constraints!A304 + Performance!$E$23 * (Constraints!$AC$13/Constraints!$AC$17)^2 * Constraints!A304)</f>
        <v>2.310143726413665E-4</v>
      </c>
      <c r="P304" t="e">
        <f t="shared" si="19"/>
        <v>#VALUE!</v>
      </c>
      <c r="Q304">
        <f t="shared" si="20"/>
        <v>60.281012611083192</v>
      </c>
      <c r="R304">
        <f t="shared" si="21"/>
        <v>66.70499888076931</v>
      </c>
      <c r="S304" t="e">
        <f xml:space="preserve"> 1.667/G304 + P304/A304 * Performance!$E$12 + Performance!$E$23 / Constraints!P304 * Constraints!A304</f>
        <v>#VALUE!</v>
      </c>
      <c r="T304">
        <f xml:space="preserve"> 1.667/H304 + Q304/A304 * Performance!$E$12 + Performance!$E$23 / Constraints!Q304 * Constraints!A304</f>
        <v>0.21593175194637509</v>
      </c>
      <c r="U304">
        <f xml:space="preserve"> 1.667/I304 + R304/A304 * Performance!$E$12 + Performance!$E$23 / Constraints!R304 * Constraints!A304</f>
        <v>0.20272979749626119</v>
      </c>
    </row>
    <row r="305" spans="1:21" x14ac:dyDescent="0.3">
      <c r="A305" s="51">
        <v>151.5</v>
      </c>
      <c r="B305" s="50">
        <f>$V$4*Performance!$E$12*(1/A305)+Performance!$E$23*(1/Constraints!$V$4)*Constraints!A305</f>
        <v>0.19345720416464121</v>
      </c>
      <c r="C305" s="50">
        <f>$V$5*Performance!$E$12*(1/A305)+Performance!$E$23*(1/Constraints!$V$5)*Constraints!A305</f>
        <v>0.29648127077703629</v>
      </c>
      <c r="D305" s="52">
        <f t="shared" si="18"/>
        <v>0.33107757082253586</v>
      </c>
      <c r="E305" s="52">
        <f>$V$4*Performance!$E$12*(1/A305)+Performance!$E$23*(1/Constraints!$V$9)*Constraints!A305</f>
        <v>0.19277300589901783</v>
      </c>
      <c r="F305" s="52">
        <f xml:space="preserve"> 1.21 / (9.81 * Constraints!$N$7 * Performance!$E$15 * Constraints!$N$5 ) * Constraints!A305 + 0.605 /Performance!$E$15 * (Performance!$E$16  - Constraints!$N$6 * Performance!$E$14) + Constraints!$N$6</f>
        <v>0.33099347034259446</v>
      </c>
      <c r="G305" s="54" t="s">
        <v>198</v>
      </c>
      <c r="H305" s="55">
        <f>SQRT(2/$V$3 * A305 * SQRT(Performance!$E$23 / (3 * Performance!$E$12)))</f>
        <v>15.177023289595358</v>
      </c>
      <c r="I305" s="55">
        <f>SQRT(2/$V$3 * A305 * (SQRT(Performance!$E$23)/(SQRT(3*Performance!$E$12 + 4* Performance!$E$23 * Performance!$E$11^2) - SQRT(Performance!$E$23)*Performance!$E$11)))</f>
        <v>15.965242577729367</v>
      </c>
      <c r="J305" t="e">
        <f xml:space="preserve"> $AC$3/G305 + $AC$6/A305 * Performance!$E$12 + Performance!$E$23/Constraints!$AC$6 * Constraints!A305</f>
        <v>#VALUE!</v>
      </c>
      <c r="K305">
        <f xml:space="preserve"> $AC$3/H305 + $AC$6/A305 * Performance!$E$12 + Performance!$E$23/Constraints!$AC$6 * Constraints!A305</f>
        <v>0.82375777820377305</v>
      </c>
      <c r="L305">
        <f xml:space="preserve"> $AC$3/I305 + $AC$6/A305 * Performance!$E$12 + Performance!$E$23/Constraints!$AC$6 * Constraints!A305</f>
        <v>0.80723250500154498</v>
      </c>
      <c r="M305">
        <f>SIN($AC$9 * PI()/180) + 1/Performance!$AE$5</f>
        <v>0.24073077270730886</v>
      </c>
      <c r="N305">
        <f>SIN($AC$9 * PI()/180) + 1/Performance!$AE$8</f>
        <v>0.22738716112204788</v>
      </c>
      <c r="O305" s="60">
        <f>$AC$16 * (Performance!$E$12/Constraints!A305 + Performance!$E$23 * (Constraints!$AC$13/Constraints!$AC$17)^2 * Constraints!A305)</f>
        <v>2.3070337367674259E-4</v>
      </c>
      <c r="P305" t="e">
        <f t="shared" si="19"/>
        <v>#VALUE!</v>
      </c>
      <c r="Q305">
        <f t="shared" si="20"/>
        <v>60.480618613106643</v>
      </c>
      <c r="R305">
        <f t="shared" si="21"/>
        <v>66.925876360506948</v>
      </c>
      <c r="S305" t="e">
        <f xml:space="preserve"> 1.667/G305 + P305/A305 * Performance!$E$12 + Performance!$E$23 / Constraints!P305 * Constraints!A305</f>
        <v>#VALUE!</v>
      </c>
      <c r="T305">
        <f xml:space="preserve"> 1.667/H305 + Q305/A305 * Performance!$E$12 + Performance!$E$23 / Constraints!Q305 * Constraints!A305</f>
        <v>0.21575005275651071</v>
      </c>
      <c r="U305">
        <f xml:space="preserve"> 1.667/I305 + R305/A305 * Performance!$E$12 + Performance!$E$23 / Constraints!R305 * Constraints!A305</f>
        <v>0.20255706896909687</v>
      </c>
    </row>
    <row r="306" spans="1:21" x14ac:dyDescent="0.3">
      <c r="A306" s="51">
        <v>152</v>
      </c>
      <c r="B306" s="50">
        <f>$V$4*Performance!$E$12*(1/A306)+Performance!$E$23*(1/Constraints!$V$4)*Constraints!A306</f>
        <v>0.19286038060686103</v>
      </c>
      <c r="C306" s="50">
        <f>$V$5*Performance!$E$12*(1/A306)+Performance!$E$23*(1/Constraints!$V$5)*Constraints!A306</f>
        <v>0.29553133740480081</v>
      </c>
      <c r="D306" s="52">
        <f t="shared" si="18"/>
        <v>0.33134985653482146</v>
      </c>
      <c r="E306" s="52">
        <f>$V$4*Performance!$E$12*(1/A306)+Performance!$E$23*(1/Constraints!$V$9)*Constraints!A306</f>
        <v>0.1921739242611531</v>
      </c>
      <c r="F306" s="52">
        <f xml:space="preserve"> 1.21 / (9.81 * Constraints!$N$7 * Performance!$E$15 * Constraints!$N$5 ) * Constraints!A306 + 0.605 /Performance!$E$15 * (Performance!$E$16  - Constraints!$N$6 * Performance!$E$14) + Constraints!$N$6</f>
        <v>0.33126547849554028</v>
      </c>
      <c r="G306" s="54" t="s">
        <v>198</v>
      </c>
      <c r="H306" s="55">
        <f>SQRT(2/$V$3 * A306 * SQRT(Performance!$E$23 / (3 * Performance!$E$12)))</f>
        <v>15.202047252655559</v>
      </c>
      <c r="I306" s="55">
        <f>SQRT(2/$V$3 * A306 * (SQRT(Performance!$E$23)/(SQRT(3*Performance!$E$12 + 4* Performance!$E$23 * Performance!$E$11^2) - SQRT(Performance!$E$23)*Performance!$E$11)))</f>
        <v>15.991566161273326</v>
      </c>
      <c r="J306" t="e">
        <f xml:space="preserve"> $AC$3/G306 + $AC$6/A306 * Performance!$E$12 + Performance!$E$23/Constraints!$AC$6 * Constraints!A306</f>
        <v>#VALUE!</v>
      </c>
      <c r="K306">
        <f xml:space="preserve"> $AC$3/H306 + $AC$6/A306 * Performance!$E$12 + Performance!$E$23/Constraints!$AC$6 * Constraints!A306</f>
        <v>0.82480557027094858</v>
      </c>
      <c r="L306">
        <f xml:space="preserve"> $AC$3/I306 + $AC$6/A306 * Performance!$E$12 + Performance!$E$23/Constraints!$AC$6 * Constraints!A306</f>
        <v>0.80830749918296863</v>
      </c>
      <c r="M306">
        <f>SIN($AC$9 * PI()/180) + 1/Performance!$AE$5</f>
        <v>0.24073077270730886</v>
      </c>
      <c r="N306">
        <f>SIN($AC$9 * PI()/180) + 1/Performance!$AE$8</f>
        <v>0.22738716112204788</v>
      </c>
      <c r="O306" s="60">
        <f>$AC$16 * (Performance!$E$12/Constraints!A306 + Performance!$E$23 * (Constraints!$AC$13/Constraints!$AC$17)^2 * Constraints!A306)</f>
        <v>2.3039590816209649E-4</v>
      </c>
      <c r="P306" t="e">
        <f t="shared" si="19"/>
        <v>#VALUE!</v>
      </c>
      <c r="Q306">
        <f t="shared" si="20"/>
        <v>60.680224615130093</v>
      </c>
      <c r="R306">
        <f t="shared" si="21"/>
        <v>67.1467538402446</v>
      </c>
      <c r="S306" t="e">
        <f xml:space="preserve"> 1.667/G306 + P306/A306 * Performance!$E$12 + Performance!$E$23 / Constraints!P306 * Constraints!A306</f>
        <v>#VALUE!</v>
      </c>
      <c r="T306">
        <f xml:space="preserve"> 1.667/H306 + Q306/A306 * Performance!$E$12 + Performance!$E$23 / Constraints!Q306 * Constraints!A306</f>
        <v>0.21556925084761183</v>
      </c>
      <c r="U306">
        <f xml:space="preserve"> 1.667/I306 + R306/A306 * Performance!$E$12 + Performance!$E$23 / Constraints!R306 * Constraints!A306</f>
        <v>0.20238519342327899</v>
      </c>
    </row>
    <row r="307" spans="1:21" x14ac:dyDescent="0.3">
      <c r="A307" s="51">
        <v>152.5</v>
      </c>
      <c r="B307" s="50">
        <f>$V$4*Performance!$E$12*(1/A307)+Performance!$E$23*(1/Constraints!$V$4)*Constraints!A307</f>
        <v>0.19226760052807917</v>
      </c>
      <c r="C307" s="50">
        <f>$V$5*Performance!$E$12*(1/A307)+Performance!$E$23*(1/Constraints!$V$5)*Constraints!A307</f>
        <v>0.29458771630288244</v>
      </c>
      <c r="D307" s="52">
        <f t="shared" si="18"/>
        <v>0.33162214224710707</v>
      </c>
      <c r="E307" s="52">
        <f>$V$4*Performance!$E$12*(1/A307)+Performance!$E$23*(1/Constraints!$V$9)*Constraints!A307</f>
        <v>0.19157888610228668</v>
      </c>
      <c r="F307" s="52">
        <f xml:space="preserve"> 1.21 / (9.81 * Constraints!$N$7 * Performance!$E$15 * Constraints!$N$5 ) * Constraints!A307 + 0.605 /Performance!$E$15 * (Performance!$E$16  - Constraints!$N$6 * Performance!$E$14) + Constraints!$N$6</f>
        <v>0.33153748664848615</v>
      </c>
      <c r="G307" s="54" t="s">
        <v>198</v>
      </c>
      <c r="H307" s="55">
        <f>SQRT(2/$V$3 * A307 * SQRT(Performance!$E$23 / (3 * Performance!$E$12)))</f>
        <v>15.227030091617506</v>
      </c>
      <c r="I307" s="55">
        <f>SQRT(2/$V$3 * A307 * (SQRT(Performance!$E$23)/(SQRT(3*Performance!$E$12 + 4* Performance!$E$23 * Performance!$E$11^2) - SQRT(Performance!$E$23)*Performance!$E$11)))</f>
        <v>16.017846484937404</v>
      </c>
      <c r="J307" t="e">
        <f xml:space="preserve"> $AC$3/G307 + $AC$6/A307 * Performance!$E$12 + Performance!$E$23/Constraints!$AC$6 * Constraints!A307</f>
        <v>#VALUE!</v>
      </c>
      <c r="K307">
        <f xml:space="preserve"> $AC$3/H307 + $AC$6/A307 * Performance!$E$12 + Performance!$E$23/Constraints!$AC$6 * Constraints!A307</f>
        <v>0.82585612412962339</v>
      </c>
      <c r="L307">
        <f xml:space="preserve"> $AC$3/I307 + $AC$6/A307 * Performance!$E$12 + Performance!$E$23/Constraints!$AC$6 * Constraints!A307</f>
        <v>0.80938512126510487</v>
      </c>
      <c r="M307">
        <f>SIN($AC$9 * PI()/180) + 1/Performance!$AE$5</f>
        <v>0.24073077270730886</v>
      </c>
      <c r="N307">
        <f>SIN($AC$9 * PI()/180) + 1/Performance!$AE$8</f>
        <v>0.22738716112204788</v>
      </c>
      <c r="O307" s="60">
        <f>$AC$16 * (Performance!$E$12/Constraints!A307 + Performance!$E$23 * (Constraints!$AC$13/Constraints!$AC$17)^2 * Constraints!A307)</f>
        <v>2.3009194134218251E-4</v>
      </c>
      <c r="P307" t="e">
        <f t="shared" si="19"/>
        <v>#VALUE!</v>
      </c>
      <c r="Q307">
        <f t="shared" si="20"/>
        <v>60.879830617153566</v>
      </c>
      <c r="R307">
        <f t="shared" si="21"/>
        <v>67.367631319982266</v>
      </c>
      <c r="S307" t="e">
        <f xml:space="preserve"> 1.667/G307 + P307/A307 * Performance!$E$12 + Performance!$E$23 / Constraints!P307 * Constraints!A307</f>
        <v>#VALUE!</v>
      </c>
      <c r="T307">
        <f xml:space="preserve"> 1.667/H307 + Q307/A307 * Performance!$E$12 + Performance!$E$23 / Constraints!Q307 * Constraints!A307</f>
        <v>0.21538933885887135</v>
      </c>
      <c r="U307">
        <f xml:space="preserve"> 1.667/I307 + R307/A307 * Performance!$E$12 + Performance!$E$23 / Constraints!R307 * Constraints!A307</f>
        <v>0.20221416386141058</v>
      </c>
    </row>
    <row r="308" spans="1:21" x14ac:dyDescent="0.3">
      <c r="A308" s="51">
        <v>153</v>
      </c>
      <c r="B308" s="50">
        <f>$V$4*Performance!$E$12*(1/A308)+Performance!$E$23*(1/Constraints!$V$4)*Constraints!A308</f>
        <v>0.19167882428634461</v>
      </c>
      <c r="C308" s="50">
        <f>$V$5*Performance!$E$12*(1/A308)+Performance!$E$23*(1/Constraints!$V$5)*Constraints!A308</f>
        <v>0.29365034558627784</v>
      </c>
      <c r="D308" s="52">
        <f t="shared" si="18"/>
        <v>0.33189442795939261</v>
      </c>
      <c r="E308" s="52">
        <f>$V$4*Performance!$E$12*(1/A308)+Performance!$E$23*(1/Constraints!$V$9)*Constraints!A308</f>
        <v>0.19098785178046751</v>
      </c>
      <c r="F308" s="52">
        <f xml:space="preserve"> 1.21 / (9.81 * Constraints!$N$7 * Performance!$E$15 * Constraints!$N$5 ) * Constraints!A308 + 0.605 /Performance!$E$15 * (Performance!$E$16  - Constraints!$N$6 * Performance!$E$14) + Constraints!$N$6</f>
        <v>0.33180949480143201</v>
      </c>
      <c r="G308" s="54" t="s">
        <v>198</v>
      </c>
      <c r="H308" s="55">
        <f>SQRT(2/$V$3 * A308 * SQRT(Performance!$E$23 / (3 * Performance!$E$12)))</f>
        <v>15.251972008565893</v>
      </c>
      <c r="I308" s="55">
        <f>SQRT(2/$V$3 * A308 * (SQRT(Performance!$E$23)/(SQRT(3*Performance!$E$12 + 4* Performance!$E$23 * Performance!$E$11^2) - SQRT(Performance!$E$23)*Performance!$E$11)))</f>
        <v>16.044083761301575</v>
      </c>
      <c r="J308" t="e">
        <f xml:space="preserve"> $AC$3/G308 + $AC$6/A308 * Performance!$E$12 + Performance!$E$23/Constraints!$AC$6 * Constraints!A308</f>
        <v>#VALUE!</v>
      </c>
      <c r="K308">
        <f xml:space="preserve"> $AC$3/H308 + $AC$6/A308 * Performance!$E$12 + Performance!$E$23/Constraints!$AC$6 * Constraints!A308</f>
        <v>0.82690941711652433</v>
      </c>
      <c r="L308">
        <f xml:space="preserve"> $AC$3/I308 + $AC$6/A308 * Performance!$E$12 + Performance!$E$23/Constraints!$AC$6 * Constraints!A308</f>
        <v>0.81046534967945572</v>
      </c>
      <c r="M308">
        <f>SIN($AC$9 * PI()/180) + 1/Performance!$AE$5</f>
        <v>0.24073077270730886</v>
      </c>
      <c r="N308">
        <f>SIN($AC$9 * PI()/180) + 1/Performance!$AE$8</f>
        <v>0.22738716112204788</v>
      </c>
      <c r="O308" s="60">
        <f>$AC$16 * (Performance!$E$12/Constraints!A308 + Performance!$E$23 * (Constraints!$AC$13/Constraints!$AC$17)^2 * Constraints!A308)</f>
        <v>2.2979143891607186E-4</v>
      </c>
      <c r="P308" t="e">
        <f t="shared" si="19"/>
        <v>#VALUE!</v>
      </c>
      <c r="Q308">
        <f t="shared" si="20"/>
        <v>61.07943661917701</v>
      </c>
      <c r="R308">
        <f t="shared" si="21"/>
        <v>67.588508799719889</v>
      </c>
      <c r="S308" t="e">
        <f xml:space="preserve"> 1.667/G308 + P308/A308 * Performance!$E$12 + Performance!$E$23 / Constraints!P308 * Constraints!A308</f>
        <v>#VALUE!</v>
      </c>
      <c r="T308">
        <f xml:space="preserve"> 1.667/H308 + Q308/A308 * Performance!$E$12 + Performance!$E$23 / Constraints!Q308 * Constraints!A308</f>
        <v>0.21521030951374351</v>
      </c>
      <c r="U308">
        <f xml:space="preserve"> 1.667/I308 + R308/A308 * Performance!$E$12 + Performance!$E$23 / Constraints!R308 * Constraints!A308</f>
        <v>0.20204397336619595</v>
      </c>
    </row>
    <row r="309" spans="1:21" x14ac:dyDescent="0.3">
      <c r="A309" s="51">
        <v>153.5</v>
      </c>
      <c r="B309" s="50">
        <f>$V$4*Performance!$E$12*(1/A309)+Performance!$E$23*(1/Constraints!$V$4)*Constraints!A309</f>
        <v>0.19109401275621388</v>
      </c>
      <c r="C309" s="50">
        <f>$V$5*Performance!$E$12*(1/A309)+Performance!$E$23*(1/Constraints!$V$5)*Constraints!A309</f>
        <v>0.29271916417630328</v>
      </c>
      <c r="D309" s="52">
        <f t="shared" si="18"/>
        <v>0.33216671367167822</v>
      </c>
      <c r="E309" s="52">
        <f>$V$4*Performance!$E$12*(1/A309)+Performance!$E$23*(1/Constraints!$V$9)*Constraints!A309</f>
        <v>0.19040078217025222</v>
      </c>
      <c r="F309" s="52">
        <f xml:space="preserve"> 1.21 / (9.81 * Constraints!$N$7 * Performance!$E$15 * Constraints!$N$5 ) * Constraints!A309 + 0.605 /Performance!$E$15 * (Performance!$E$16  - Constraints!$N$6 * Performance!$E$14) + Constraints!$N$6</f>
        <v>0.33208150295437788</v>
      </c>
      <c r="G309" s="54" t="s">
        <v>198</v>
      </c>
      <c r="H309" s="55">
        <f>SQRT(2/$V$3 * A309 * SQRT(Performance!$E$23 / (3 * Performance!$E$12)))</f>
        <v>15.276873203935748</v>
      </c>
      <c r="I309" s="55">
        <f>SQRT(2/$V$3 * A309 * (SQRT(Performance!$E$23)/(SQRT(3*Performance!$E$12 + 4* Performance!$E$23 * Performance!$E$11^2) - SQRT(Performance!$E$23)*Performance!$E$11)))</f>
        <v>16.070278201210467</v>
      </c>
      <c r="J309" t="e">
        <f xml:space="preserve"> $AC$3/G309 + $AC$6/A309 * Performance!$E$12 + Performance!$E$23/Constraints!$AC$6 * Constraints!A309</f>
        <v>#VALUE!</v>
      </c>
      <c r="K309">
        <f xml:space="preserve"> $AC$3/H309 + $AC$6/A309 * Performance!$E$12 + Performance!$E$23/Constraints!$AC$6 * Constraints!A309</f>
        <v>0.82796542682775676</v>
      </c>
      <c r="L309">
        <f xml:space="preserve"> $AC$3/I309 + $AC$6/A309 * Performance!$E$12 + Performance!$E$23/Constraints!$AC$6 * Constraints!A309</f>
        <v>0.81154816310441014</v>
      </c>
      <c r="M309">
        <f>SIN($AC$9 * PI()/180) + 1/Performance!$AE$5</f>
        <v>0.24073077270730886</v>
      </c>
      <c r="N309">
        <f>SIN($AC$9 * PI()/180) + 1/Performance!$AE$8</f>
        <v>0.22738716112204788</v>
      </c>
      <c r="O309" s="60">
        <f>$AC$16 * (Performance!$E$12/Constraints!A309 + Performance!$E$23 * (Constraints!$AC$13/Constraints!$AC$17)^2 * Constraints!A309)</f>
        <v>2.294943670297535E-4</v>
      </c>
      <c r="P309" t="e">
        <f t="shared" si="19"/>
        <v>#VALUE!</v>
      </c>
      <c r="Q309">
        <f t="shared" si="20"/>
        <v>61.279042621200468</v>
      </c>
      <c r="R309">
        <f t="shared" si="21"/>
        <v>67.809386279457541</v>
      </c>
      <c r="S309" t="e">
        <f xml:space="preserve"> 1.667/G309 + P309/A309 * Performance!$E$12 + Performance!$E$23 / Constraints!P309 * Constraints!A309</f>
        <v>#VALUE!</v>
      </c>
      <c r="T309">
        <f xml:space="preserve"> 1.667/H309 + Q309/A309 * Performance!$E$12 + Performance!$E$23 / Constraints!Q309 * Constraints!A309</f>
        <v>0.21503215561870764</v>
      </c>
      <c r="U309">
        <f xml:space="preserve"> 1.667/I309 + R309/A309 * Performance!$E$12 + Performance!$E$23 / Constraints!R309 * Constraints!A309</f>
        <v>0.2018746150992653</v>
      </c>
    </row>
    <row r="310" spans="1:21" x14ac:dyDescent="0.3">
      <c r="A310" s="51">
        <v>154</v>
      </c>
      <c r="B310" s="50">
        <f>$V$4*Performance!$E$12*(1/A310)+Performance!$E$23*(1/Constraints!$V$4)*Constraints!A310</f>
        <v>0.19051312732036618</v>
      </c>
      <c r="C310" s="50">
        <f>$V$5*Performance!$E$12*(1/A310)+Performance!$E$23*(1/Constraints!$V$5)*Constraints!A310</f>
        <v>0.29179411178750447</v>
      </c>
      <c r="D310" s="52">
        <f t="shared" si="18"/>
        <v>0.33243899938396382</v>
      </c>
      <c r="E310" s="52">
        <f>$V$4*Performance!$E$12*(1/A310)+Performance!$E$23*(1/Constraints!$V$9)*Constraints!A310</f>
        <v>0.18981763865431997</v>
      </c>
      <c r="F310" s="52">
        <f xml:space="preserve"> 1.21 / (9.81 * Constraints!$N$7 * Performance!$E$15 * Constraints!$N$5 ) * Constraints!A310 + 0.605 /Performance!$E$15 * (Performance!$E$16  - Constraints!$N$6 * Performance!$E$14) + Constraints!$N$6</f>
        <v>0.3323535111073237</v>
      </c>
      <c r="G310" s="54" t="s">
        <v>198</v>
      </c>
      <c r="H310" s="55">
        <f>SQRT(2/$V$3 * A310 * SQRT(Performance!$E$23 / (3 * Performance!$E$12)))</f>
        <v>15.301733876531204</v>
      </c>
      <c r="I310" s="55">
        <f>SQRT(2/$V$3 * A310 * (SQRT(Performance!$E$23)/(SQRT(3*Performance!$E$12 + 4* Performance!$E$23 * Performance!$E$11^2) - SQRT(Performance!$E$23)*Performance!$E$11)))</f>
        <v>16.09643001379311</v>
      </c>
      <c r="J310" t="e">
        <f xml:space="preserve"> $AC$3/G310 + $AC$6/A310 * Performance!$E$12 + Performance!$E$23/Constraints!$AC$6 * Constraints!A310</f>
        <v>#VALUE!</v>
      </c>
      <c r="K310">
        <f xml:space="preserve"> $AC$3/H310 + $AC$6/A310 * Performance!$E$12 + Performance!$E$23/Constraints!$AC$6 * Constraints!A310</f>
        <v>0.82902413111500184</v>
      </c>
      <c r="L310">
        <f xml:space="preserve"> $AC$3/I310 + $AC$6/A310 * Performance!$E$12 + Performance!$E$23/Constraints!$AC$6 * Constraints!A310</f>
        <v>0.8126335404616245</v>
      </c>
      <c r="M310">
        <f>SIN($AC$9 * PI()/180) + 1/Performance!$AE$5</f>
        <v>0.24073077270730886</v>
      </c>
      <c r="N310">
        <f>SIN($AC$9 * PI()/180) + 1/Performance!$AE$8</f>
        <v>0.22738716112204788</v>
      </c>
      <c r="O310" s="60">
        <f>$AC$16 * (Performance!$E$12/Constraints!A310 + Performance!$E$23 * (Constraints!$AC$13/Constraints!$AC$17)^2 * Constraints!A310)</f>
        <v>2.2920069226887871E-4</v>
      </c>
      <c r="P310" t="e">
        <f t="shared" si="19"/>
        <v>#VALUE!</v>
      </c>
      <c r="Q310">
        <f t="shared" si="20"/>
        <v>61.478648623223933</v>
      </c>
      <c r="R310">
        <f t="shared" si="21"/>
        <v>68.030263759195165</v>
      </c>
      <c r="S310" t="e">
        <f xml:space="preserve"> 1.667/G310 + P310/A310 * Performance!$E$12 + Performance!$E$23 / Constraints!P310 * Constraints!A310</f>
        <v>#VALUE!</v>
      </c>
      <c r="T310">
        <f xml:space="preserve"> 1.667/H310 + Q310/A310 * Performance!$E$12 + Performance!$E$23 / Constraints!Q310 * Constraints!A310</f>
        <v>0.21485487006205417</v>
      </c>
      <c r="U310">
        <f xml:space="preserve"> 1.667/I310 + R310/A310 * Performance!$E$12 + Performance!$E$23 / Constraints!R310 * Constraints!A310</f>
        <v>0.20170608230002107</v>
      </c>
    </row>
    <row r="311" spans="1:21" x14ac:dyDescent="0.3">
      <c r="A311" s="51">
        <v>154.5</v>
      </c>
      <c r="B311" s="50">
        <f>$V$4*Performance!$E$12*(1/A311)+Performance!$E$23*(1/Constraints!$V$4)*Constraints!A311</f>
        <v>0.18993612986138128</v>
      </c>
      <c r="C311" s="50">
        <f>$V$5*Performance!$E$12*(1/A311)+Performance!$E$23*(1/Constraints!$V$5)*Constraints!A311</f>
        <v>0.29087512891482148</v>
      </c>
      <c r="D311" s="52">
        <f t="shared" si="18"/>
        <v>0.33271128509624942</v>
      </c>
      <c r="E311" s="52">
        <f>$V$4*Performance!$E$12*(1/A311)+Performance!$E$23*(1/Constraints!$V$9)*Constraints!A311</f>
        <v>0.18923838311525049</v>
      </c>
      <c r="F311" s="52">
        <f xml:space="preserve"> 1.21 / (9.81 * Constraints!$N$7 * Performance!$E$15 * Constraints!$N$5 ) * Constraints!A311 + 0.605 /Performance!$E$15 * (Performance!$E$16  - Constraints!$N$6 * Performance!$E$14) + Constraints!$N$6</f>
        <v>0.33262551926026956</v>
      </c>
      <c r="G311" s="54" t="s">
        <v>198</v>
      </c>
      <c r="H311" s="55">
        <f>SQRT(2/$V$3 * A311 * SQRT(Performance!$E$23 / (3 * Performance!$E$12)))</f>
        <v>15.326554223544024</v>
      </c>
      <c r="I311" s="55">
        <f>SQRT(2/$V$3 * A311 * (SQRT(Performance!$E$23)/(SQRT(3*Performance!$E$12 + 4* Performance!$E$23 * Performance!$E$11^2) - SQRT(Performance!$E$23)*Performance!$E$11)))</f>
        <v>16.122539406482439</v>
      </c>
      <c r="J311" t="e">
        <f xml:space="preserve"> $AC$3/G311 + $AC$6/A311 * Performance!$E$12 + Performance!$E$23/Constraints!$AC$6 * Constraints!A311</f>
        <v>#VALUE!</v>
      </c>
      <c r="K311">
        <f xml:space="preserve"> $AC$3/H311 + $AC$6/A311 * Performance!$E$12 + Performance!$E$23/Constraints!$AC$6 * Constraints!A311</f>
        <v>0.83008550808178161</v>
      </c>
      <c r="L311">
        <f xml:space="preserve"> $AC$3/I311 + $AC$6/A311 * Performance!$E$12 + Performance!$E$23/Constraints!$AC$6 * Constraints!A311</f>
        <v>0.81372146091246655</v>
      </c>
      <c r="M311">
        <f>SIN($AC$9 * PI()/180) + 1/Performance!$AE$5</f>
        <v>0.24073077270730886</v>
      </c>
      <c r="N311">
        <f>SIN($AC$9 * PI()/180) + 1/Performance!$AE$8</f>
        <v>0.22738716112204788</v>
      </c>
      <c r="O311" s="60">
        <f>$AC$16 * (Performance!$E$12/Constraints!A311 + Performance!$E$23 * (Constraints!$AC$13/Constraints!$AC$17)^2 * Constraints!A311)</f>
        <v>2.2891038165164716E-4</v>
      </c>
      <c r="P311" t="e">
        <f t="shared" si="19"/>
        <v>#VALUE!</v>
      </c>
      <c r="Q311">
        <f t="shared" si="20"/>
        <v>61.678254625247369</v>
      </c>
      <c r="R311">
        <f t="shared" si="21"/>
        <v>68.251141238932817</v>
      </c>
      <c r="S311" t="e">
        <f xml:space="preserve"> 1.667/G311 + P311/A311 * Performance!$E$12 + Performance!$E$23 / Constraints!P311 * Constraints!A311</f>
        <v>#VALUE!</v>
      </c>
      <c r="T311">
        <f xml:space="preserve"> 1.667/H311 + Q311/A311 * Performance!$E$12 + Performance!$E$23 / Constraints!Q311 * Constraints!A311</f>
        <v>0.2146784458126923</v>
      </c>
      <c r="U311">
        <f xml:space="preserve"> 1.667/I311 + R311/A311 * Performance!$E$12 + Performance!$E$23 / Constraints!R311 * Constraints!A311</f>
        <v>0.20153836828450403</v>
      </c>
    </row>
    <row r="312" spans="1:21" x14ac:dyDescent="0.3">
      <c r="A312" s="51">
        <v>155</v>
      </c>
      <c r="B312" s="50">
        <f>$V$4*Performance!$E$12*(1/A312)+Performance!$E$23*(1/Constraints!$V$4)*Constraints!A312</f>
        <v>0.18936298275367663</v>
      </c>
      <c r="C312" s="50">
        <f>$V$5*Performance!$E$12*(1/A312)+Performance!$E$23*(1/Constraints!$V$5)*Constraints!A312</f>
        <v>0.28996215682100168</v>
      </c>
      <c r="D312" s="52">
        <f t="shared" si="18"/>
        <v>0.33298357080853502</v>
      </c>
      <c r="E312" s="52">
        <f>$V$4*Performance!$E$12*(1/A312)+Performance!$E$23*(1/Constraints!$V$9)*Constraints!A312</f>
        <v>0.18866297792746128</v>
      </c>
      <c r="F312" s="52">
        <f xml:space="preserve"> 1.21 / (9.81 * Constraints!$N$7 * Performance!$E$15 * Constraints!$N$5 ) * Constraints!A312 + 0.605 /Performance!$E$15 * (Performance!$E$16  - Constraints!$N$6 * Performance!$E$14) + Constraints!$N$6</f>
        <v>0.33289752741321543</v>
      </c>
      <c r="G312" s="54" t="s">
        <v>198</v>
      </c>
      <c r="H312" s="55">
        <f>SQRT(2/$V$3 * A312 * SQRT(Performance!$E$23 / (3 * Performance!$E$12)))</f>
        <v>15.351334440571858</v>
      </c>
      <c r="I312" s="55">
        <f>SQRT(2/$V$3 * A312 * (SQRT(Performance!$E$23)/(SQRT(3*Performance!$E$12 + 4* Performance!$E$23 * Performance!$E$11^2) - SQRT(Performance!$E$23)*Performance!$E$11)))</f>
        <v>16.148606585034468</v>
      </c>
      <c r="J312" t="e">
        <f xml:space="preserve"> $AC$3/G312 + $AC$6/A312 * Performance!$E$12 + Performance!$E$23/Constraints!$AC$6 * Constraints!A312</f>
        <v>#VALUE!</v>
      </c>
      <c r="K312">
        <f xml:space="preserve"> $AC$3/H312 + $AC$6/A312 * Performance!$E$12 + Performance!$E$23/Constraints!$AC$6 * Constraints!A312</f>
        <v>0.83114953607978992</v>
      </c>
      <c r="L312">
        <f xml:space="preserve"> $AC$3/I312 + $AC$6/A312 * Performance!$E$12 + Performance!$E$23/Constraints!$AC$6 * Constraints!A312</f>
        <v>0.81481190385452273</v>
      </c>
      <c r="M312">
        <f>SIN($AC$9 * PI()/180) + 1/Performance!$AE$5</f>
        <v>0.24073077270730886</v>
      </c>
      <c r="N312">
        <f>SIN($AC$9 * PI()/180) + 1/Performance!$AE$8</f>
        <v>0.22738716112204788</v>
      </c>
      <c r="O312" s="60">
        <f>$AC$16 * (Performance!$E$12/Constraints!A312 + Performance!$E$23 * (Constraints!$AC$13/Constraints!$AC$17)^2 * Constraints!A312)</f>
        <v>2.2862340262183004E-4</v>
      </c>
      <c r="P312" t="e">
        <f t="shared" si="19"/>
        <v>#VALUE!</v>
      </c>
      <c r="Q312">
        <f t="shared" si="20"/>
        <v>61.87786062727082</v>
      </c>
      <c r="R312">
        <f t="shared" si="21"/>
        <v>68.472018718670483</v>
      </c>
      <c r="S312" t="e">
        <f xml:space="preserve"> 1.667/G312 + P312/A312 * Performance!$E$12 + Performance!$E$23 / Constraints!P312 * Constraints!A312</f>
        <v>#VALUE!</v>
      </c>
      <c r="T312">
        <f xml:space="preserve"> 1.667/H312 + Q312/A312 * Performance!$E$12 + Performance!$E$23 / Constraints!Q312 * Constraints!A312</f>
        <v>0.21450287591897871</v>
      </c>
      <c r="U312">
        <f xml:space="preserve"> 1.667/I312 + R312/A312 * Performance!$E$12 + Performance!$E$23 / Constraints!R312 * Constraints!A312</f>
        <v>0.20137146644428014</v>
      </c>
    </row>
    <row r="313" spans="1:21" x14ac:dyDescent="0.3">
      <c r="A313" s="51">
        <v>155.5</v>
      </c>
      <c r="B313" s="50">
        <f>$V$4*Performance!$E$12*(1/A313)+Performance!$E$23*(1/Constraints!$V$4)*Constraints!A313</f>
        <v>0.18879364885560002</v>
      </c>
      <c r="C313" s="50">
        <f>$V$5*Performance!$E$12*(1/A313)+Performance!$E$23*(1/Constraints!$V$5)*Constraints!A313</f>
        <v>0.28905513752425527</v>
      </c>
      <c r="D313" s="52">
        <f t="shared" si="18"/>
        <v>0.33325585652082063</v>
      </c>
      <c r="E313" s="52">
        <f>$V$4*Performance!$E$12*(1/A313)+Performance!$E$23*(1/Constraints!$V$9)*Constraints!A313</f>
        <v>0.18809138594930011</v>
      </c>
      <c r="F313" s="52">
        <f xml:space="preserve"> 1.21 / (9.81 * Constraints!$N$7 * Performance!$E$15 * Constraints!$N$5 ) * Constraints!A313 + 0.605 /Performance!$E$15 * (Performance!$E$16  - Constraints!$N$6 * Performance!$E$14) + Constraints!$N$6</f>
        <v>0.3331695355661613</v>
      </c>
      <c r="G313" s="54" t="s">
        <v>198</v>
      </c>
      <c r="H313" s="55">
        <f>SQRT(2/$V$3 * A313 * SQRT(Performance!$E$23 / (3 * Performance!$E$12)))</f>
        <v>15.376074721636217</v>
      </c>
      <c r="I313" s="55">
        <f>SQRT(2/$V$3 * A313 * (SQRT(Performance!$E$23)/(SQRT(3*Performance!$E$12 + 4* Performance!$E$23 * Performance!$E$11^2) - SQRT(Performance!$E$23)*Performance!$E$11)))</f>
        <v>16.174631753547221</v>
      </c>
      <c r="J313" t="e">
        <f xml:space="preserve"> $AC$3/G313 + $AC$6/A313 * Performance!$E$12 + Performance!$E$23/Constraints!$AC$6 * Constraints!A313</f>
        <v>#VALUE!</v>
      </c>
      <c r="K313">
        <f xml:space="preserve"> $AC$3/H313 + $AC$6/A313 * Performance!$E$12 + Performance!$E$23/Constraints!$AC$6 * Constraints!A313</f>
        <v>0.83221619370528921</v>
      </c>
      <c r="L313">
        <f xml:space="preserve"> $AC$3/I313 + $AC$6/A313 * Performance!$E$12 + Performance!$E$23/Constraints!$AC$6 * Constraints!A313</f>
        <v>0.81590484891816839</v>
      </c>
      <c r="M313">
        <f>SIN($AC$9 * PI()/180) + 1/Performance!$AE$5</f>
        <v>0.24073077270730886</v>
      </c>
      <c r="N313">
        <f>SIN($AC$9 * PI()/180) + 1/Performance!$AE$8</f>
        <v>0.22738716112204788</v>
      </c>
      <c r="O313" s="60">
        <f>$AC$16 * (Performance!$E$12/Constraints!A313 + Performance!$E$23 * (Constraints!$AC$13/Constraints!$AC$17)^2 * Constraints!A313)</f>
        <v>2.283397230419281E-4</v>
      </c>
      <c r="P313" t="e">
        <f t="shared" si="19"/>
        <v>#VALUE!</v>
      </c>
      <c r="Q313">
        <f t="shared" si="20"/>
        <v>62.077466629294285</v>
      </c>
      <c r="R313">
        <f t="shared" si="21"/>
        <v>68.69289619840815</v>
      </c>
      <c r="S313" t="e">
        <f xml:space="preserve"> 1.667/G313 + P313/A313 * Performance!$E$12 + Performance!$E$23 / Constraints!P313 * Constraints!A313</f>
        <v>#VALUE!</v>
      </c>
      <c r="T313">
        <f xml:space="preserve"> 1.667/H313 + Q313/A313 * Performance!$E$12 + Performance!$E$23 / Constraints!Q313 * Constraints!A313</f>
        <v>0.21432815350756709</v>
      </c>
      <c r="U313">
        <f xml:space="preserve"> 1.667/I313 + R313/A313 * Performance!$E$12 + Performance!$E$23 / Constraints!R313 * Constraints!A313</f>
        <v>0.20120537024534685</v>
      </c>
    </row>
    <row r="314" spans="1:21" x14ac:dyDescent="0.3">
      <c r="A314" s="51">
        <v>156</v>
      </c>
      <c r="B314" s="50">
        <f>$V$4*Performance!$E$12*(1/A314)+Performance!$E$23*(1/Constraints!$V$4)*Constraints!A314</f>
        <v>0.18822809150167424</v>
      </c>
      <c r="C314" s="50">
        <f>$V$5*Performance!$E$12*(1/A314)+Performance!$E$23*(1/Constraints!$V$5)*Constraints!A314</f>
        <v>0.28815401378614891</v>
      </c>
      <c r="D314" s="52">
        <f t="shared" si="18"/>
        <v>0.33352814223310623</v>
      </c>
      <c r="E314" s="52">
        <f>$V$4*Performance!$E$12*(1/A314)+Performance!$E$23*(1/Constraints!$V$9)*Constraints!A314</f>
        <v>0.18752357051528978</v>
      </c>
      <c r="F314" s="52">
        <f xml:space="preserve"> 1.21 / (9.81 * Constraints!$N$7 * Performance!$E$15 * Constraints!$N$5 ) * Constraints!A314 + 0.605 /Performance!$E$15 * (Performance!$E$16  - Constraints!$N$6 * Performance!$E$14) + Constraints!$N$6</f>
        <v>0.33344154371910717</v>
      </c>
      <c r="G314" s="54" t="s">
        <v>198</v>
      </c>
      <c r="H314" s="55">
        <f>SQRT(2/$V$3 * A314 * SQRT(Performance!$E$23 / (3 * Performance!$E$12)))</f>
        <v>15.400775259200193</v>
      </c>
      <c r="I314" s="55">
        <f>SQRT(2/$V$3 * A314 * (SQRT(Performance!$E$23)/(SQRT(3*Performance!$E$12 + 4* Performance!$E$23 * Performance!$E$11^2) - SQRT(Performance!$E$23)*Performance!$E$11)))</f>
        <v>16.200615114479369</v>
      </c>
      <c r="J314" t="e">
        <f xml:space="preserve"> $AC$3/G314 + $AC$6/A314 * Performance!$E$12 + Performance!$E$23/Constraints!$AC$6 * Constraints!A314</f>
        <v>#VALUE!</v>
      </c>
      <c r="K314">
        <f xml:space="preserve"> $AC$3/H314 + $AC$6/A314 * Performance!$E$12 + Performance!$E$23/Constraints!$AC$6 * Constraints!A314</f>
        <v>0.83328545979557112</v>
      </c>
      <c r="L314">
        <f xml:space="preserve"> $AC$3/I314 + $AC$6/A314 * Performance!$E$12 + Performance!$E$23/Constraints!$AC$6 * Constraints!A314</f>
        <v>0.81700027596319791</v>
      </c>
      <c r="M314">
        <f>SIN($AC$9 * PI()/180) + 1/Performance!$AE$5</f>
        <v>0.24073077270730886</v>
      </c>
      <c r="N314">
        <f>SIN($AC$9 * PI()/180) + 1/Performance!$AE$8</f>
        <v>0.22738716112204788</v>
      </c>
      <c r="O314" s="60">
        <f>$AC$16 * (Performance!$E$12/Constraints!A314 + Performance!$E$23 * (Constraints!$AC$13/Constraints!$AC$17)^2 * Constraints!A314)</f>
        <v>2.2805931118646147E-4</v>
      </c>
      <c r="P314" t="e">
        <f t="shared" si="19"/>
        <v>#VALUE!</v>
      </c>
      <c r="Q314">
        <f t="shared" si="20"/>
        <v>62.277072631317736</v>
      </c>
      <c r="R314">
        <f t="shared" si="21"/>
        <v>68.913773678145759</v>
      </c>
      <c r="S314" t="e">
        <f xml:space="preserve"> 1.667/G314 + P314/A314 * Performance!$E$12 + Performance!$E$23 / Constraints!P314 * Constraints!A314</f>
        <v>#VALUE!</v>
      </c>
      <c r="T314">
        <f xml:space="preserve"> 1.667/H314 + Q314/A314 * Performance!$E$12 + Performance!$E$23 / Constraints!Q314 * Constraints!A314</f>
        <v>0.214154271782278</v>
      </c>
      <c r="U314">
        <f xml:space="preserve"> 1.667/I314 + R314/A314 * Performance!$E$12 + Performance!$E$23 / Constraints!R314 * Constraints!A314</f>
        <v>0.20104007322705869</v>
      </c>
    </row>
    <row r="315" spans="1:21" x14ac:dyDescent="0.3">
      <c r="A315" s="51">
        <v>156.5</v>
      </c>
      <c r="B315" s="50">
        <f>$V$4*Performance!$E$12*(1/A315)+Performance!$E$23*(1/Constraints!$V$4)*Constraints!A315</f>
        <v>0.18766627449499057</v>
      </c>
      <c r="C315" s="50">
        <f>$V$5*Performance!$E$12*(1/A315)+Performance!$E$23*(1/Constraints!$V$5)*Constraints!A315</f>
        <v>0.28725872909973083</v>
      </c>
      <c r="D315" s="52">
        <f t="shared" si="18"/>
        <v>0.33380042794539183</v>
      </c>
      <c r="E315" s="52">
        <f>$V$4*Performance!$E$12*(1/A315)+Performance!$E$23*(1/Constraints!$V$9)*Constraints!A315</f>
        <v>0.18695949542852153</v>
      </c>
      <c r="F315" s="52">
        <f xml:space="preserve"> 1.21 / (9.81 * Constraints!$N$7 * Performance!$E$15 * Constraints!$N$5 ) * Constraints!A315 + 0.605 /Performance!$E$15 * (Performance!$E$16  - Constraints!$N$6 * Performance!$E$14) + Constraints!$N$6</f>
        <v>0.33371355187205298</v>
      </c>
      <c r="G315" s="54" t="s">
        <v>198</v>
      </c>
      <c r="H315" s="55">
        <f>SQRT(2/$V$3 * A315 * SQRT(Performance!$E$23 / (3 * Performance!$E$12)))</f>
        <v>15.425436244185942</v>
      </c>
      <c r="I315" s="55">
        <f>SQRT(2/$V$3 * A315 * (SQRT(Performance!$E$23)/(SQRT(3*Performance!$E$12 + 4* Performance!$E$23 * Performance!$E$11^2) - SQRT(Performance!$E$23)*Performance!$E$11)))</f>
        <v>16.226556868668624</v>
      </c>
      <c r="J315" t="e">
        <f xml:space="preserve"> $AC$3/G315 + $AC$6/A315 * Performance!$E$12 + Performance!$E$23/Constraints!$AC$6 * Constraints!A315</f>
        <v>#VALUE!</v>
      </c>
      <c r="K315">
        <f xml:space="preserve"> $AC$3/H315 + $AC$6/A315 * Performance!$E$12 + Performance!$E$23/Constraints!$AC$6 * Constraints!A315</f>
        <v>0.83435731342547848</v>
      </c>
      <c r="L315">
        <f xml:space="preserve"> $AC$3/I315 + $AC$6/A315 * Performance!$E$12 + Performance!$E$23/Constraints!$AC$6 * Constraints!A315</f>
        <v>0.81809816507551369</v>
      </c>
      <c r="M315">
        <f>SIN($AC$9 * PI()/180) + 1/Performance!$AE$5</f>
        <v>0.24073077270730886</v>
      </c>
      <c r="N315">
        <f>SIN($AC$9 * PI()/180) + 1/Performance!$AE$8</f>
        <v>0.22738716112204788</v>
      </c>
      <c r="O315" s="60">
        <f>$AC$16 * (Performance!$E$12/Constraints!A315 + Performance!$E$23 * (Constraints!$AC$13/Constraints!$AC$17)^2 * Constraints!A315)</f>
        <v>2.2778213573538755E-4</v>
      </c>
      <c r="P315" t="e">
        <f t="shared" si="19"/>
        <v>#VALUE!</v>
      </c>
      <c r="Q315">
        <f t="shared" si="20"/>
        <v>62.476678633341187</v>
      </c>
      <c r="R315">
        <f t="shared" si="21"/>
        <v>69.13465115788344</v>
      </c>
      <c r="S315" t="e">
        <f xml:space="preserve"> 1.667/G315 + P315/A315 * Performance!$E$12 + Performance!$E$23 / Constraints!P315 * Constraints!A315</f>
        <v>#VALUE!</v>
      </c>
      <c r="T315">
        <f xml:space="preserve"> 1.667/H315 + Q315/A315 * Performance!$E$12 + Performance!$E$23 / Constraints!Q315 * Constraints!A315</f>
        <v>0.21398122402298853</v>
      </c>
      <c r="U315">
        <f xml:space="preserve"> 1.667/I315 + R315/A315 * Performance!$E$12 + Performance!$E$23 / Constraints!R315 * Constraints!A315</f>
        <v>0.20087556900107129</v>
      </c>
    </row>
    <row r="316" spans="1:21" x14ac:dyDescent="0.3">
      <c r="A316" s="51">
        <v>157</v>
      </c>
      <c r="B316" s="50">
        <f>$V$4*Performance!$E$12*(1/A316)+Performance!$E$23*(1/Constraints!$V$4)*Constraints!A316</f>
        <v>0.18710816209974726</v>
      </c>
      <c r="C316" s="50">
        <f>$V$5*Performance!$E$12*(1/A316)+Performance!$E$23*(1/Constraints!$V$5)*Constraints!A316</f>
        <v>0.28636922767788281</v>
      </c>
      <c r="D316" s="52">
        <f t="shared" si="18"/>
        <v>0.33407271365767743</v>
      </c>
      <c r="E316" s="52">
        <f>$V$4*Performance!$E$12*(1/A316)+Performance!$E$23*(1/Constraints!$V$9)*Constraints!A316</f>
        <v>0.18639912495319366</v>
      </c>
      <c r="F316" s="52">
        <f xml:space="preserve"> 1.21 / (9.81 * Constraints!$N$7 * Performance!$E$15 * Constraints!$N$5 ) * Constraints!A316 + 0.605 /Performance!$E$15 * (Performance!$E$16  - Constraints!$N$6 * Performance!$E$14) + Constraints!$N$6</f>
        <v>0.33398556002499885</v>
      </c>
      <c r="G316" s="54" t="s">
        <v>198</v>
      </c>
      <c r="H316" s="55">
        <f>SQRT(2/$V$3 * A316 * SQRT(Performance!$E$23 / (3 * Performance!$E$12)))</f>
        <v>15.450057865991891</v>
      </c>
      <c r="I316" s="55">
        <f>SQRT(2/$V$3 * A316 * (SQRT(Performance!$E$23)/(SQRT(3*Performance!$E$12 + 4* Performance!$E$23 * Performance!$E$11^2) - SQRT(Performance!$E$23)*Performance!$E$11)))</f>
        <v>16.252457215349814</v>
      </c>
      <c r="J316" t="e">
        <f xml:space="preserve"> $AC$3/G316 + $AC$6/A316 * Performance!$E$12 + Performance!$E$23/Constraints!$AC$6 * Constraints!A316</f>
        <v>#VALUE!</v>
      </c>
      <c r="K316">
        <f xml:space="preserve"> $AC$3/H316 + $AC$6/A316 * Performance!$E$12 + Performance!$E$23/Constraints!$AC$6 * Constraints!A316</f>
        <v>0.83543173390398895</v>
      </c>
      <c r="L316">
        <f xml:space="preserve"> $AC$3/I316 + $AC$6/A316 * Performance!$E$12 + Performance!$E$23/Constraints!$AC$6 * Constraints!A316</f>
        <v>0.81919849656387511</v>
      </c>
      <c r="M316">
        <f>SIN($AC$9 * PI()/180) + 1/Performance!$AE$5</f>
        <v>0.24073077270730886</v>
      </c>
      <c r="N316">
        <f>SIN($AC$9 * PI()/180) + 1/Performance!$AE$8</f>
        <v>0.22738716112204788</v>
      </c>
      <c r="O316" s="60">
        <f>$AC$16 * (Performance!$E$12/Constraints!A316 + Performance!$E$23 * (Constraints!$AC$13/Constraints!$AC$17)^2 * Constraints!A316)</f>
        <v>2.2750816576764534E-4</v>
      </c>
      <c r="P316" t="e">
        <f t="shared" si="19"/>
        <v>#VALUE!</v>
      </c>
      <c r="Q316">
        <f t="shared" si="20"/>
        <v>62.676284635364652</v>
      </c>
      <c r="R316">
        <f t="shared" si="21"/>
        <v>69.355528637621077</v>
      </c>
      <c r="S316" t="e">
        <f xml:space="preserve"> 1.667/G316 + P316/A316 * Performance!$E$12 + Performance!$E$23 / Constraints!P316 * Constraints!A316</f>
        <v>#VALUE!</v>
      </c>
      <c r="T316">
        <f xml:space="preserve"> 1.667/H316 + Q316/A316 * Performance!$E$12 + Performance!$E$23 / Constraints!Q316 * Constraints!A316</f>
        <v>0.2138090035845413</v>
      </c>
      <c r="U316">
        <f xml:space="preserve"> 1.667/I316 + R316/A316 * Performance!$E$12 + Performance!$E$23 / Constraints!R316 * Constraints!A316</f>
        <v>0.20071185125030544</v>
      </c>
    </row>
    <row r="317" spans="1:21" x14ac:dyDescent="0.3">
      <c r="A317" s="51">
        <v>157.5</v>
      </c>
      <c r="B317" s="50">
        <f>$V$4*Performance!$E$12*(1/A317)+Performance!$E$23*(1/Constraints!$V$4)*Constraints!A317</f>
        <v>0.18655371903393059</v>
      </c>
      <c r="C317" s="50">
        <f>$V$5*Performance!$E$12*(1/A317)+Performance!$E$23*(1/Constraints!$V$5)*Constraints!A317</f>
        <v>0.28548545444189483</v>
      </c>
      <c r="D317" s="52">
        <f t="shared" si="18"/>
        <v>0.33434499936996304</v>
      </c>
      <c r="E317" s="52">
        <f>$V$4*Performance!$E$12*(1/A317)+Performance!$E$23*(1/Constraints!$V$9)*Constraints!A317</f>
        <v>0.18584242380729243</v>
      </c>
      <c r="F317" s="52">
        <f xml:space="preserve"> 1.21 / (9.81 * Constraints!$N$7 * Performance!$E$15 * Constraints!$N$5 ) * Constraints!A317 + 0.605 /Performance!$E$15 * (Performance!$E$16  - Constraints!$N$6 * Performance!$E$14) + Constraints!$N$6</f>
        <v>0.33425756817794472</v>
      </c>
      <c r="G317" s="54" t="s">
        <v>198</v>
      </c>
      <c r="H317" s="55">
        <f>SQRT(2/$V$3 * A317 * SQRT(Performance!$E$23 / (3 * Performance!$E$12)))</f>
        <v>15.474640312509704</v>
      </c>
      <c r="I317" s="55">
        <f>SQRT(2/$V$3 * A317 * (SQRT(Performance!$E$23)/(SQRT(3*Performance!$E$12 + 4* Performance!$E$23 * Performance!$E$11^2) - SQRT(Performance!$E$23)*Performance!$E$11)))</f>
        <v>16.27831635217278</v>
      </c>
      <c r="J317" t="e">
        <f xml:space="preserve"> $AC$3/G317 + $AC$6/A317 * Performance!$E$12 + Performance!$E$23/Constraints!$AC$6 * Constraints!A317</f>
        <v>#VALUE!</v>
      </c>
      <c r="K317">
        <f xml:space="preserve"> $AC$3/H317 + $AC$6/A317 * Performance!$E$12 + Performance!$E$23/Constraints!$AC$6 * Constraints!A317</f>
        <v>0.83650870077086004</v>
      </c>
      <c r="L317">
        <f xml:space="preserve"> $AC$3/I317 + $AC$6/A317 * Performance!$E$12 + Performance!$E$23/Constraints!$AC$6 * Constraints!A317</f>
        <v>0.82030125095670237</v>
      </c>
      <c r="M317">
        <f>SIN($AC$9 * PI()/180) + 1/Performance!$AE$5</f>
        <v>0.24073077270730886</v>
      </c>
      <c r="N317">
        <f>SIN($AC$9 * PI()/180) + 1/Performance!$AE$8</f>
        <v>0.22738716112204788</v>
      </c>
      <c r="O317" s="60">
        <f>$AC$16 * (Performance!$E$12/Constraints!A317 + Performance!$E$23 * (Constraints!$AC$13/Constraints!$AC$17)^2 * Constraints!A317)</f>
        <v>2.2723737075482214E-4</v>
      </c>
      <c r="P317" t="e">
        <f t="shared" si="19"/>
        <v>#VALUE!</v>
      </c>
      <c r="Q317">
        <f t="shared" si="20"/>
        <v>62.87589063738811</v>
      </c>
      <c r="R317">
        <f t="shared" si="21"/>
        <v>69.576406117358744</v>
      </c>
      <c r="S317" t="e">
        <f xml:space="preserve"> 1.667/G317 + P317/A317 * Performance!$E$12 + Performance!$E$23 / Constraints!P317 * Constraints!A317</f>
        <v>#VALUE!</v>
      </c>
      <c r="T317">
        <f xml:space="preserve"> 1.667/H317 + Q317/A317 * Performance!$E$12 + Performance!$E$23 / Constraints!Q317 * Constraints!A317</f>
        <v>0.21363760389567296</v>
      </c>
      <c r="U317">
        <f xml:space="preserve"> 1.667/I317 + R317/A317 * Performance!$E$12 + Performance!$E$23 / Constraints!R317 * Constraints!A317</f>
        <v>0.20054891372792705</v>
      </c>
    </row>
    <row r="318" spans="1:21" x14ac:dyDescent="0.3">
      <c r="A318" s="51">
        <v>158</v>
      </c>
      <c r="B318" s="50">
        <f>$V$4*Performance!$E$12*(1/A318)+Performance!$E$23*(1/Constraints!$V$4)*Constraints!A318</f>
        <v>0.18600291046213463</v>
      </c>
      <c r="C318" s="50">
        <f>$V$5*Performance!$E$12*(1/A318)+Performance!$E$23*(1/Constraints!$V$5)*Constraints!A318</f>
        <v>0.28460735501025552</v>
      </c>
      <c r="D318" s="52">
        <f t="shared" si="18"/>
        <v>0.33461728508224858</v>
      </c>
      <c r="E318" s="52">
        <f>$V$4*Performance!$E$12*(1/A318)+Performance!$E$23*(1/Constraints!$V$9)*Constraints!A318</f>
        <v>0.18528935715541189</v>
      </c>
      <c r="F318" s="52">
        <f xml:space="preserve"> 1.21 / (9.81 * Constraints!$N$7 * Performance!$E$15 * Constraints!$N$5 ) * Constraints!A318 + 0.605 /Performance!$E$15 * (Performance!$E$16  - Constraints!$N$6 * Performance!$E$14) + Constraints!$N$6</f>
        <v>0.33452957633089059</v>
      </c>
      <c r="G318" s="54" t="s">
        <v>198</v>
      </c>
      <c r="H318" s="55">
        <f>SQRT(2/$V$3 * A318 * SQRT(Performance!$E$23 / (3 * Performance!$E$12)))</f>
        <v>15.499183770141023</v>
      </c>
      <c r="I318" s="55">
        <f>SQRT(2/$V$3 * A318 * (SQRT(Performance!$E$23)/(SQRT(3*Performance!$E$12 + 4* Performance!$E$23 * Performance!$E$11^2) - SQRT(Performance!$E$23)*Performance!$E$11)))</f>
        <v>16.304134475219929</v>
      </c>
      <c r="J318" t="e">
        <f xml:space="preserve"> $AC$3/G318 + $AC$6/A318 * Performance!$E$12 + Performance!$E$23/Constraints!$AC$6 * Constraints!A318</f>
        <v>#VALUE!</v>
      </c>
      <c r="K318">
        <f xml:space="preserve"> $AC$3/H318 + $AC$6/A318 * Performance!$E$12 + Performance!$E$23/Constraints!$AC$6 * Constraints!A318</f>
        <v>0.83758819379332927</v>
      </c>
      <c r="L318">
        <f xml:space="preserve"> $AC$3/I318 + $AC$6/A318 * Performance!$E$12 + Performance!$E$23/Constraints!$AC$6 * Constraints!A318</f>
        <v>0.82140640899893813</v>
      </c>
      <c r="M318">
        <f>SIN($AC$9 * PI()/180) + 1/Performance!$AE$5</f>
        <v>0.24073077270730886</v>
      </c>
      <c r="N318">
        <f>SIN($AC$9 * PI()/180) + 1/Performance!$AE$8</f>
        <v>0.22738716112204788</v>
      </c>
      <c r="O318" s="60">
        <f>$AC$16 * (Performance!$E$12/Constraints!A318 + Performance!$E$23 * (Constraints!$AC$13/Constraints!$AC$17)^2 * Constraints!A318)</f>
        <v>2.2696972055494087E-4</v>
      </c>
      <c r="P318" t="e">
        <f t="shared" si="19"/>
        <v>#VALUE!</v>
      </c>
      <c r="Q318">
        <f t="shared" si="20"/>
        <v>63.07549663941154</v>
      </c>
      <c r="R318">
        <f t="shared" si="21"/>
        <v>69.797283597096353</v>
      </c>
      <c r="S318" t="e">
        <f xml:space="preserve"> 1.667/G318 + P318/A318 * Performance!$E$12 + Performance!$E$23 / Constraints!P318 * Constraints!A318</f>
        <v>#VALUE!</v>
      </c>
      <c r="T318">
        <f xml:space="preserve"> 1.667/H318 + Q318/A318 * Performance!$E$12 + Performance!$E$23 / Constraints!Q318 * Constraints!A318</f>
        <v>0.21346701845796084</v>
      </c>
      <c r="U318">
        <f xml:space="preserve"> 1.667/I318 + R318/A318 * Performance!$E$12 + Performance!$E$23 / Constraints!R318 * Constraints!A318</f>
        <v>0.20038675025634703</v>
      </c>
    </row>
    <row r="319" spans="1:21" x14ac:dyDescent="0.3">
      <c r="A319" s="51">
        <v>158.5</v>
      </c>
      <c r="B319" s="50">
        <f>$V$4*Performance!$E$12*(1/A319)+Performance!$E$23*(1/Constraints!$V$4)*Constraints!A319</f>
        <v>0.18545570198851691</v>
      </c>
      <c r="C319" s="50">
        <f>$V$5*Performance!$E$12*(1/A319)+Performance!$E$23*(1/Constraints!$V$5)*Constraints!A319</f>
        <v>0.2837348756876556</v>
      </c>
      <c r="D319" s="52">
        <f t="shared" si="18"/>
        <v>0.33488957079453419</v>
      </c>
      <c r="E319" s="52">
        <f>$V$4*Performance!$E$12*(1/A319)+Performance!$E$23*(1/Constraints!$V$9)*Constraints!A319</f>
        <v>0.18473989060170962</v>
      </c>
      <c r="F319" s="52">
        <f xml:space="preserve"> 1.21 / (9.81 * Constraints!$N$7 * Performance!$E$15 * Constraints!$N$5 ) * Constraints!A319 + 0.605 /Performance!$E$15 * (Performance!$E$16  - Constraints!$N$6 * Performance!$E$14) + Constraints!$N$6</f>
        <v>0.3348015844838364</v>
      </c>
      <c r="G319" s="54" t="s">
        <v>198</v>
      </c>
      <c r="H319" s="55">
        <f>SQRT(2/$V$3 * A319 * SQRT(Performance!$E$23 / (3 * Performance!$E$12)))</f>
        <v>15.523688423813958</v>
      </c>
      <c r="I319" s="55">
        <f>SQRT(2/$V$3 * A319 * (SQRT(Performance!$E$23)/(SQRT(3*Performance!$E$12 + 4* Performance!$E$23 * Performance!$E$11^2) - SQRT(Performance!$E$23)*Performance!$E$11)))</f>
        <v>16.329911779023622</v>
      </c>
      <c r="J319" t="e">
        <f xml:space="preserve"> $AC$3/G319 + $AC$6/A319 * Performance!$E$12 + Performance!$E$23/Constraints!$AC$6 * Constraints!A319</f>
        <v>#VALUE!</v>
      </c>
      <c r="K319">
        <f xml:space="preserve"> $AC$3/H319 + $AC$6/A319 * Performance!$E$12 + Performance!$E$23/Constraints!$AC$6 * Constraints!A319</f>
        <v>0.83867019296287526</v>
      </c>
      <c r="L319">
        <f xml:space="preserve"> $AC$3/I319 + $AC$6/A319 * Performance!$E$12 + Performance!$E$23/Constraints!$AC$6 * Constraints!A319</f>
        <v>0.82251395164896191</v>
      </c>
      <c r="M319">
        <f>SIN($AC$9 * PI()/180) + 1/Performance!$AE$5</f>
        <v>0.24073077270730886</v>
      </c>
      <c r="N319">
        <f>SIN($AC$9 * PI()/180) + 1/Performance!$AE$8</f>
        <v>0.22738716112204788</v>
      </c>
      <c r="O319" s="60">
        <f>$AC$16 * (Performance!$E$12/Constraints!A319 + Performance!$E$23 * (Constraints!$AC$13/Constraints!$AC$17)^2 * Constraints!A319)</f>
        <v>2.2670518540636485E-4</v>
      </c>
      <c r="P319" t="e">
        <f t="shared" si="19"/>
        <v>#VALUE!</v>
      </c>
      <c r="Q319">
        <f t="shared" si="20"/>
        <v>63.275102641435012</v>
      </c>
      <c r="R319">
        <f t="shared" si="21"/>
        <v>70.018161076833991</v>
      </c>
      <c r="S319" t="e">
        <f xml:space="preserve"> 1.667/G319 + P319/A319 * Performance!$E$12 + Performance!$E$23 / Constraints!P319 * Constraints!A319</f>
        <v>#VALUE!</v>
      </c>
      <c r="T319">
        <f xml:space="preserve"> 1.667/H319 + Q319/A319 * Performance!$E$12 + Performance!$E$23 / Constraints!Q319 * Constraints!A319</f>
        <v>0.21329724084478807</v>
      </c>
      <c r="U319">
        <f xml:space="preserve"> 1.667/I319 + R319/A319 * Performance!$E$12 + Performance!$E$23 / Constraints!R319 * Constraints!A319</f>
        <v>0.20022535472623659</v>
      </c>
    </row>
    <row r="320" spans="1:21" x14ac:dyDescent="0.3">
      <c r="A320" s="51">
        <v>159</v>
      </c>
      <c r="B320" s="50">
        <f>$V$4*Performance!$E$12*(1/A320)+Performance!$E$23*(1/Constraints!$V$4)*Constraints!A320</f>
        <v>0.18491205964988708</v>
      </c>
      <c r="C320" s="50">
        <f>$V$5*Performance!$E$12*(1/A320)+Performance!$E$23*(1/Constraints!$V$5)*Constraints!A320</f>
        <v>0.28286796345419846</v>
      </c>
      <c r="D320" s="52">
        <f t="shared" si="18"/>
        <v>0.33516185650681979</v>
      </c>
      <c r="E320" s="52">
        <f>$V$4*Performance!$E$12*(1/A320)+Performance!$E$23*(1/Constraints!$V$9)*Constraints!A320</f>
        <v>0.18419399018299523</v>
      </c>
      <c r="F320" s="52">
        <f xml:space="preserve"> 1.21 / (9.81 * Constraints!$N$7 * Performance!$E$15 * Constraints!$N$5 ) * Constraints!A320 + 0.605 /Performance!$E$15 * (Performance!$E$16  - Constraints!$N$6 * Performance!$E$14) + Constraints!$N$6</f>
        <v>0.33507359263678227</v>
      </c>
      <c r="G320" s="54" t="s">
        <v>198</v>
      </c>
      <c r="H320" s="55">
        <f>SQRT(2/$V$3 * A320 * SQRT(Performance!$E$23 / (3 * Performance!$E$12)))</f>
        <v>15.548154456999328</v>
      </c>
      <c r="I320" s="55">
        <f>SQRT(2/$V$3 * A320 * (SQRT(Performance!$E$23)/(SQRT(3*Performance!$E$12 + 4* Performance!$E$23 * Performance!$E$11^2) - SQRT(Performance!$E$23)*Performance!$E$11)))</f>
        <v>16.355648456583246</v>
      </c>
      <c r="J320" t="e">
        <f xml:space="preserve"> $AC$3/G320 + $AC$6/A320 * Performance!$E$12 + Performance!$E$23/Constraints!$AC$6 * Constraints!A320</f>
        <v>#VALUE!</v>
      </c>
      <c r="K320">
        <f xml:space="preserve"> $AC$3/H320 + $AC$6/A320 * Performance!$E$12 + Performance!$E$23/Constraints!$AC$6 * Constraints!A320</f>
        <v>0.83975467849203267</v>
      </c>
      <c r="L320">
        <f xml:space="preserve"> $AC$3/I320 + $AC$6/A320 * Performance!$E$12 + Performance!$E$23/Constraints!$AC$6 * Constraints!A320</f>
        <v>0.82362386007555899</v>
      </c>
      <c r="M320">
        <f>SIN($AC$9 * PI()/180) + 1/Performance!$AE$5</f>
        <v>0.24073077270730886</v>
      </c>
      <c r="N320">
        <f>SIN($AC$9 * PI()/180) + 1/Performance!$AE$8</f>
        <v>0.22738716112204788</v>
      </c>
      <c r="O320" s="60">
        <f>$AC$16 * (Performance!$E$12/Constraints!A320 + Performance!$E$23 * (Constraints!$AC$13/Constraints!$AC$17)^2 * Constraints!A320)</f>
        <v>2.2644373592181757E-4</v>
      </c>
      <c r="P320" t="e">
        <f t="shared" si="19"/>
        <v>#VALUE!</v>
      </c>
      <c r="Q320">
        <f t="shared" si="20"/>
        <v>63.474708643458463</v>
      </c>
      <c r="R320">
        <f t="shared" si="21"/>
        <v>70.239038556571671</v>
      </c>
      <c r="S320" t="e">
        <f xml:space="preserve"> 1.667/G320 + P320/A320 * Performance!$E$12 + Performance!$E$23 / Constraints!P320 * Constraints!A320</f>
        <v>#VALUE!</v>
      </c>
      <c r="T320">
        <f xml:space="preserve"> 1.667/H320 + Q320/A320 * Performance!$E$12 + Performance!$E$23 / Constraints!Q320 * Constraints!A320</f>
        <v>0.21312826470032697</v>
      </c>
      <c r="U320">
        <f xml:space="preserve"> 1.667/I320 + R320/A320 * Performance!$E$12 + Performance!$E$23 / Constraints!R320 * Constraints!A320</f>
        <v>0.20006472109556125</v>
      </c>
    </row>
    <row r="321" spans="1:21" x14ac:dyDescent="0.3">
      <c r="A321" s="51">
        <v>159.5</v>
      </c>
      <c r="B321" s="50">
        <f>$V$4*Performance!$E$12*(1/A321)+Performance!$E$23*(1/Constraints!$V$4)*Constraints!A321</f>
        <v>0.1843719499089255</v>
      </c>
      <c r="C321" s="50">
        <f>$V$5*Performance!$E$12*(1/A321)+Performance!$E$23*(1/Constraints!$V$5)*Constraints!A321</f>
        <v>0.28200656595481366</v>
      </c>
      <c r="D321" s="52">
        <f t="shared" si="18"/>
        <v>0.33543414221910539</v>
      </c>
      <c r="E321" s="52">
        <f>$V$4*Performance!$E$12*(1/A321)+Performance!$E$23*(1/Constraints!$V$9)*Constraints!A321</f>
        <v>0.18365162236194904</v>
      </c>
      <c r="F321" s="52">
        <f xml:space="preserve"> 1.21 / (9.81 * Constraints!$N$7 * Performance!$E$15 * Constraints!$N$5 ) * Constraints!A321 + 0.605 /Performance!$E$15 * (Performance!$E$16  - Constraints!$N$6 * Performance!$E$14) + Constraints!$N$6</f>
        <v>0.33534560078972814</v>
      </c>
      <c r="G321" s="54" t="s">
        <v>198</v>
      </c>
      <c r="H321" s="55">
        <f>SQRT(2/$V$3 * A321 * SQRT(Performance!$E$23 / (3 * Performance!$E$12)))</f>
        <v>15.5725820517267</v>
      </c>
      <c r="I321" s="55">
        <f>SQRT(2/$V$3 * A321 * (SQRT(Performance!$E$23)/(SQRT(3*Performance!$E$12 + 4* Performance!$E$23 * Performance!$E$11^2) - SQRT(Performance!$E$23)*Performance!$E$11)))</f>
        <v>16.381344699382076</v>
      </c>
      <c r="J321" t="e">
        <f xml:space="preserve"> $AC$3/G321 + $AC$6/A321 * Performance!$E$12 + Performance!$E$23/Constraints!$AC$6 * Constraints!A321</f>
        <v>#VALUE!</v>
      </c>
      <c r="K321">
        <f xml:space="preserve"> $AC$3/H321 + $AC$6/A321 * Performance!$E$12 + Performance!$E$23/Constraints!$AC$6 * Constraints!A321</f>
        <v>0.84084163081126384</v>
      </c>
      <c r="L321">
        <f xml:space="preserve"> $AC$3/I321 + $AC$6/A321 * Performance!$E$12 + Performance!$E$23/Constraints!$AC$6 * Constraints!A321</f>
        <v>0.82473611565494265</v>
      </c>
      <c r="M321">
        <f>SIN($AC$9 * PI()/180) + 1/Performance!$AE$5</f>
        <v>0.24073077270730886</v>
      </c>
      <c r="N321">
        <f>SIN($AC$9 * PI()/180) + 1/Performance!$AE$8</f>
        <v>0.22738716112204788</v>
      </c>
      <c r="O321" s="60">
        <f>$AC$16 * (Performance!$E$12/Constraints!A321 + Performance!$E$23 * (Constraints!$AC$13/Constraints!$AC$17)^2 * Constraints!A321)</f>
        <v>2.2618534308251517E-4</v>
      </c>
      <c r="P321" t="e">
        <f t="shared" si="19"/>
        <v>#VALUE!</v>
      </c>
      <c r="Q321">
        <f t="shared" si="20"/>
        <v>63.674314645481914</v>
      </c>
      <c r="R321">
        <f t="shared" si="21"/>
        <v>70.459916036309281</v>
      </c>
      <c r="S321" t="e">
        <f xml:space="preserve"> 1.667/G321 + P321/A321 * Performance!$E$12 + Performance!$E$23 / Constraints!P321 * Constraints!A321</f>
        <v>#VALUE!</v>
      </c>
      <c r="T321">
        <f xml:space="preserve"> 1.667/H321 + Q321/A321 * Performance!$E$12 + Performance!$E$23 / Constraints!Q321 * Constraints!A321</f>
        <v>0.21296008373853936</v>
      </c>
      <c r="U321">
        <f xml:space="preserve"> 1.667/I321 + R321/A321 * Performance!$E$12 + Performance!$E$23 / Constraints!R321 * Constraints!A321</f>
        <v>0.19990484338863077</v>
      </c>
    </row>
    <row r="322" spans="1:21" x14ac:dyDescent="0.3">
      <c r="A322" s="51">
        <v>160</v>
      </c>
      <c r="B322" s="50">
        <f>$V$4*Performance!$E$12*(1/A322)+Performance!$E$23*(1/Constraints!$V$4)*Constraints!A322</f>
        <v>0.18383533964752904</v>
      </c>
      <c r="C322" s="50">
        <f>$V$5*Performance!$E$12*(1/A322)+Performance!$E$23*(1/Constraints!$V$5)*Constraints!A322</f>
        <v>0.28115063148886943</v>
      </c>
      <c r="D322" s="52">
        <f t="shared" si="18"/>
        <v>0.33570642793139099</v>
      </c>
      <c r="E322" s="52">
        <f>$V$4*Performance!$E$12*(1/A322)+Performance!$E$23*(1/Constraints!$V$9)*Constraints!A322</f>
        <v>0.18311275402046803</v>
      </c>
      <c r="F322" s="52">
        <f xml:space="preserve"> 1.21 / (9.81 * Constraints!$N$7 * Performance!$E$15 * Constraints!$N$5 ) * Constraints!A322 + 0.605 /Performance!$E$15 * (Performance!$E$16  - Constraints!$N$6 * Performance!$E$14) + Constraints!$N$6</f>
        <v>0.33561760894267401</v>
      </c>
      <c r="G322" s="54" t="s">
        <v>198</v>
      </c>
      <c r="H322" s="55">
        <f>SQRT(2/$V$3 * A322 * SQRT(Performance!$E$23 / (3 * Performance!$E$12)))</f>
        <v>15.596971388600195</v>
      </c>
      <c r="I322" s="55">
        <f>SQRT(2/$V$3 * A322 * (SQRT(Performance!$E$23)/(SQRT(3*Performance!$E$12 + 4* Performance!$E$23 * Performance!$E$11^2) - SQRT(Performance!$E$23)*Performance!$E$11)))</f>
        <v>16.40700069740392</v>
      </c>
      <c r="J322" t="e">
        <f xml:space="preserve"> $AC$3/G322 + $AC$6/A322 * Performance!$E$12 + Performance!$E$23/Constraints!$AC$6 * Constraints!A322</f>
        <v>#VALUE!</v>
      </c>
      <c r="K322">
        <f xml:space="preserve"> $AC$3/H322 + $AC$6/A322 * Performance!$E$12 + Performance!$E$23/Constraints!$AC$6 * Constraints!A322</f>
        <v>0.84193103056588325</v>
      </c>
      <c r="L322">
        <f xml:space="preserve"> $AC$3/I322 + $AC$6/A322 * Performance!$E$12 + Performance!$E$23/Constraints!$AC$6 * Constraints!A322</f>
        <v>0.82585069996782545</v>
      </c>
      <c r="M322">
        <f>SIN($AC$9 * PI()/180) + 1/Performance!$AE$5</f>
        <v>0.24073077270730886</v>
      </c>
      <c r="N322">
        <f>SIN($AC$9 * PI()/180) + 1/Performance!$AE$8</f>
        <v>0.22738716112204788</v>
      </c>
      <c r="O322" s="60">
        <f>$AC$16 * (Performance!$E$12/Constraints!A322 + Performance!$E$23 * (Constraints!$AC$13/Constraints!$AC$17)^2 * Constraints!A322)</f>
        <v>2.2592997823240836E-4</v>
      </c>
      <c r="P322" t="e">
        <f t="shared" si="19"/>
        <v>#VALUE!</v>
      </c>
      <c r="Q322">
        <f t="shared" si="20"/>
        <v>63.873920647505372</v>
      </c>
      <c r="R322">
        <f t="shared" si="21"/>
        <v>70.680793516046947</v>
      </c>
      <c r="S322" t="e">
        <f xml:space="preserve"> 1.667/G322 + P322/A322 * Performance!$E$12 + Performance!$E$23 / Constraints!P322 * Constraints!A322</f>
        <v>#VALUE!</v>
      </c>
      <c r="T322">
        <f xml:space="preserve"> 1.667/H322 + Q322/A322 * Performance!$E$12 + Performance!$E$23 / Constraints!Q322 * Constraints!A322</f>
        <v>0.21279269174219445</v>
      </c>
      <c r="U322">
        <f xml:space="preserve"> 1.667/I322 + R322/A322 * Performance!$E$12 + Performance!$E$23 / Constraints!R322 * Constraints!A322</f>
        <v>0.1997457156951648</v>
      </c>
    </row>
    <row r="323" spans="1:21" x14ac:dyDescent="0.3">
      <c r="A323" s="51">
        <v>160.5</v>
      </c>
      <c r="B323" s="50">
        <f>$V$4*Performance!$E$12*(1/A323)+Performance!$E$23*(1/Constraints!$V$4)*Constraints!A323</f>
        <v>0.18330219616028115</v>
      </c>
      <c r="C323" s="50">
        <f>$V$5*Performance!$E$12*(1/A323)+Performance!$E$23*(1/Constraints!$V$5)*Constraints!A323</f>
        <v>0.28030010899997848</v>
      </c>
      <c r="D323" s="52">
        <f t="shared" si="18"/>
        <v>0.3359787136436766</v>
      </c>
      <c r="E323" s="52">
        <f>$V$4*Performance!$E$12*(1/A323)+Performance!$E$23*(1/Constraints!$V$9)*Constraints!A323</f>
        <v>0.18257735245313558</v>
      </c>
      <c r="F323" s="52">
        <f xml:space="preserve"> 1.21 / (9.81 * Constraints!$N$7 * Performance!$E$15 * Constraints!$N$5 ) * Constraints!A323 + 0.605 /Performance!$E$15 * (Performance!$E$16  - Constraints!$N$6 * Performance!$E$14) + Constraints!$N$6</f>
        <v>0.33588961709561987</v>
      </c>
      <c r="G323" s="54" t="s">
        <v>198</v>
      </c>
      <c r="H323" s="55">
        <f>SQRT(2/$V$3 * A323 * SQRT(Performance!$E$23 / (3 * Performance!$E$12)))</f>
        <v>15.621322646814054</v>
      </c>
      <c r="I323" s="55">
        <f>SQRT(2/$V$3 * A323 * (SQRT(Performance!$E$23)/(SQRT(3*Performance!$E$12 + 4* Performance!$E$23 * Performance!$E$11^2) - SQRT(Performance!$E$23)*Performance!$E$11)))</f>
        <v>16.432616639149472</v>
      </c>
      <c r="J323" t="e">
        <f xml:space="preserve"> $AC$3/G323 + $AC$6/A323 * Performance!$E$12 + Performance!$E$23/Constraints!$AC$6 * Constraints!A323</f>
        <v>#VALUE!</v>
      </c>
      <c r="K323">
        <f xml:space="preserve"> $AC$3/H323 + $AC$6/A323 * Performance!$E$12 + Performance!$E$23/Constraints!$AC$6 * Constraints!A323</f>
        <v>0.84302285861303505</v>
      </c>
      <c r="L323">
        <f xml:space="preserve"> $AC$3/I323 + $AC$6/A323 * Performance!$E$12 + Performance!$E$23/Constraints!$AC$6 * Constraints!A323</f>
        <v>0.82696759479654314</v>
      </c>
      <c r="M323">
        <f>SIN($AC$9 * PI()/180) + 1/Performance!$AE$5</f>
        <v>0.24073077270730886</v>
      </c>
      <c r="N323">
        <f>SIN($AC$9 * PI()/180) + 1/Performance!$AE$8</f>
        <v>0.22738716112204788</v>
      </c>
      <c r="O323" s="60">
        <f>$AC$16 * (Performance!$E$12/Constraints!A323 + Performance!$E$23 * (Constraints!$AC$13/Constraints!$AC$17)^2 * Constraints!A323)</f>
        <v>2.2567761307253276E-4</v>
      </c>
      <c r="P323" t="e">
        <f t="shared" si="19"/>
        <v>#VALUE!</v>
      </c>
      <c r="Q323">
        <f t="shared" si="20"/>
        <v>64.073526649528816</v>
      </c>
      <c r="R323">
        <f t="shared" si="21"/>
        <v>70.901670995784585</v>
      </c>
      <c r="S323" t="e">
        <f xml:space="preserve"> 1.667/G323 + P323/A323 * Performance!$E$12 + Performance!$E$23 / Constraints!P323 * Constraints!A323</f>
        <v>#VALUE!</v>
      </c>
      <c r="T323">
        <f xml:space="preserve"> 1.667/H323 + Q323/A323 * Performance!$E$12 + Performance!$E$23 / Constraints!Q323 * Constraints!A323</f>
        <v>0.21262608256190363</v>
      </c>
      <c r="U323">
        <f xml:space="preserve"> 1.667/I323 + R323/A323 * Performance!$E$12 + Performance!$E$23 / Constraints!R323 * Constraints!A323</f>
        <v>0.19958733216937602</v>
      </c>
    </row>
    <row r="324" spans="1:21" x14ac:dyDescent="0.3">
      <c r="A324" s="51">
        <v>161</v>
      </c>
      <c r="B324" s="50">
        <f>$V$4*Performance!$E$12*(1/A324)+Performance!$E$23*(1/Constraints!$V$4)*Constraints!A324</f>
        <v>0.18277248714804384</v>
      </c>
      <c r="C324" s="50">
        <f>$V$5*Performance!$E$12*(1/A324)+Performance!$E$23*(1/Constraints!$V$5)*Constraints!A324</f>
        <v>0.27945494806599425</v>
      </c>
      <c r="D324" s="52">
        <f t="shared" si="18"/>
        <v>0.3362509993559622</v>
      </c>
      <c r="E324" s="52">
        <f>$V$4*Performance!$E$12*(1/A324)+Performance!$E$23*(1/Constraints!$V$9)*Constraints!A324</f>
        <v>0.18204538536081372</v>
      </c>
      <c r="F324" s="52">
        <f xml:space="preserve"> 1.21 / (9.81 * Constraints!$N$7 * Performance!$E$15 * Constraints!$N$5 ) * Constraints!A324 + 0.605 /Performance!$E$15 * (Performance!$E$16  - Constraints!$N$6 * Performance!$E$14) + Constraints!$N$6</f>
        <v>0.33616162524856569</v>
      </c>
      <c r="G324" s="54" t="s">
        <v>198</v>
      </c>
      <c r="H324" s="55">
        <f>SQRT(2/$V$3 * A324 * SQRT(Performance!$E$23 / (3 * Performance!$E$12)))</f>
        <v>15.645636004168004</v>
      </c>
      <c r="I324" s="55">
        <f>SQRT(2/$V$3 * A324 * (SQRT(Performance!$E$23)/(SQRT(3*Performance!$E$12 + 4* Performance!$E$23 * Performance!$E$11^2) - SQRT(Performance!$E$23)*Performance!$E$11)))</f>
        <v>16.458192711652504</v>
      </c>
      <c r="J324" t="e">
        <f xml:space="preserve"> $AC$3/G324 + $AC$6/A324 * Performance!$E$12 + Performance!$E$23/Constraints!$AC$6 * Constraints!A324</f>
        <v>#VALUE!</v>
      </c>
      <c r="K324">
        <f xml:space="preserve"> $AC$3/H324 + $AC$6/A324 * Performance!$E$12 + Performance!$E$23/Constraints!$AC$6 * Constraints!A324</f>
        <v>0.84411709601872265</v>
      </c>
      <c r="L324">
        <f xml:space="preserve"> $AC$3/I324 + $AC$6/A324 * Performance!$E$12 + Performance!$E$23/Constraints!$AC$6 * Constraints!A324</f>
        <v>0.82808678212222608</v>
      </c>
      <c r="M324">
        <f>SIN($AC$9 * PI()/180) + 1/Performance!$AE$5</f>
        <v>0.24073077270730886</v>
      </c>
      <c r="N324">
        <f>SIN($AC$9 * PI()/180) + 1/Performance!$AE$8</f>
        <v>0.22738716112204788</v>
      </c>
      <c r="O324" s="60">
        <f>$AC$16 * (Performance!$E$12/Constraints!A324 + Performance!$E$23 * (Constraints!$AC$13/Constraints!$AC$17)^2 * Constraints!A324)</f>
        <v>2.2542821965546386E-4</v>
      </c>
      <c r="P324" t="e">
        <f t="shared" si="19"/>
        <v>#VALUE!</v>
      </c>
      <c r="Q324">
        <f t="shared" si="20"/>
        <v>64.27313265155226</v>
      </c>
      <c r="R324">
        <f t="shared" si="21"/>
        <v>71.122548475522265</v>
      </c>
      <c r="S324" t="e">
        <f xml:space="preserve"> 1.667/G324 + P324/A324 * Performance!$E$12 + Performance!$E$23 / Constraints!P324 * Constraints!A324</f>
        <v>#VALUE!</v>
      </c>
      <c r="T324">
        <f xml:space="preserve"> 1.667/H324 + Q324/A324 * Performance!$E$12 + Performance!$E$23 / Constraints!Q324 * Constraints!A324</f>
        <v>0.21246025011517147</v>
      </c>
      <c r="U324">
        <f xml:space="preserve"> 1.667/I324 + R324/A324 * Performance!$E$12 + Performance!$E$23 / Constraints!R324 * Constraints!A324</f>
        <v>0.19942968702906749</v>
      </c>
    </row>
    <row r="325" spans="1:21" x14ac:dyDescent="0.3">
      <c r="A325" s="51">
        <v>161.5</v>
      </c>
      <c r="B325" s="50">
        <f>$V$4*Performance!$E$12*(1/A325)+Performance!$E$23*(1/Constraints!$V$4)*Constraints!A325</f>
        <v>0.18224618071166848</v>
      </c>
      <c r="C325" s="50">
        <f>$V$5*Performance!$E$12*(1/A325)+Performance!$E$23*(1/Constraints!$V$5)*Constraints!A325</f>
        <v>0.27861509888919328</v>
      </c>
      <c r="D325" s="52">
        <f t="shared" si="18"/>
        <v>0.3365232850682478</v>
      </c>
      <c r="E325" s="52">
        <f>$V$4*Performance!$E$12*(1/A325)+Performance!$E$23*(1/Constraints!$V$9)*Constraints!A325</f>
        <v>0.18151682084435378</v>
      </c>
      <c r="F325" s="52">
        <f xml:space="preserve"> 1.21 / (9.81 * Constraints!$N$7 * Performance!$E$15 * Constraints!$N$5 ) * Constraints!A325 + 0.605 /Performance!$E$15 * (Performance!$E$16  - Constraints!$N$6 * Performance!$E$14) + Constraints!$N$6</f>
        <v>0.33643363340151156</v>
      </c>
      <c r="G325" s="54" t="s">
        <v>198</v>
      </c>
      <c r="H325" s="55">
        <f>SQRT(2/$V$3 * A325 * SQRT(Performance!$E$23 / (3 * Performance!$E$12)))</f>
        <v>15.669911637082411</v>
      </c>
      <c r="I325" s="55">
        <f>SQRT(2/$V$3 * A325 * (SQRT(Performance!$E$23)/(SQRT(3*Performance!$E$12 + 4* Performance!$E$23 * Performance!$E$11^2) - SQRT(Performance!$E$23)*Performance!$E$11)))</f>
        <v>16.483729100495768</v>
      </c>
      <c r="J325" t="e">
        <f xml:space="preserve"> $AC$3/G325 + $AC$6/A325 * Performance!$E$12 + Performance!$E$23/Constraints!$AC$6 * Constraints!A325</f>
        <v>#VALUE!</v>
      </c>
      <c r="K325">
        <f xml:space="preserve"> $AC$3/H325 + $AC$6/A325 * Performance!$E$12 + Performance!$E$23/Constraints!$AC$6 * Constraints!A325</f>
        <v>0.84521372405488926</v>
      </c>
      <c r="L325">
        <f xml:space="preserve"> $AC$3/I325 + $AC$6/A325 * Performance!$E$12 + Performance!$E$23/Constraints!$AC$6 * Constraints!A325</f>
        <v>0.82920824412202099</v>
      </c>
      <c r="M325">
        <f>SIN($AC$9 * PI()/180) + 1/Performance!$AE$5</f>
        <v>0.24073077270730886</v>
      </c>
      <c r="N325">
        <f>SIN($AC$9 * PI()/180) + 1/Performance!$AE$8</f>
        <v>0.22738716112204788</v>
      </c>
      <c r="O325" s="60">
        <f>$AC$16 * (Performance!$E$12/Constraints!A325 + Performance!$E$23 * (Constraints!$AC$13/Constraints!$AC$17)^2 * Constraints!A325)</f>
        <v>2.2518177037987529E-4</v>
      </c>
      <c r="P325" t="e">
        <f t="shared" si="19"/>
        <v>#VALUE!</v>
      </c>
      <c r="Q325">
        <f t="shared" si="20"/>
        <v>64.472738653575746</v>
      </c>
      <c r="R325">
        <f t="shared" si="21"/>
        <v>71.343425955259903</v>
      </c>
      <c r="S325" t="e">
        <f xml:space="preserve"> 1.667/G325 + P325/A325 * Performance!$E$12 + Performance!$E$23 / Constraints!P325 * Constraints!A325</f>
        <v>#VALUE!</v>
      </c>
      <c r="T325">
        <f xml:space="preserve"> 1.667/H325 + Q325/A325 * Performance!$E$12 + Performance!$E$23 / Constraints!Q325 * Constraints!A325</f>
        <v>0.21229518838546302</v>
      </c>
      <c r="U325">
        <f xml:space="preserve"> 1.667/I325 + R325/A325 * Performance!$E$12 + Performance!$E$23 / Constraints!R325 * Constraints!A325</f>
        <v>0.19927277455474654</v>
      </c>
    </row>
    <row r="326" spans="1:21" x14ac:dyDescent="0.3">
      <c r="A326" s="51">
        <v>162</v>
      </c>
      <c r="B326" s="50">
        <f>$V$4*Performance!$E$12*(1/A326)+Performance!$E$23*(1/Constraints!$V$4)*Constraints!A326</f>
        <v>0.18172324534582285</v>
      </c>
      <c r="C326" s="50">
        <f>$V$5*Performance!$E$12*(1/A326)+Performance!$E$23*(1/Constraints!$V$5)*Constraints!A326</f>
        <v>0.27778051228663853</v>
      </c>
      <c r="D326" s="52">
        <f t="shared" si="18"/>
        <v>0.3367955707805334</v>
      </c>
      <c r="E326" s="52">
        <f>$V$4*Performance!$E$12*(1/A326)+Performance!$E$23*(1/Constraints!$V$9)*Constraints!A326</f>
        <v>0.18099162739842359</v>
      </c>
      <c r="F326" s="52">
        <f xml:space="preserve"> 1.21 / (9.81 * Constraints!$N$7 * Performance!$E$15 * Constraints!$N$5 ) * Constraints!A326 + 0.605 /Performance!$E$15 * (Performance!$E$16  - Constraints!$N$6 * Performance!$E$14) + Constraints!$N$6</f>
        <v>0.33670564155445742</v>
      </c>
      <c r="G326" s="54" t="s">
        <v>198</v>
      </c>
      <c r="H326" s="55">
        <f>SQRT(2/$V$3 * A326 * SQRT(Performance!$E$23 / (3 * Performance!$E$12)))</f>
        <v>15.694149720613197</v>
      </c>
      <c r="I326" s="55">
        <f>SQRT(2/$V$3 * A326 * (SQRT(Performance!$E$23)/(SQRT(3*Performance!$E$12 + 4* Performance!$E$23 * Performance!$E$11^2) - SQRT(Performance!$E$23)*Performance!$E$11)))</f>
        <v>16.509225989826732</v>
      </c>
      <c r="J326" t="e">
        <f xml:space="preserve"> $AC$3/G326 + $AC$6/A326 * Performance!$E$12 + Performance!$E$23/Constraints!$AC$6 * Constraints!A326</f>
        <v>#VALUE!</v>
      </c>
      <c r="K326">
        <f xml:space="preserve"> $AC$3/H326 + $AC$6/A326 * Performance!$E$12 + Performance!$E$23/Constraints!$AC$6 * Constraints!A326</f>
        <v>0.84631272419654779</v>
      </c>
      <c r="L326">
        <f xml:space="preserve"> $AC$3/I326 + $AC$6/A326 * Performance!$E$12 + Performance!$E$23/Constraints!$AC$6 * Constraints!A326</f>
        <v>0.83033196316635782</v>
      </c>
      <c r="M326">
        <f>SIN($AC$9 * PI()/180) + 1/Performance!$AE$5</f>
        <v>0.24073077270730886</v>
      </c>
      <c r="N326">
        <f>SIN($AC$9 * PI()/180) + 1/Performance!$AE$8</f>
        <v>0.22738716112204788</v>
      </c>
      <c r="O326" s="60">
        <f>$AC$16 * (Performance!$E$12/Constraints!A326 + Performance!$E$23 * (Constraints!$AC$13/Constraints!$AC$17)^2 * Constraints!A326)</f>
        <v>2.2493823798519768E-4</v>
      </c>
      <c r="P326" t="e">
        <f t="shared" si="19"/>
        <v>#VALUE!</v>
      </c>
      <c r="Q326">
        <f t="shared" si="20"/>
        <v>64.67234465559919</v>
      </c>
      <c r="R326">
        <f t="shared" si="21"/>
        <v>71.564303434997541</v>
      </c>
      <c r="S326" t="e">
        <f xml:space="preserve"> 1.667/G326 + P326/A326 * Performance!$E$12 + Performance!$E$23 / Constraints!P326 * Constraints!A326</f>
        <v>#VALUE!</v>
      </c>
      <c r="T326">
        <f xml:space="preserve"> 1.667/H326 + Q326/A326 * Performance!$E$12 + Performance!$E$23 / Constraints!Q326 * Constraints!A326</f>
        <v>0.21213089142128727</v>
      </c>
      <c r="U326">
        <f xml:space="preserve"> 1.667/I326 + R326/A326 * Performance!$E$12 + Performance!$E$23 / Constraints!R326 * Constraints!A326</f>
        <v>0.19911658908875285</v>
      </c>
    </row>
    <row r="327" spans="1:21" x14ac:dyDescent="0.3">
      <c r="A327" s="51">
        <v>162.5</v>
      </c>
      <c r="B327" s="50">
        <f>$V$4*Performance!$E$12*(1/A327)+Performance!$E$23*(1/Constraints!$V$4)*Constraints!A327</f>
        <v>0.18120364993293295</v>
      </c>
      <c r="C327" s="50">
        <f>$V$5*Performance!$E$12*(1/A327)+Performance!$E$23*(1/Constraints!$V$5)*Constraints!A327</f>
        <v>0.27695113968072166</v>
      </c>
      <c r="D327" s="52">
        <f t="shared" si="18"/>
        <v>0.33706785649281895</v>
      </c>
      <c r="E327" s="52">
        <f>$V$4*Performance!$E$12*(1/A327)+Performance!$E$23*(1/Constraints!$V$9)*Constraints!A327</f>
        <v>0.18046977390544913</v>
      </c>
      <c r="F327" s="52">
        <f xml:space="preserve"> 1.21 / (9.81 * Constraints!$N$7 * Performance!$E$15 * Constraints!$N$5 ) * Constraints!A327 + 0.605 /Performance!$E$15 * (Performance!$E$16  - Constraints!$N$6 * Performance!$E$14) + Constraints!$N$6</f>
        <v>0.33697764970740329</v>
      </c>
      <c r="G327" s="54" t="s">
        <v>198</v>
      </c>
      <c r="H327" s="55">
        <f>SQRT(2/$V$3 * A327 * SQRT(Performance!$E$23 / (3 * Performance!$E$12)))</f>
        <v>15.718350428466589</v>
      </c>
      <c r="I327" s="55">
        <f>SQRT(2/$V$3 * A327 * (SQRT(Performance!$E$23)/(SQRT(3*Performance!$E$12 + 4* Performance!$E$23 * Performance!$E$11^2) - SQRT(Performance!$E$23)*Performance!$E$11)))</f>
        <v>16.534683562373058</v>
      </c>
      <c r="J327" t="e">
        <f xml:space="preserve"> $AC$3/G327 + $AC$6/A327 * Performance!$E$12 + Performance!$E$23/Constraints!$AC$6 * Constraints!A327</f>
        <v>#VALUE!</v>
      </c>
      <c r="K327">
        <f xml:space="preserve"> $AC$3/H327 + $AC$6/A327 * Performance!$E$12 + Performance!$E$23/Constraints!$AC$6 * Constraints!A327</f>
        <v>0.84741407811895875</v>
      </c>
      <c r="L327">
        <f xml:space="preserve"> $AC$3/I327 + $AC$6/A327 * Performance!$E$12 + Performance!$E$23/Constraints!$AC$6 * Constraints!A327</f>
        <v>0.8314579218162641</v>
      </c>
      <c r="M327">
        <f>SIN($AC$9 * PI()/180) + 1/Performance!$AE$5</f>
        <v>0.24073077270730886</v>
      </c>
      <c r="N327">
        <f>SIN($AC$9 * PI()/180) + 1/Performance!$AE$8</f>
        <v>0.22738716112204788</v>
      </c>
      <c r="O327" s="60">
        <f>$AC$16 * (Performance!$E$12/Constraints!A327 + Performance!$E$23 * (Constraints!$AC$13/Constraints!$AC$17)^2 * Constraints!A327)</f>
        <v>2.2469759554637661E-4</v>
      </c>
      <c r="P327" t="e">
        <f t="shared" si="19"/>
        <v>#VALUE!</v>
      </c>
      <c r="Q327">
        <f t="shared" si="20"/>
        <v>64.871950657622648</v>
      </c>
      <c r="R327">
        <f t="shared" si="21"/>
        <v>71.785180914735179</v>
      </c>
      <c r="S327" t="e">
        <f xml:space="preserve"> 1.667/G327 + P327/A327 * Performance!$E$12 + Performance!$E$23 / Constraints!P327 * Constraints!A327</f>
        <v>#VALUE!</v>
      </c>
      <c r="T327">
        <f xml:space="preserve"> 1.667/H327 + Q327/A327 * Performance!$E$12 + Performance!$E$23 / Constraints!Q327 * Constraints!A327</f>
        <v>0.21196735333529548</v>
      </c>
      <c r="U327">
        <f xml:space="preserve"> 1.667/I327 + R327/A327 * Performance!$E$12 + Performance!$E$23 / Constraints!R327 * Constraints!A327</f>
        <v>0.19896112503440178</v>
      </c>
    </row>
    <row r="328" spans="1:21" x14ac:dyDescent="0.3">
      <c r="A328" s="51">
        <v>163</v>
      </c>
      <c r="B328" s="50">
        <f>$V$4*Performance!$E$12*(1/A328)+Performance!$E$23*(1/Constraints!$V$4)*Constraints!A328</f>
        <v>0.1806873637372354</v>
      </c>
      <c r="C328" s="50">
        <f>$V$5*Performance!$E$12*(1/A328)+Performance!$E$23*(1/Constraints!$V$5)*Constraints!A328</f>
        <v>0.27612693308987857</v>
      </c>
      <c r="D328" s="52">
        <f t="shared" si="18"/>
        <v>0.33734014220510455</v>
      </c>
      <c r="E328" s="52">
        <f>$V$4*Performance!$E$12*(1/A328)+Performance!$E$23*(1/Constraints!$V$9)*Constraints!A328</f>
        <v>0.179951229629667</v>
      </c>
      <c r="F328" s="52">
        <f xml:space="preserve"> 1.21 / (9.81 * Constraints!$N$7 * Performance!$E$15 * Constraints!$N$5 ) * Constraints!A328 + 0.605 /Performance!$E$15 * (Performance!$E$16  - Constraints!$N$6 * Performance!$E$14) + Constraints!$N$6</f>
        <v>0.33724965786034911</v>
      </c>
      <c r="G328" s="54" t="s">
        <v>198</v>
      </c>
      <c r="H328" s="55">
        <f>SQRT(2/$V$3 * A328 * SQRT(Performance!$E$23 / (3 * Performance!$E$12)))</f>
        <v>15.742513933013633</v>
      </c>
      <c r="I328" s="55">
        <f>SQRT(2/$V$3 * A328 * (SQRT(Performance!$E$23)/(SQRT(3*Performance!$E$12 + 4* Performance!$E$23 * Performance!$E$11^2) - SQRT(Performance!$E$23)*Performance!$E$11)))</f>
        <v>16.560101999457888</v>
      </c>
      <c r="J328" t="e">
        <f xml:space="preserve"> $AC$3/G328 + $AC$6/A328 * Performance!$E$12 + Performance!$E$23/Constraints!$AC$6 * Constraints!A328</f>
        <v>#VALUE!</v>
      </c>
      <c r="K328">
        <f xml:space="preserve"> $AC$3/H328 + $AC$6/A328 * Performance!$E$12 + Performance!$E$23/Constraints!$AC$6 * Constraints!A328</f>
        <v>0.84851776769485787</v>
      </c>
      <c r="L328">
        <f xml:space="preserve"> $AC$3/I328 + $AC$6/A328 * Performance!$E$12 + Performance!$E$23/Constraints!$AC$6 * Constraints!A328</f>
        <v>0.83258610282072509</v>
      </c>
      <c r="M328">
        <f>SIN($AC$9 * PI()/180) + 1/Performance!$AE$5</f>
        <v>0.24073077270730886</v>
      </c>
      <c r="N328">
        <f>SIN($AC$9 * PI()/180) + 1/Performance!$AE$8</f>
        <v>0.22738716112204788</v>
      </c>
      <c r="O328" s="60">
        <f>$AC$16 * (Performance!$E$12/Constraints!A328 + Performance!$E$23 * (Constraints!$AC$13/Constraints!$AC$17)^2 * Constraints!A328)</f>
        <v>2.2445981646872625E-4</v>
      </c>
      <c r="P328" t="e">
        <f t="shared" si="19"/>
        <v>#VALUE!</v>
      </c>
      <c r="Q328">
        <f t="shared" si="20"/>
        <v>65.071556659646092</v>
      </c>
      <c r="R328">
        <f t="shared" si="21"/>
        <v>72.006058394472802</v>
      </c>
      <c r="S328" t="e">
        <f xml:space="preserve"> 1.667/G328 + P328/A328 * Performance!$E$12 + Performance!$E$23 / Constraints!P328 * Constraints!A328</f>
        <v>#VALUE!</v>
      </c>
      <c r="T328">
        <f xml:space="preserve"> 1.667/H328 + Q328/A328 * Performance!$E$12 + Performance!$E$23 / Constraints!Q328 * Constraints!A328</f>
        <v>0.21180456830339534</v>
      </c>
      <c r="U328">
        <f xml:space="preserve"> 1.667/I328 + R328/A328 * Performance!$E$12 + Performance!$E$23 / Constraints!R328 * Constraints!A328</f>
        <v>0.19880637685514191</v>
      </c>
    </row>
    <row r="329" spans="1:21" x14ac:dyDescent="0.3">
      <c r="A329" s="51">
        <v>163.5</v>
      </c>
      <c r="B329" s="50">
        <f>$V$4*Performance!$E$12*(1/A329)+Performance!$E$23*(1/Constraints!$V$4)*Constraints!A329</f>
        <v>0.18017435639893933</v>
      </c>
      <c r="C329" s="50">
        <f>$V$5*Performance!$E$12*(1/A329)+Performance!$E$23*(1/Constraints!$V$5)*Constraints!A329</f>
        <v>0.27530784511947548</v>
      </c>
      <c r="D329" s="52">
        <f t="shared" si="18"/>
        <v>0.33761242791739016</v>
      </c>
      <c r="E329" s="52">
        <f>$V$4*Performance!$E$12*(1/A329)+Performance!$E$23*(1/Constraints!$V$9)*Constraints!A329</f>
        <v>0.17943596421128638</v>
      </c>
      <c r="F329" s="52">
        <f xml:space="preserve"> 1.21 / (9.81 * Constraints!$N$7 * Performance!$E$15 * Constraints!$N$5 ) * Constraints!A329 + 0.605 /Performance!$E$15 * (Performance!$E$16  - Constraints!$N$6 * Performance!$E$14) + Constraints!$N$6</f>
        <v>0.33752166601329497</v>
      </c>
      <c r="G329" s="54" t="s">
        <v>198</v>
      </c>
      <c r="H329" s="55">
        <f>SQRT(2/$V$3 * A329 * SQRT(Performance!$E$23 / (3 * Performance!$E$12)))</f>
        <v>15.766640405304514</v>
      </c>
      <c r="I329" s="55">
        <f>SQRT(2/$V$3 * A329 * (SQRT(Performance!$E$23)/(SQRT(3*Performance!$E$12 + 4* Performance!$E$23 * Performance!$E$11^2) - SQRT(Performance!$E$23)*Performance!$E$11)))</f>
        <v>16.585481481014913</v>
      </c>
      <c r="J329" t="e">
        <f xml:space="preserve"> $AC$3/G329 + $AC$6/A329 * Performance!$E$12 + Performance!$E$23/Constraints!$AC$6 * Constraints!A329</f>
        <v>#VALUE!</v>
      </c>
      <c r="K329">
        <f xml:space="preserve"> $AC$3/H329 + $AC$6/A329 * Performance!$E$12 + Performance!$E$23/Constraints!$AC$6 * Constraints!A329</f>
        <v>0.84962377499172859</v>
      </c>
      <c r="L329">
        <f xml:space="preserve"> $AC$3/I329 + $AC$6/A329 * Performance!$E$12 + Performance!$E$23/Constraints!$AC$6 * Constraints!A329</f>
        <v>0.8337164891140878</v>
      </c>
      <c r="M329">
        <f>SIN($AC$9 * PI()/180) + 1/Performance!$AE$5</f>
        <v>0.24073077270730886</v>
      </c>
      <c r="N329">
        <f>SIN($AC$9 * PI()/180) + 1/Performance!$AE$8</f>
        <v>0.22738716112204788</v>
      </c>
      <c r="O329" s="60">
        <f>$AC$16 * (Performance!$E$12/Constraints!A329 + Performance!$E$23 * (Constraints!$AC$13/Constraints!$AC$17)^2 * Constraints!A329)</f>
        <v>2.2422487448287798E-4</v>
      </c>
      <c r="P329" t="e">
        <f t="shared" si="19"/>
        <v>#VALUE!</v>
      </c>
      <c r="Q329">
        <f t="shared" si="20"/>
        <v>65.27116266166955</v>
      </c>
      <c r="R329">
        <f t="shared" si="21"/>
        <v>72.226935874210469</v>
      </c>
      <c r="S329" t="e">
        <f xml:space="preserve"> 1.667/G329 + P329/A329 * Performance!$E$12 + Performance!$E$23 / Constraints!P329 * Constraints!A329</f>
        <v>#VALUE!</v>
      </c>
      <c r="T329">
        <f xml:space="preserve"> 1.667/H329 + Q329/A329 * Performance!$E$12 + Performance!$E$23 / Constraints!Q329 * Constraints!A329</f>
        <v>0.21164253056387972</v>
      </c>
      <c r="U329">
        <f xml:space="preserve"> 1.667/I329 + R329/A329 * Performance!$E$12 + Performance!$E$23 / Constraints!R329 * Constraints!A329</f>
        <v>0.19865233907372709</v>
      </c>
    </row>
    <row r="330" spans="1:21" x14ac:dyDescent="0.3">
      <c r="A330" s="51">
        <v>164</v>
      </c>
      <c r="B330" s="50">
        <f>$V$4*Performance!$E$12*(1/A330)+Performance!$E$23*(1/Constraints!$V$4)*Constraints!A330</f>
        <v>0.17966459792849543</v>
      </c>
      <c r="C330" s="50">
        <f>$V$5*Performance!$E$12*(1/A330)+Performance!$E$23*(1/Constraints!$V$5)*Constraints!A330</f>
        <v>0.27449382895286201</v>
      </c>
      <c r="D330" s="52">
        <f t="shared" si="18"/>
        <v>0.33788471362967576</v>
      </c>
      <c r="E330" s="52">
        <f>$V$4*Performance!$E$12*(1/A330)+Performance!$E$23*(1/Constraints!$V$9)*Constraints!A330</f>
        <v>0.17892394766075792</v>
      </c>
      <c r="F330" s="52">
        <f xml:space="preserve"> 1.21 / (9.81 * Constraints!$N$7 * Performance!$E$15 * Constraints!$N$5 ) * Constraints!A330 + 0.605 /Performance!$E$15 * (Performance!$E$16  - Constraints!$N$6 * Performance!$E$14) + Constraints!$N$6</f>
        <v>0.33779367416624084</v>
      </c>
      <c r="G330" s="54" t="s">
        <v>198</v>
      </c>
      <c r="H330" s="55">
        <f>SQRT(2/$V$3 * A330 * SQRT(Performance!$E$23 / (3 * Performance!$E$12)))</f>
        <v>15.790730015082692</v>
      </c>
      <c r="I330" s="55">
        <f>SQRT(2/$V$3 * A330 * (SQRT(Performance!$E$23)/(SQRT(3*Performance!$E$12 + 4* Performance!$E$23 * Performance!$E$11^2) - SQRT(Performance!$E$23)*Performance!$E$11)))</f>
        <v>16.610822185603215</v>
      </c>
      <c r="J330" t="e">
        <f xml:space="preserve"> $AC$3/G330 + $AC$6/A330 * Performance!$E$12 + Performance!$E$23/Constraints!$AC$6 * Constraints!A330</f>
        <v>#VALUE!</v>
      </c>
      <c r="K330">
        <f xml:space="preserve"> $AC$3/H330 + $AC$6/A330 * Performance!$E$12 + Performance!$E$23/Constraints!$AC$6 * Constraints!A330</f>
        <v>0.85073208226912134</v>
      </c>
      <c r="L330">
        <f xml:space="preserve"> $AC$3/I330 + $AC$6/A330 * Performance!$E$12 + Performance!$E$23/Constraints!$AC$6 * Constraints!A330</f>
        <v>0.83484906381350976</v>
      </c>
      <c r="M330">
        <f>SIN($AC$9 * PI()/180) + 1/Performance!$AE$5</f>
        <v>0.24073077270730886</v>
      </c>
      <c r="N330">
        <f>SIN($AC$9 * PI()/180) + 1/Performance!$AE$8</f>
        <v>0.22738716112204788</v>
      </c>
      <c r="O330" s="60">
        <f>$AC$16 * (Performance!$E$12/Constraints!A330 + Performance!$E$23 * (Constraints!$AC$13/Constraints!$AC$17)^2 * Constraints!A330)</f>
        <v>2.2399274363982152E-4</v>
      </c>
      <c r="P330" t="e">
        <f t="shared" si="19"/>
        <v>#VALUE!</v>
      </c>
      <c r="Q330">
        <f t="shared" si="20"/>
        <v>65.470768663693008</v>
      </c>
      <c r="R330">
        <f t="shared" si="21"/>
        <v>72.447813353948106</v>
      </c>
      <c r="S330" t="e">
        <f xml:space="preserve"> 1.667/G330 + P330/A330 * Performance!$E$12 + Performance!$E$23 / Constraints!P330 * Constraints!A330</f>
        <v>#VALUE!</v>
      </c>
      <c r="T330">
        <f xml:space="preserve"> 1.667/H330 + Q330/A330 * Performance!$E$12 + Performance!$E$23 / Constraints!Q330 * Constraints!A330</f>
        <v>0.21148123441657005</v>
      </c>
      <c r="U330">
        <f xml:space="preserve"> 1.667/I330 + R330/A330 * Performance!$E$12 + Performance!$E$23 / Constraints!R330 * Constraints!A330</f>
        <v>0.19849900627140216</v>
      </c>
    </row>
    <row r="331" spans="1:21" x14ac:dyDescent="0.3">
      <c r="A331" s="51">
        <v>164.5</v>
      </c>
      <c r="B331" s="50">
        <f>$V$4*Performance!$E$12*(1/A331)+Performance!$E$23*(1/Constraints!$V$4)*Constraints!A331</f>
        <v>0.17915805870096888</v>
      </c>
      <c r="C331" s="50">
        <f>$V$5*Performance!$E$12*(1/A331)+Performance!$E$23*(1/Constraints!$V$5)*Constraints!A331</f>
        <v>0.27368483834258728</v>
      </c>
      <c r="D331" s="52">
        <f t="shared" si="18"/>
        <v>0.33815699934196136</v>
      </c>
      <c r="E331" s="52">
        <f>$V$4*Performance!$E$12*(1/A331)+Performance!$E$23*(1/Constraints!$V$9)*Constraints!A331</f>
        <v>0.17841515035314678</v>
      </c>
      <c r="F331" s="52">
        <f xml:space="preserve"> 1.21 / (9.81 * Constraints!$N$7 * Performance!$E$15 * Constraints!$N$5 ) * Constraints!A331 + 0.605 /Performance!$E$15 * (Performance!$E$16  - Constraints!$N$6 * Performance!$E$14) + Constraints!$N$6</f>
        <v>0.33806568231918671</v>
      </c>
      <c r="G331" s="54" t="s">
        <v>198</v>
      </c>
      <c r="H331" s="55">
        <f>SQRT(2/$V$3 * A331 * SQRT(Performance!$E$23 / (3 * Performance!$E$12)))</f>
        <v>15.814782930798829</v>
      </c>
      <c r="I331" s="55">
        <f>SQRT(2/$V$3 * A331 * (SQRT(Performance!$E$23)/(SQRT(3*Performance!$E$12 + 4* Performance!$E$23 * Performance!$E$11^2) - SQRT(Performance!$E$23)*Performance!$E$11)))</f>
        <v>16.636124290421957</v>
      </c>
      <c r="J331" t="e">
        <f xml:space="preserve"> $AC$3/G331 + $AC$6/A331 * Performance!$E$12 + Performance!$E$23/Constraints!$AC$6 * Constraints!A331</f>
        <v>#VALUE!</v>
      </c>
      <c r="K331">
        <f xml:space="preserve"> $AC$3/H331 + $AC$6/A331 * Performance!$E$12 + Performance!$E$23/Constraints!$AC$6 * Constraints!A331</f>
        <v>0.85184267197601748</v>
      </c>
      <c r="L331">
        <f xml:space="preserve"> $AC$3/I331 + $AC$6/A331 * Performance!$E$12 + Performance!$E$23/Constraints!$AC$6 * Constraints!A331</f>
        <v>0.83598381021644785</v>
      </c>
      <c r="M331">
        <f>SIN($AC$9 * PI()/180) + 1/Performance!$AE$5</f>
        <v>0.24073077270730886</v>
      </c>
      <c r="N331">
        <f>SIN($AC$9 * PI()/180) + 1/Performance!$AE$8</f>
        <v>0.22738716112204788</v>
      </c>
      <c r="O331" s="60">
        <f>$AC$16 * (Performance!$E$12/Constraints!A331 + Performance!$E$23 * (Constraints!$AC$13/Constraints!$AC$17)^2 * Constraints!A331)</f>
        <v>2.2376339830603586E-4</v>
      </c>
      <c r="P331" t="e">
        <f t="shared" si="19"/>
        <v>#VALUE!</v>
      </c>
      <c r="Q331">
        <f t="shared" si="20"/>
        <v>65.670374665716466</v>
      </c>
      <c r="R331">
        <f t="shared" si="21"/>
        <v>72.668690833685773</v>
      </c>
      <c r="S331" t="e">
        <f xml:space="preserve"> 1.667/G331 + P331/A331 * Performance!$E$12 + Performance!$E$23 / Constraints!P331 * Constraints!A331</f>
        <v>#VALUE!</v>
      </c>
      <c r="T331">
        <f xml:space="preserve"> 1.667/H331 + Q331/A331 * Performance!$E$12 + Performance!$E$23 / Constraints!Q331 * Constraints!A331</f>
        <v>0.21132067422197426</v>
      </c>
      <c r="U331">
        <f xml:space="preserve"> 1.667/I331 + R331/A331 * Performance!$E$12 + Performance!$E$23 / Constraints!R331 * Constraints!A331</f>
        <v>0.19834637308710204</v>
      </c>
    </row>
    <row r="332" spans="1:21" x14ac:dyDescent="0.3">
      <c r="A332" s="51">
        <v>165</v>
      </c>
      <c r="B332" s="50">
        <f>$V$4*Performance!$E$12*(1/A332)+Performance!$E$23*(1/Constraints!$V$4)*Constraints!A332</f>
        <v>0.1786547094505149</v>
      </c>
      <c r="C332" s="50">
        <f>$V$5*Performance!$E$12*(1/A332)+Performance!$E$23*(1/Constraints!$V$5)*Constraints!A332</f>
        <v>0.27288082760177529</v>
      </c>
      <c r="D332" s="52">
        <f t="shared" si="18"/>
        <v>0.33842928505424696</v>
      </c>
      <c r="E332" s="52">
        <f>$V$4*Performance!$E$12*(1/A332)+Performance!$E$23*(1/Constraints!$V$9)*Constraints!A332</f>
        <v>0.17790954302260825</v>
      </c>
      <c r="F332" s="52">
        <f xml:space="preserve"> 1.21 / (9.81 * Constraints!$N$7 * Performance!$E$15 * Constraints!$N$5 ) * Constraints!A332 + 0.605 /Performance!$E$15 * (Performance!$E$16  - Constraints!$N$6 * Performance!$E$14) + Constraints!$N$6</f>
        <v>0.33833769047213258</v>
      </c>
      <c r="G332" s="54" t="s">
        <v>198</v>
      </c>
      <c r="H332" s="55">
        <f>SQRT(2/$V$3 * A332 * SQRT(Performance!$E$23 / (3 * Performance!$E$12)))</f>
        <v>15.838799319624531</v>
      </c>
      <c r="I332" s="55">
        <f>SQRT(2/$V$3 * A332 * (SQRT(Performance!$E$23)/(SQRT(3*Performance!$E$12 + 4* Performance!$E$23 * Performance!$E$11^2) - SQRT(Performance!$E$23)*Performance!$E$11)))</f>
        <v>16.661387971324803</v>
      </c>
      <c r="J332" t="e">
        <f xml:space="preserve"> $AC$3/G332 + $AC$6/A332 * Performance!$E$12 + Performance!$E$23/Constraints!$AC$6 * Constraints!A332</f>
        <v>#VALUE!</v>
      </c>
      <c r="K332">
        <f xml:space="preserve"> $AC$3/H332 + $AC$6/A332 * Performance!$E$12 + Performance!$E$23/Constraints!$AC$6 * Constraints!A332</f>
        <v>0.85295552674823738</v>
      </c>
      <c r="L332">
        <f xml:space="preserve"> $AC$3/I332 + $AC$6/A332 * Performance!$E$12 + Performance!$E$23/Constraints!$AC$6 * Constraints!A332</f>
        <v>0.83712071179819314</v>
      </c>
      <c r="M332">
        <f>SIN($AC$9 * PI()/180) + 1/Performance!$AE$5</f>
        <v>0.24073077270730886</v>
      </c>
      <c r="N332">
        <f>SIN($AC$9 * PI()/180) + 1/Performance!$AE$8</f>
        <v>0.22738716112204788</v>
      </c>
      <c r="O332" s="60">
        <f>$AC$16 * (Performance!$E$12/Constraints!A332 + Performance!$E$23 * (Constraints!$AC$13/Constraints!$AC$17)^2 * Constraints!A332)</f>
        <v>2.2353681315870957E-4</v>
      </c>
      <c r="P332" t="e">
        <f t="shared" si="19"/>
        <v>#VALUE!</v>
      </c>
      <c r="Q332">
        <f t="shared" si="20"/>
        <v>65.86998066773991</v>
      </c>
      <c r="R332">
        <f t="shared" si="21"/>
        <v>72.889568313423396</v>
      </c>
      <c r="S332" t="e">
        <f xml:space="preserve"> 1.667/G332 + P332/A332 * Performance!$E$12 + Performance!$E$23 / Constraints!P332 * Constraints!A332</f>
        <v>#VALUE!</v>
      </c>
      <c r="T332">
        <f xml:space="preserve"> 1.667/H332 + Q332/A332 * Performance!$E$12 + Performance!$E$23 / Constraints!Q332 * Constraints!A332</f>
        <v>0.21116084440045851</v>
      </c>
      <c r="U332">
        <f xml:space="preserve"> 1.667/I332 + R332/A332 * Performance!$E$12 + Performance!$E$23 / Constraints!R332 * Constraints!A332</f>
        <v>0.19819443421666488</v>
      </c>
    </row>
    <row r="333" spans="1:21" x14ac:dyDescent="0.3">
      <c r="A333" s="51">
        <v>165.5</v>
      </c>
      <c r="B333" s="50">
        <f>$V$4*Performance!$E$12*(1/A333)+Performance!$E$23*(1/Constraints!$V$4)*Constraints!A333</f>
        <v>0.17815452126495465</v>
      </c>
      <c r="C333" s="50">
        <f>$V$5*Performance!$E$12*(1/A333)+Performance!$E$23*(1/Constraints!$V$5)*Constraints!A333</f>
        <v>0.27208175159565773</v>
      </c>
      <c r="D333" s="52">
        <f t="shared" si="18"/>
        <v>0.33870157076653257</v>
      </c>
      <c r="E333" s="52">
        <f>$V$4*Performance!$E$12*(1/A333)+Performance!$E$23*(1/Constraints!$V$9)*Constraints!A333</f>
        <v>0.17740709675696342</v>
      </c>
      <c r="F333" s="52">
        <f xml:space="preserve"> 1.21 / (9.81 * Constraints!$N$7 * Performance!$E$15 * Constraints!$N$5 ) * Constraints!A333 + 0.605 /Performance!$E$15 * (Performance!$E$16  - Constraints!$N$6 * Performance!$E$14) + Constraints!$N$6</f>
        <v>0.33860969862507839</v>
      </c>
      <c r="G333" s="54" t="s">
        <v>198</v>
      </c>
      <c r="H333" s="55">
        <f>SQRT(2/$V$3 * A333 * SQRT(Performance!$E$23 / (3 * Performance!$E$12)))</f>
        <v>15.862779347465914</v>
      </c>
      <c r="I333" s="55">
        <f>SQRT(2/$V$3 * A333 * (SQRT(Performance!$E$23)/(SQRT(3*Performance!$E$12 + 4* Performance!$E$23 * Performance!$E$11^2) - SQRT(Performance!$E$23)*Performance!$E$11)))</f>
        <v>16.686613402834212</v>
      </c>
      <c r="J333" t="e">
        <f xml:space="preserve"> $AC$3/G333 + $AC$6/A333 * Performance!$E$12 + Performance!$E$23/Constraints!$AC$6 * Constraints!A333</f>
        <v>#VALUE!</v>
      </c>
      <c r="K333">
        <f xml:space="preserve"> $AC$3/H333 + $AC$6/A333 * Performance!$E$12 + Performance!$E$23/Constraints!$AC$6 * Constraints!A333</f>
        <v>0.85407062940589218</v>
      </c>
      <c r="L333">
        <f xml:space="preserve"> $AC$3/I333 + $AC$6/A333 * Performance!$E$12 + Performance!$E$23/Constraints!$AC$6 * Constraints!A333</f>
        <v>0.83825975220944371</v>
      </c>
      <c r="M333">
        <f>SIN($AC$9 * PI()/180) + 1/Performance!$AE$5</f>
        <v>0.24073077270730886</v>
      </c>
      <c r="N333">
        <f>SIN($AC$9 * PI()/180) + 1/Performance!$AE$8</f>
        <v>0.22738716112204788</v>
      </c>
      <c r="O333" s="60">
        <f>$AC$16 * (Performance!$E$12/Constraints!A333 + Performance!$E$23 * (Constraints!$AC$13/Constraints!$AC$17)^2 * Constraints!A333)</f>
        <v>2.2331296318104686E-4</v>
      </c>
      <c r="P333" t="e">
        <f t="shared" si="19"/>
        <v>#VALUE!</v>
      </c>
      <c r="Q333">
        <f t="shared" si="20"/>
        <v>66.069586669763382</v>
      </c>
      <c r="R333">
        <f t="shared" si="21"/>
        <v>73.110445793161077</v>
      </c>
      <c r="S333" t="e">
        <f xml:space="preserve"> 1.667/G333 + P333/A333 * Performance!$E$12 + Performance!$E$23 / Constraints!P333 * Constraints!A333</f>
        <v>#VALUE!</v>
      </c>
      <c r="T333">
        <f xml:space="preserve"> 1.667/H333 + Q333/A333 * Performance!$E$12 + Performance!$E$23 / Constraints!Q333 * Constraints!A333</f>
        <v>0.2110017394314328</v>
      </c>
      <c r="U333">
        <f xml:space="preserve"> 1.667/I333 + R333/A333 * Performance!$E$12 + Performance!$E$23 / Constraints!R333 * Constraints!A333</f>
        <v>0.19804318441205726</v>
      </c>
    </row>
    <row r="334" spans="1:21" x14ac:dyDescent="0.3">
      <c r="A334" s="51">
        <v>166</v>
      </c>
      <c r="B334" s="50">
        <f>$V$4*Performance!$E$12*(1/A334)+Performance!$E$23*(1/Constraints!$V$4)*Constraints!A334</f>
        <v>0.1776574655804487</v>
      </c>
      <c r="C334" s="50">
        <f>$V$5*Performance!$E$12*(1/A334)+Performance!$E$23*(1/Constraints!$V$5)*Constraints!A334</f>
        <v>0.27128756573325835</v>
      </c>
      <c r="D334" s="52">
        <f t="shared" si="18"/>
        <v>0.33897385647881817</v>
      </c>
      <c r="E334" s="52">
        <f>$V$4*Performance!$E$12*(1/A334)+Performance!$E$23*(1/Constraints!$V$9)*Constraints!A334</f>
        <v>0.17690778299237292</v>
      </c>
      <c r="F334" s="52">
        <f xml:space="preserve"> 1.21 / (9.81 * Constraints!$N$7 * Performance!$E$15 * Constraints!$N$5 ) * Constraints!A334 + 0.605 /Performance!$E$15 * (Performance!$E$16  - Constraints!$N$6 * Performance!$E$14) + Constraints!$N$6</f>
        <v>0.33888170677802426</v>
      </c>
      <c r="G334" s="54" t="s">
        <v>198</v>
      </c>
      <c r="H334" s="55">
        <f>SQRT(2/$V$3 * A334 * SQRT(Performance!$E$23 / (3 * Performance!$E$12)))</f>
        <v>15.886723178976954</v>
      </c>
      <c r="I334" s="55">
        <f>SQRT(2/$V$3 * A334 * (SQRT(Performance!$E$23)/(SQRT(3*Performance!$E$12 + 4* Performance!$E$23 * Performance!$E$11^2) - SQRT(Performance!$E$23)*Performance!$E$11)))</f>
        <v>16.711800758155469</v>
      </c>
      <c r="J334" t="e">
        <f xml:space="preserve"> $AC$3/G334 + $AC$6/A334 * Performance!$E$12 + Performance!$E$23/Constraints!$AC$6 * Constraints!A334</f>
        <v>#VALUE!</v>
      </c>
      <c r="K334">
        <f xml:space="preserve"> $AC$3/H334 + $AC$6/A334 * Performance!$E$12 + Performance!$E$23/Constraints!$AC$6 * Constraints!A334</f>
        <v>0.85518796295087696</v>
      </c>
      <c r="L334">
        <f xml:space="preserve"> $AC$3/I334 + $AC$6/A334 * Performance!$E$12 + Performance!$E$23/Constraints!$AC$6 * Constraints!A334</f>
        <v>0.83940091527391902</v>
      </c>
      <c r="M334">
        <f>SIN($AC$9 * PI()/180) + 1/Performance!$AE$5</f>
        <v>0.24073077270730886</v>
      </c>
      <c r="N334">
        <f>SIN($AC$9 * PI()/180) + 1/Performance!$AE$8</f>
        <v>0.22738716112204788</v>
      </c>
      <c r="O334" s="60">
        <f>$AC$16 * (Performance!$E$12/Constraints!A334 + Performance!$E$23 * (Constraints!$AC$13/Constraints!$AC$17)^2 * Constraints!A334)</f>
        <v>2.2309182365765927E-4</v>
      </c>
      <c r="P334" t="e">
        <f t="shared" si="19"/>
        <v>#VALUE!</v>
      </c>
      <c r="Q334">
        <f t="shared" si="20"/>
        <v>66.269192671786826</v>
      </c>
      <c r="R334">
        <f t="shared" si="21"/>
        <v>73.331323272898715</v>
      </c>
      <c r="S334" t="e">
        <f xml:space="preserve"> 1.667/G334 + P334/A334 * Performance!$E$12 + Performance!$E$23 / Constraints!P334 * Constraints!A334</f>
        <v>#VALUE!</v>
      </c>
      <c r="T334">
        <f xml:space="preserve"> 1.667/H334 + Q334/A334 * Performance!$E$12 + Performance!$E$23 / Constraints!Q334 * Constraints!A334</f>
        <v>0.21084335385255007</v>
      </c>
      <c r="U334">
        <f xml:space="preserve"> 1.667/I334 + R334/A334 * Performance!$E$12 + Performance!$E$23 / Constraints!R334 * Constraints!A334</f>
        <v>0.19789261848061368</v>
      </c>
    </row>
    <row r="335" spans="1:21" x14ac:dyDescent="0.3">
      <c r="A335" s="51">
        <v>166.5</v>
      </c>
      <c r="B335" s="50">
        <f>$V$4*Performance!$E$12*(1/A335)+Performance!$E$23*(1/Constraints!$V$4)*Constraints!A335</f>
        <v>0.17716351417626688</v>
      </c>
      <c r="C335" s="50">
        <f>$V$5*Performance!$E$12*(1/A335)+Performance!$E$23*(1/Constraints!$V$5)*Constraints!A335</f>
        <v>0.27049822595922834</v>
      </c>
      <c r="D335" s="52">
        <f t="shared" si="18"/>
        <v>0.33924614219110377</v>
      </c>
      <c r="E335" s="52">
        <f>$V$4*Performance!$E$12*(1/A335)+Performance!$E$23*(1/Constraints!$V$9)*Constraints!A335</f>
        <v>0.17641157350810652</v>
      </c>
      <c r="F335" s="52">
        <f xml:space="preserve"> 1.21 / (9.81 * Constraints!$N$7 * Performance!$E$15 * Constraints!$N$5 ) * Constraints!A335 + 0.605 /Performance!$E$15 * (Performance!$E$16  - Constraints!$N$6 * Performance!$E$14) + Constraints!$N$6</f>
        <v>0.33915371493097013</v>
      </c>
      <c r="G335" s="54" t="s">
        <v>198</v>
      </c>
      <c r="H335" s="55">
        <f>SQRT(2/$V$3 * A335 * SQRT(Performance!$E$23 / (3 * Performance!$E$12)))</f>
        <v>15.910630977572705</v>
      </c>
      <c r="I335" s="55">
        <f>SQRT(2/$V$3 * A335 * (SQRT(Performance!$E$23)/(SQRT(3*Performance!$E$12 + 4* Performance!$E$23 * Performance!$E$11^2) - SQRT(Performance!$E$23)*Performance!$E$11)))</f>
        <v>16.736950209190596</v>
      </c>
      <c r="J335" t="e">
        <f xml:space="preserve"> $AC$3/G335 + $AC$6/A335 * Performance!$E$12 + Performance!$E$23/Constraints!$AC$6 * Constraints!A335</f>
        <v>#VALUE!</v>
      </c>
      <c r="K335">
        <f xml:space="preserve"> $AC$3/H335 + $AC$6/A335 * Performance!$E$12 + Performance!$E$23/Constraints!$AC$6 * Constraints!A335</f>
        <v>0.85630751056440624</v>
      </c>
      <c r="L335">
        <f xml:space="preserve"> $AC$3/I335 + $AC$6/A335 * Performance!$E$12 + Performance!$E$23/Constraints!$AC$6 * Constraints!A335</f>
        <v>0.84054418498601335</v>
      </c>
      <c r="M335">
        <f>SIN($AC$9 * PI()/180) + 1/Performance!$AE$5</f>
        <v>0.24073077270730886</v>
      </c>
      <c r="N335">
        <f>SIN($AC$9 * PI()/180) + 1/Performance!$AE$8</f>
        <v>0.22738716112204788</v>
      </c>
      <c r="O335" s="60">
        <f>$AC$16 * (Performance!$E$12/Constraints!A335 + Performance!$E$23 * (Constraints!$AC$13/Constraints!$AC$17)^2 * Constraints!A335)</f>
        <v>2.228733701700397E-4</v>
      </c>
      <c r="P335" t="e">
        <f t="shared" si="19"/>
        <v>#VALUE!</v>
      </c>
      <c r="Q335">
        <f t="shared" si="20"/>
        <v>66.468798673810284</v>
      </c>
      <c r="R335">
        <f t="shared" si="21"/>
        <v>73.552200752636367</v>
      </c>
      <c r="S335" t="e">
        <f xml:space="preserve"> 1.667/G335 + P335/A335 * Performance!$E$12 + Performance!$E$23 / Constraints!P335 * Constraints!A335</f>
        <v>#VALUE!</v>
      </c>
      <c r="T335">
        <f xml:space="preserve"> 1.667/H335 + Q335/A335 * Performance!$E$12 + Performance!$E$23 / Constraints!Q335 * Constraints!A335</f>
        <v>0.21068568225891854</v>
      </c>
      <c r="U335">
        <f xml:space="preserve"> 1.667/I335 + R335/A335 * Performance!$E$12 + Performance!$E$23 / Constraints!R335 * Constraints!A335</f>
        <v>0.19774273128428688</v>
      </c>
    </row>
    <row r="336" spans="1:21" x14ac:dyDescent="0.3">
      <c r="A336" s="51">
        <v>167</v>
      </c>
      <c r="B336" s="50">
        <f>$V$4*Performance!$E$12*(1/A336)+Performance!$E$23*(1/Constraints!$V$4)*Constraints!A336</f>
        <v>0.17667263916965173</v>
      </c>
      <c r="C336" s="50">
        <f>$V$5*Performance!$E$12*(1/A336)+Performance!$E$23*(1/Constraints!$V$5)*Constraints!A336</f>
        <v>0.26971368874582785</v>
      </c>
      <c r="D336" s="52">
        <f t="shared" si="18"/>
        <v>0.33951842790338937</v>
      </c>
      <c r="E336" s="52">
        <f>$V$4*Performance!$E$12*(1/A336)+Performance!$E$23*(1/Constraints!$V$9)*Constraints!A336</f>
        <v>0.17591844042140681</v>
      </c>
      <c r="F336" s="52">
        <f xml:space="preserve"> 1.21 / (9.81 * Constraints!$N$7 * Performance!$E$15 * Constraints!$N$5 ) * Constraints!A336 + 0.605 /Performance!$E$15 * (Performance!$E$16  - Constraints!$N$6 * Performance!$E$14) + Constraints!$N$6</f>
        <v>0.339425723083916</v>
      </c>
      <c r="G336" s="54" t="s">
        <v>198</v>
      </c>
      <c r="H336" s="55">
        <f>SQRT(2/$V$3 * A336 * SQRT(Performance!$E$23 / (3 * Performance!$E$12)))</f>
        <v>15.934502905442288</v>
      </c>
      <c r="I336" s="55">
        <f>SQRT(2/$V$3 * A336 * (SQRT(Performance!$E$23)/(SQRT(3*Performance!$E$12 + 4* Performance!$E$23 * Performance!$E$11^2) - SQRT(Performance!$E$23)*Performance!$E$11)))</f>
        <v>16.762061926552011</v>
      </c>
      <c r="J336" t="e">
        <f xml:space="preserve"> $AC$3/G336 + $AC$6/A336 * Performance!$E$12 + Performance!$E$23/Constraints!$AC$6 * Constraints!A336</f>
        <v>#VALUE!</v>
      </c>
      <c r="K336">
        <f xml:space="preserve"> $AC$3/H336 + $AC$6/A336 * Performance!$E$12 + Performance!$E$23/Constraints!$AC$6 * Constraints!A336</f>
        <v>0.85742925560458949</v>
      </c>
      <c r="L336">
        <f xml:space="preserve"> $AC$3/I336 + $AC$6/A336 * Performance!$E$12 + Performance!$E$23/Constraints!$AC$6 * Constraints!A336</f>
        <v>0.84168954550848851</v>
      </c>
      <c r="M336">
        <f>SIN($AC$9 * PI()/180) + 1/Performance!$AE$5</f>
        <v>0.24073077270730886</v>
      </c>
      <c r="N336">
        <f>SIN($AC$9 * PI()/180) + 1/Performance!$AE$8</f>
        <v>0.22738716112204788</v>
      </c>
      <c r="O336" s="60">
        <f>$AC$16 * (Performance!$E$12/Constraints!A336 + Performance!$E$23 * (Constraints!$AC$13/Constraints!$AC$17)^2 * Constraints!A336)</f>
        <v>2.2265757859211849E-4</v>
      </c>
      <c r="P336" t="e">
        <f t="shared" si="19"/>
        <v>#VALUE!</v>
      </c>
      <c r="Q336">
        <f t="shared" si="20"/>
        <v>66.668404675833742</v>
      </c>
      <c r="R336">
        <f t="shared" si="21"/>
        <v>73.77307823237399</v>
      </c>
      <c r="S336" t="e">
        <f xml:space="preserve"> 1.667/G336 + P336/A336 * Performance!$E$12 + Performance!$E$23 / Constraints!P336 * Constraints!A336</f>
        <v>#VALUE!</v>
      </c>
      <c r="T336">
        <f xml:space="preserve"> 1.667/H336 + Q336/A336 * Performance!$E$12 + Performance!$E$23 / Constraints!Q336 * Constraints!A336</f>
        <v>0.21052871930232708</v>
      </c>
      <c r="U336">
        <f xml:space="preserve"> 1.667/I336 + R336/A336 * Performance!$E$12 + Performance!$E$23 / Constraints!R336 * Constraints!A336</f>
        <v>0.19759351773891204</v>
      </c>
    </row>
    <row r="337" spans="1:21" x14ac:dyDescent="0.3">
      <c r="A337" s="51">
        <v>167.5</v>
      </c>
      <c r="B337" s="50">
        <f>$V$4*Performance!$E$12*(1/A337)+Performance!$E$23*(1/Constraints!$V$4)*Constraints!A337</f>
        <v>0.17618481301077429</v>
      </c>
      <c r="C337" s="50">
        <f>$V$5*Performance!$E$12*(1/A337)+Performance!$E$23*(1/Constraints!$V$5)*Constraints!A337</f>
        <v>0.26893391108505116</v>
      </c>
      <c r="D337" s="52">
        <f t="shared" si="18"/>
        <v>0.33979071361567492</v>
      </c>
      <c r="E337" s="52">
        <f>$V$4*Performance!$E$12*(1/A337)+Performance!$E$23*(1/Constraints!$V$9)*Constraints!A337</f>
        <v>0.17542835618244482</v>
      </c>
      <c r="F337" s="52">
        <f xml:space="preserve"> 1.21 / (9.81 * Constraints!$N$7 * Performance!$E$15 * Constraints!$N$5 ) * Constraints!A337 + 0.605 /Performance!$E$15 * (Performance!$E$16  - Constraints!$N$6 * Performance!$E$14) + Constraints!$N$6</f>
        <v>0.33969773123686187</v>
      </c>
      <c r="G337" s="54" t="s">
        <v>198</v>
      </c>
      <c r="H337" s="55">
        <f>SQRT(2/$V$3 * A337 * SQRT(Performance!$E$23 / (3 * Performance!$E$12)))</f>
        <v>15.958339123561737</v>
      </c>
      <c r="I337" s="55">
        <f>SQRT(2/$V$3 * A337 * (SQRT(Performance!$E$23)/(SQRT(3*Performance!$E$12 + 4* Performance!$E$23 * Performance!$E$11^2) - SQRT(Performance!$E$23)*Performance!$E$11)))</f>
        <v>16.787136079576047</v>
      </c>
      <c r="J337" t="e">
        <f xml:space="preserve"> $AC$3/G337 + $AC$6/A337 * Performance!$E$12 + Performance!$E$23/Constraints!$AC$6 * Constraints!A337</f>
        <v>#VALUE!</v>
      </c>
      <c r="K337">
        <f xml:space="preserve"> $AC$3/H337 + $AC$6/A337 * Performance!$E$12 + Performance!$E$23/Constraints!$AC$6 * Constraints!A337</f>
        <v>0.8585531816040477</v>
      </c>
      <c r="L337">
        <f xml:space="preserve"> $AC$3/I337 + $AC$6/A337 * Performance!$E$12 + Performance!$E$23/Constraints!$AC$6 * Constraints!A337</f>
        <v>0.84283698117020434</v>
      </c>
      <c r="M337">
        <f>SIN($AC$9 * PI()/180) + 1/Performance!$AE$5</f>
        <v>0.24073077270730886</v>
      </c>
      <c r="N337">
        <f>SIN($AC$9 * PI()/180) + 1/Performance!$AE$8</f>
        <v>0.22738716112204788</v>
      </c>
      <c r="O337" s="60">
        <f>$AC$16 * (Performance!$E$12/Constraints!A337 + Performance!$E$23 * (Constraints!$AC$13/Constraints!$AC$17)^2 * Constraints!A337)</f>
        <v>2.2244442508589834E-4</v>
      </c>
      <c r="P337" t="e">
        <f t="shared" si="19"/>
        <v>#VALUE!</v>
      </c>
      <c r="Q337">
        <f t="shared" si="20"/>
        <v>66.868010677857171</v>
      </c>
      <c r="R337">
        <f t="shared" si="21"/>
        <v>73.993955712111628</v>
      </c>
      <c r="S337" t="e">
        <f xml:space="preserve"> 1.667/G337 + P337/A337 * Performance!$E$12 + Performance!$E$23 / Constraints!P337 * Constraints!A337</f>
        <v>#VALUE!</v>
      </c>
      <c r="T337">
        <f xml:space="preserve"> 1.667/H337 + Q337/A337 * Performance!$E$12 + Performance!$E$23 / Constraints!Q337 * Constraints!A337</f>
        <v>0.21037245969048321</v>
      </c>
      <c r="U337">
        <f xml:space="preserve"> 1.667/I337 + R337/A337 * Performance!$E$12 + Performance!$E$23 / Constraints!R337 * Constraints!A337</f>
        <v>0.19744497281348222</v>
      </c>
    </row>
    <row r="338" spans="1:21" x14ac:dyDescent="0.3">
      <c r="A338" s="51">
        <v>168</v>
      </c>
      <c r="B338" s="50">
        <f>$V$4*Performance!$E$12*(1/A338)+Performance!$E$23*(1/Constraints!$V$4)*Constraints!A338</f>
        <v>0.17570000847777983</v>
      </c>
      <c r="C338" s="50">
        <f>$V$5*Performance!$E$12*(1/A338)+Performance!$E$23*(1/Constraints!$V$5)*Constraints!A338</f>
        <v>0.26815885048089283</v>
      </c>
      <c r="D338" s="52">
        <f t="shared" si="18"/>
        <v>0.34006299932796052</v>
      </c>
      <c r="E338" s="52">
        <f>$V$4*Performance!$E$12*(1/A338)+Performance!$E$23*(1/Constraints!$V$9)*Constraints!A338</f>
        <v>0.17494129356936577</v>
      </c>
      <c r="F338" s="52">
        <f xml:space="preserve"> 1.21 / (9.81 * Constraints!$N$7 * Performance!$E$15 * Constraints!$N$5 ) * Constraints!A338 + 0.605 /Performance!$E$15 * (Performance!$E$16  - Constraints!$N$6 * Performance!$E$14) + Constraints!$N$6</f>
        <v>0.33996973938980768</v>
      </c>
      <c r="G338" s="54" t="s">
        <v>198</v>
      </c>
      <c r="H338" s="55">
        <f>SQRT(2/$V$3 * A338 * SQRT(Performance!$E$23 / (3 * Performance!$E$12)))</f>
        <v>15.982139791706672</v>
      </c>
      <c r="I338" s="55">
        <f>SQRT(2/$V$3 * A338 * (SQRT(Performance!$E$23)/(SQRT(3*Performance!$E$12 + 4* Performance!$E$23 * Performance!$E$11^2) - SQRT(Performance!$E$23)*Performance!$E$11)))</f>
        <v>16.812172836336277</v>
      </c>
      <c r="J338" t="e">
        <f xml:space="preserve"> $AC$3/G338 + $AC$6/A338 * Performance!$E$12 + Performance!$E$23/Constraints!$AC$6 * Constraints!A338</f>
        <v>#VALUE!</v>
      </c>
      <c r="K338">
        <f xml:space="preserve"> $AC$3/H338 + $AC$6/A338 * Performance!$E$12 + Performance!$E$23/Constraints!$AC$6 * Constraints!A338</f>
        <v>0.85967927226756768</v>
      </c>
      <c r="L338">
        <f xml:space="preserve"> $AC$3/I338 + $AC$6/A338 * Performance!$E$12 + Performance!$E$23/Constraints!$AC$6 * Constraints!A338</f>
        <v>0.84398647646388647</v>
      </c>
      <c r="M338">
        <f>SIN($AC$9 * PI()/180) + 1/Performance!$AE$5</f>
        <v>0.24073077270730886</v>
      </c>
      <c r="N338">
        <f>SIN($AC$9 * PI()/180) + 1/Performance!$AE$8</f>
        <v>0.22738716112204788</v>
      </c>
      <c r="O338" s="60">
        <f>$AC$16 * (Performance!$E$12/Constraints!A338 + Performance!$E$23 * (Constraints!$AC$13/Constraints!$AC$17)^2 * Constraints!A338)</f>
        <v>2.2223388609716755E-4</v>
      </c>
      <c r="P338" t="e">
        <f t="shared" si="19"/>
        <v>#VALUE!</v>
      </c>
      <c r="Q338">
        <f t="shared" si="20"/>
        <v>67.067616679880643</v>
      </c>
      <c r="R338">
        <f t="shared" si="21"/>
        <v>74.214833191849308</v>
      </c>
      <c r="S338" t="e">
        <f xml:space="preserve"> 1.667/G338 + P338/A338 * Performance!$E$12 + Performance!$E$23 / Constraints!P338 * Constraints!A338</f>
        <v>#VALUE!</v>
      </c>
      <c r="T338">
        <f xml:space="preserve"> 1.667/H338 + Q338/A338 * Performance!$E$12 + Performance!$E$23 / Constraints!Q338 * Constraints!A338</f>
        <v>0.21021689818626355</v>
      </c>
      <c r="U338">
        <f xml:space="preserve"> 1.667/I338 + R338/A338 * Performance!$E$12 + Performance!$E$23 / Constraints!R338 * Constraints!A338</f>
        <v>0.19729709152943581</v>
      </c>
    </row>
    <row r="339" spans="1:21" x14ac:dyDescent="0.3">
      <c r="A339" s="51">
        <v>168.5</v>
      </c>
      <c r="B339" s="50">
        <f>$V$4*Performance!$E$12*(1/A339)+Performance!$E$23*(1/Constraints!$V$4)*Constraints!A339</f>
        <v>0.17521819867192154</v>
      </c>
      <c r="C339" s="50">
        <f>$V$5*Performance!$E$12*(1/A339)+Performance!$E$23*(1/Constraints!$V$5)*Constraints!A339</f>
        <v>0.26738846494175089</v>
      </c>
      <c r="D339" s="52">
        <f t="shared" si="18"/>
        <v>0.34033528504024613</v>
      </c>
      <c r="E339" s="52">
        <f>$V$4*Performance!$E$12*(1/A339)+Performance!$E$23*(1/Constraints!$V$9)*Constraints!A339</f>
        <v>0.17445722568342292</v>
      </c>
      <c r="F339" s="52">
        <f xml:space="preserve"> 1.21 / (9.81 * Constraints!$N$7 * Performance!$E$15 * Constraints!$N$5 ) * Constraints!A339 + 0.605 /Performance!$E$15 * (Performance!$E$16  - Constraints!$N$6 * Performance!$E$14) + Constraints!$N$6</f>
        <v>0.34024174754275355</v>
      </c>
      <c r="G339" s="54" t="s">
        <v>198</v>
      </c>
      <c r="H339" s="55">
        <f>SQRT(2/$V$3 * A339 * SQRT(Performance!$E$23 / (3 * Performance!$E$12)))</f>
        <v>16.005905068464774</v>
      </c>
      <c r="I339" s="55">
        <f>SQRT(2/$V$3 * A339 * (SQRT(Performance!$E$23)/(SQRT(3*Performance!$E$12 + 4* Performance!$E$23 * Performance!$E$11^2) - SQRT(Performance!$E$23)*Performance!$E$11)))</f>
        <v>16.837172363656634</v>
      </c>
      <c r="J339" t="e">
        <f xml:space="preserve"> $AC$3/G339 + $AC$6/A339 * Performance!$E$12 + Performance!$E$23/Constraints!$AC$6 * Constraints!A339</f>
        <v>#VALUE!</v>
      </c>
      <c r="K339">
        <f xml:space="preserve"> $AC$3/H339 + $AC$6/A339 * Performance!$E$12 + Performance!$E$23/Constraints!$AC$6 * Constraints!A339</f>
        <v>0.86080751146979573</v>
      </c>
      <c r="L339">
        <f xml:space="preserve"> $AC$3/I339 + $AC$6/A339 * Performance!$E$12 + Performance!$E$23/Constraints!$AC$6 * Constraints!A339</f>
        <v>0.84513801604393057</v>
      </c>
      <c r="M339">
        <f>SIN($AC$9 * PI()/180) + 1/Performance!$AE$5</f>
        <v>0.24073077270730886</v>
      </c>
      <c r="N339">
        <f>SIN($AC$9 * PI()/180) + 1/Performance!$AE$8</f>
        <v>0.22738716112204788</v>
      </c>
      <c r="O339" s="60">
        <f>$AC$16 * (Performance!$E$12/Constraints!A339 + Performance!$E$23 * (Constraints!$AC$13/Constraints!$AC$17)^2 * Constraints!A339)</f>
        <v>2.2202593835128978E-4</v>
      </c>
      <c r="P339" t="e">
        <f t="shared" si="19"/>
        <v>#VALUE!</v>
      </c>
      <c r="Q339">
        <f t="shared" si="20"/>
        <v>67.267222681904101</v>
      </c>
      <c r="R339">
        <f t="shared" si="21"/>
        <v>74.435710671586946</v>
      </c>
      <c r="S339" t="e">
        <f xml:space="preserve"> 1.667/G339 + P339/A339 * Performance!$E$12 + Performance!$E$23 / Constraints!P339 * Constraints!A339</f>
        <v>#VALUE!</v>
      </c>
      <c r="T339">
        <f xml:space="preserve"> 1.667/H339 + Q339/A339 * Performance!$E$12 + Performance!$E$23 / Constraints!Q339 * Constraints!A339</f>
        <v>0.21006202960697673</v>
      </c>
      <c r="U339">
        <f xml:space="preserve"> 1.667/I339 + R339/A339 * Performance!$E$12 + Performance!$E$23 / Constraints!R339 * Constraints!A339</f>
        <v>0.19714986895995601</v>
      </c>
    </row>
    <row r="340" spans="1:21" x14ac:dyDescent="0.3">
      <c r="A340" s="51">
        <v>169</v>
      </c>
      <c r="B340" s="50">
        <f>$V$4*Performance!$E$12*(1/A340)+Performance!$E$23*(1/Constraints!$V$4)*Constraints!A340</f>
        <v>0.17473935701278109</v>
      </c>
      <c r="C340" s="50">
        <f>$V$5*Performance!$E$12*(1/A340)+Performance!$E$23*(1/Constraints!$V$5)*Constraints!A340</f>
        <v>0.26662271297296541</v>
      </c>
      <c r="D340" s="52">
        <f t="shared" si="18"/>
        <v>0.34060757075253173</v>
      </c>
      <c r="E340" s="52">
        <f>$V$4*Performance!$E$12*(1/A340)+Performance!$E$23*(1/Constraints!$V$9)*Constraints!A340</f>
        <v>0.17397612594419792</v>
      </c>
      <c r="F340" s="52">
        <f xml:space="preserve"> 1.21 / (9.81 * Constraints!$N$7 * Performance!$E$15 * Constraints!$N$5 ) * Constraints!A340 + 0.605 /Performance!$E$15 * (Performance!$E$16  - Constraints!$N$6 * Performance!$E$14) + Constraints!$N$6</f>
        <v>0.34051375569569942</v>
      </c>
      <c r="G340" s="54" t="s">
        <v>198</v>
      </c>
      <c r="H340" s="55">
        <f>SQRT(2/$V$3 * A340 * SQRT(Performance!$E$23 / (3 * Performance!$E$12)))</f>
        <v>16.02963511124813</v>
      </c>
      <c r="I340" s="55">
        <f>SQRT(2/$V$3 * A340 * (SQRT(Performance!$E$23)/(SQRT(3*Performance!$E$12 + 4* Performance!$E$23 * Performance!$E$11^2) - SQRT(Performance!$E$23)*Performance!$E$11)))</f>
        <v>16.862134827124418</v>
      </c>
      <c r="J340" t="e">
        <f xml:space="preserve"> $AC$3/G340 + $AC$6/A340 * Performance!$E$12 + Performance!$E$23/Constraints!$AC$6 * Constraints!A340</f>
        <v>#VALUE!</v>
      </c>
      <c r="K340">
        <f xml:space="preserve"> $AC$3/H340 + $AC$6/A340 * Performance!$E$12 + Performance!$E$23/Constraints!$AC$6 * Constraints!A340</f>
        <v>0.86193788325296872</v>
      </c>
      <c r="L340">
        <f xml:space="preserve"> $AC$3/I340 + $AC$6/A340 * Performance!$E$12 + Performance!$E$23/Constraints!$AC$6 * Constraints!A340</f>
        <v>0.84629158472424226</v>
      </c>
      <c r="M340">
        <f>SIN($AC$9 * PI()/180) + 1/Performance!$AE$5</f>
        <v>0.24073077270730886</v>
      </c>
      <c r="N340">
        <f>SIN($AC$9 * PI()/180) + 1/Performance!$AE$8</f>
        <v>0.22738716112204788</v>
      </c>
      <c r="O340" s="60">
        <f>$AC$16 * (Performance!$E$12/Constraints!A340 + Performance!$E$23 * (Constraints!$AC$13/Constraints!$AC$17)^2 * Constraints!A340)</f>
        <v>2.2182055884906808E-4</v>
      </c>
      <c r="P340" t="e">
        <f t="shared" si="19"/>
        <v>#VALUE!</v>
      </c>
      <c r="Q340">
        <f t="shared" si="20"/>
        <v>67.466828683927545</v>
      </c>
      <c r="R340">
        <f t="shared" si="21"/>
        <v>74.656588151324598</v>
      </c>
      <c r="S340" t="e">
        <f xml:space="preserve"> 1.667/G340 + P340/A340 * Performance!$E$12 + Performance!$E$23 / Constraints!P340 * Constraints!A340</f>
        <v>#VALUE!</v>
      </c>
      <c r="T340">
        <f xml:space="preserve"> 1.667/H340 + Q340/A340 * Performance!$E$12 + Performance!$E$23 / Constraints!Q340 * Constraints!A340</f>
        <v>0.20990784882363828</v>
      </c>
      <c r="U340">
        <f xml:space="preserve"> 1.667/I340 + R340/A340 * Performance!$E$12 + Performance!$E$23 / Constraints!R340 * Constraints!A340</f>
        <v>0.19700330022928098</v>
      </c>
    </row>
    <row r="341" spans="1:21" x14ac:dyDescent="0.3">
      <c r="A341" s="51">
        <v>169.5</v>
      </c>
      <c r="B341" s="50">
        <f>$V$4*Performance!$E$12*(1/A341)+Performance!$E$23*(1/Constraints!$V$4)*Constraints!A341</f>
        <v>0.17426345723357337</v>
      </c>
      <c r="C341" s="50">
        <f>$V$5*Performance!$E$12*(1/A341)+Performance!$E$23*(1/Constraints!$V$5)*Constraints!A341</f>
        <v>0.26586155356948898</v>
      </c>
      <c r="D341" s="52">
        <f t="shared" si="18"/>
        <v>0.34087985646481733</v>
      </c>
      <c r="E341" s="52">
        <f>$V$4*Performance!$E$12*(1/A341)+Performance!$E$23*(1/Constraints!$V$9)*Constraints!A341</f>
        <v>0.17349796808490561</v>
      </c>
      <c r="F341" s="52">
        <f xml:space="preserve"> 1.21 / (9.81 * Constraints!$N$7 * Performance!$E$15 * Constraints!$N$5 ) * Constraints!A341 + 0.605 /Performance!$E$15 * (Performance!$E$16  - Constraints!$N$6 * Performance!$E$14) + Constraints!$N$6</f>
        <v>0.34078576384864528</v>
      </c>
      <c r="G341" s="54" t="s">
        <v>198</v>
      </c>
      <c r="H341" s="55">
        <f>SQRT(2/$V$3 * A341 * SQRT(Performance!$E$23 / (3 * Performance!$E$12)))</f>
        <v>16.053330076305397</v>
      </c>
      <c r="I341" s="55">
        <f>SQRT(2/$V$3 * A341 * (SQRT(Performance!$E$23)/(SQRT(3*Performance!$E$12 + 4* Performance!$E$23 * Performance!$E$11^2) - SQRT(Performance!$E$23)*Performance!$E$11)))</f>
        <v>16.887060391103052</v>
      </c>
      <c r="J341" t="e">
        <f xml:space="preserve"> $AC$3/G341 + $AC$6/A341 * Performance!$E$12 + Performance!$E$23/Constraints!$AC$6 * Constraints!A341</f>
        <v>#VALUE!</v>
      </c>
      <c r="K341">
        <f xml:space="preserve"> $AC$3/H341 + $AC$6/A341 * Performance!$E$12 + Performance!$E$23/Constraints!$AC$6 * Constraints!A341</f>
        <v>0.86307037182468149</v>
      </c>
      <c r="L341">
        <f xml:space="preserve"> $AC$3/I341 + $AC$6/A341 * Performance!$E$12 + Performance!$E$23/Constraints!$AC$6 * Constraints!A341</f>
        <v>0.84744716747611304</v>
      </c>
      <c r="M341">
        <f>SIN($AC$9 * PI()/180) + 1/Performance!$AE$5</f>
        <v>0.24073077270730886</v>
      </c>
      <c r="N341">
        <f>SIN($AC$9 * PI()/180) + 1/Performance!$AE$8</f>
        <v>0.22738716112204788</v>
      </c>
      <c r="O341" s="60">
        <f>$AC$16 * (Performance!$E$12/Constraints!A341 + Performance!$E$23 * (Constraints!$AC$13/Constraints!$AC$17)^2 * Constraints!A341)</f>
        <v>2.2161772486268253E-4</v>
      </c>
      <c r="P341" t="e">
        <f t="shared" si="19"/>
        <v>#VALUE!</v>
      </c>
      <c r="Q341">
        <f t="shared" si="20"/>
        <v>67.666434685951018</v>
      </c>
      <c r="R341">
        <f t="shared" si="21"/>
        <v>74.877465631062222</v>
      </c>
      <c r="S341" t="e">
        <f xml:space="preserve"> 1.667/G341 + P341/A341 * Performance!$E$12 + Performance!$E$23 / Constraints!P341 * Constraints!A341</f>
        <v>#VALUE!</v>
      </c>
      <c r="T341">
        <f xml:space="preserve"> 1.667/H341 + Q341/A341 * Performance!$E$12 + Performance!$E$23 / Constraints!Q341 * Constraints!A341</f>
        <v>0.2097543507602567</v>
      </c>
      <c r="U341">
        <f xml:space="preserve"> 1.667/I341 + R341/A341 * Performance!$E$12 + Performance!$E$23 / Constraints!R341 * Constraints!A341</f>
        <v>0.19685738051202603</v>
      </c>
    </row>
    <row r="342" spans="1:21" x14ac:dyDescent="0.3">
      <c r="A342" s="51">
        <v>170</v>
      </c>
      <c r="B342" s="50">
        <f>$V$4*Performance!$E$12*(1/A342)+Performance!$E$23*(1/Constraints!$V$4)*Constraints!A342</f>
        <v>0.17379047337653425</v>
      </c>
      <c r="C342" s="50">
        <f>$V$5*Performance!$E$12*(1/A342)+Performance!$E$23*(1/Constraints!$V$5)*Constraints!A342</f>
        <v>0.26510494620868646</v>
      </c>
      <c r="D342" s="52">
        <f t="shared" si="18"/>
        <v>0.34115214217710293</v>
      </c>
      <c r="E342" s="52">
        <f>$V$4*Performance!$E$12*(1/A342)+Performance!$E$23*(1/Constraints!$V$9)*Constraints!A342</f>
        <v>0.17302272614778194</v>
      </c>
      <c r="F342" s="52">
        <f xml:space="preserve"> 1.21 / (9.81 * Constraints!$N$7 * Performance!$E$15 * Constraints!$N$5 ) * Constraints!A342 + 0.605 /Performance!$E$15 * (Performance!$E$16  - Constraints!$N$6 * Performance!$E$14) + Constraints!$N$6</f>
        <v>0.3410577720015911</v>
      </c>
      <c r="G342" s="54" t="s">
        <v>198</v>
      </c>
      <c r="H342" s="55">
        <f>SQRT(2/$V$3 * A342 * SQRT(Performance!$E$23 / (3 * Performance!$E$12)))</f>
        <v>16.076990118733789</v>
      </c>
      <c r="I342" s="55">
        <f>SQRT(2/$V$3 * A342 * (SQRT(Performance!$E$23)/(SQRT(3*Performance!$E$12 + 4* Performance!$E$23 * Performance!$E$11^2) - SQRT(Performance!$E$23)*Performance!$E$11)))</f>
        <v>16.911949218744745</v>
      </c>
      <c r="J342" t="e">
        <f xml:space="preserve"> $AC$3/G342 + $AC$6/A342 * Performance!$E$12 + Performance!$E$23/Constraints!$AC$6 * Constraints!A342</f>
        <v>#VALUE!</v>
      </c>
      <c r="K342">
        <f xml:space="preserve"> $AC$3/H342 + $AC$6/A342 * Performance!$E$12 + Performance!$E$23/Constraints!$AC$6 * Constraints!A342</f>
        <v>0.8642049615556926</v>
      </c>
      <c r="L342">
        <f xml:space="preserve"> $AC$3/I342 + $AC$6/A342 * Performance!$E$12 + Performance!$E$23/Constraints!$AC$6 * Constraints!A342</f>
        <v>0.84860474942612929</v>
      </c>
      <c r="M342">
        <f>SIN($AC$9 * PI()/180) + 1/Performance!$AE$5</f>
        <v>0.24073077270730886</v>
      </c>
      <c r="N342">
        <f>SIN($AC$9 * PI()/180) + 1/Performance!$AE$8</f>
        <v>0.22738716112204788</v>
      </c>
      <c r="O342" s="60">
        <f>$AC$16 * (Performance!$E$12/Constraints!A342 + Performance!$E$23 * (Constraints!$AC$13/Constraints!$AC$17)^2 * Constraints!A342)</f>
        <v>2.2141741393169923E-4</v>
      </c>
      <c r="P342" t="e">
        <f t="shared" si="19"/>
        <v>#VALUE!</v>
      </c>
      <c r="Q342">
        <f t="shared" si="20"/>
        <v>67.866040687974447</v>
      </c>
      <c r="R342">
        <f t="shared" si="21"/>
        <v>75.098343110799874</v>
      </c>
      <c r="S342" t="e">
        <f xml:space="preserve"> 1.667/G342 + P342/A342 * Performance!$E$12 + Performance!$E$23 / Constraints!P342 * Constraints!A342</f>
        <v>#VALUE!</v>
      </c>
      <c r="T342">
        <f xml:space="preserve"> 1.667/H342 + Q342/A342 * Performance!$E$12 + Performance!$E$23 / Constraints!Q342 * Constraints!A342</f>
        <v>0.20960153039313217</v>
      </c>
      <c r="U342">
        <f xml:space="preserve"> 1.667/I342 + R342/A342 * Performance!$E$12 + Performance!$E$23 / Constraints!R342 * Constraints!A342</f>
        <v>0.19671210503251596</v>
      </c>
    </row>
    <row r="343" spans="1:21" x14ac:dyDescent="0.3">
      <c r="A343" s="51">
        <v>170.5</v>
      </c>
      <c r="B343" s="50">
        <f>$V$4*Performance!$E$12*(1/A343)+Performance!$E$23*(1/Constraints!$V$4)*Constraints!A343</f>
        <v>0.17332037978838952</v>
      </c>
      <c r="C343" s="50">
        <f>$V$5*Performance!$E$12*(1/A343)+Performance!$E$23*(1/Constraints!$V$5)*Constraints!A343</f>
        <v>0.26435285084326177</v>
      </c>
      <c r="D343" s="52">
        <f t="shared" ref="D343:D406" si="22">1.21/(9.8*$N$7*$N$8*$N$5)*A343+0.605/$N$8*($N$11-$N$6*$N$10)+$N$6</f>
        <v>0.34142442788938854</v>
      </c>
      <c r="E343" s="52">
        <f>$V$4*Performance!$E$12*(1/A343)+Performance!$E$23*(1/Constraints!$V$9)*Constraints!A343</f>
        <v>0.17255037447955265</v>
      </c>
      <c r="F343" s="52">
        <f xml:space="preserve"> 1.21 / (9.81 * Constraints!$N$7 * Performance!$E$15 * Constraints!$N$5 ) * Constraints!A343 + 0.605 /Performance!$E$15 * (Performance!$E$16  - Constraints!$N$6 * Performance!$E$14) + Constraints!$N$6</f>
        <v>0.34132978015453697</v>
      </c>
      <c r="G343" s="54" t="s">
        <v>198</v>
      </c>
      <c r="H343" s="55">
        <f>SQRT(2/$V$3 * A343 * SQRT(Performance!$E$23 / (3 * Performance!$E$12)))</f>
        <v>16.100615392490948</v>
      </c>
      <c r="I343" s="55">
        <f>SQRT(2/$V$3 * A343 * (SQRT(Performance!$E$23)/(SQRT(3*Performance!$E$12 + 4* Performance!$E$23 * Performance!$E$11^2) - SQRT(Performance!$E$23)*Performance!$E$11)))</f>
        <v>16.936801472002923</v>
      </c>
      <c r="J343" t="e">
        <f xml:space="preserve"> $AC$3/G343 + $AC$6/A343 * Performance!$E$12 + Performance!$E$23/Constraints!$AC$6 * Constraints!A343</f>
        <v>#VALUE!</v>
      </c>
      <c r="K343">
        <f xml:space="preserve"> $AC$3/H343 + $AC$6/A343 * Performance!$E$12 + Performance!$E$23/Constraints!$AC$6 * Constraints!A343</f>
        <v>0.86534163697776156</v>
      </c>
      <c r="L343">
        <f xml:space="preserve"> $AC$3/I343 + $AC$6/A343 * Performance!$E$12 + Performance!$E$23/Constraints!$AC$6 * Constraints!A343</f>
        <v>0.84976431585411594</v>
      </c>
      <c r="M343">
        <f>SIN($AC$9 * PI()/180) + 1/Performance!$AE$5</f>
        <v>0.24073077270730886</v>
      </c>
      <c r="N343">
        <f>SIN($AC$9 * PI()/180) + 1/Performance!$AE$8</f>
        <v>0.22738716112204788</v>
      </c>
      <c r="O343" s="60">
        <f>$AC$16 * (Performance!$E$12/Constraints!A343 + Performance!$E$23 * (Constraints!$AC$13/Constraints!$AC$17)^2 * Constraints!A343)</f>
        <v>2.212196038591499E-4</v>
      </c>
      <c r="P343" t="e">
        <f t="shared" ref="P343:P406" si="23" xml:space="preserve"> 0.5 * $AJ$4 * G343^2</f>
        <v>#VALUE!</v>
      </c>
      <c r="Q343">
        <f t="shared" ref="Q343:Q406" si="24" xml:space="preserve"> 0.5 * $AJ$4 * H343^2</f>
        <v>68.065646689997905</v>
      </c>
      <c r="R343">
        <f t="shared" ref="R343:R406" si="25" xml:space="preserve"> 0.5 * $AJ$4 * I343^2</f>
        <v>75.319220590537512</v>
      </c>
      <c r="S343" t="e">
        <f xml:space="preserve"> 1.667/G343 + P343/A343 * Performance!$E$12 + Performance!$E$23 / Constraints!P343 * Constraints!A343</f>
        <v>#VALUE!</v>
      </c>
      <c r="T343">
        <f xml:space="preserve"> 1.667/H343 + Q343/A343 * Performance!$E$12 + Performance!$E$23 / Constraints!Q343 * Constraints!A343</f>
        <v>0.20944938275016545</v>
      </c>
      <c r="U343">
        <f xml:space="preserve"> 1.667/I343 + R343/A343 * Performance!$E$12 + Performance!$E$23 / Constraints!R343 * Constraints!A343</f>
        <v>0.196567469064129</v>
      </c>
    </row>
    <row r="344" spans="1:21" x14ac:dyDescent="0.3">
      <c r="A344" s="51">
        <v>171</v>
      </c>
      <c r="B344" s="50">
        <f>$V$4*Performance!$E$12*(1/A344)+Performance!$E$23*(1/Constraints!$V$4)*Constraints!A344</f>
        <v>0.17285315111590324</v>
      </c>
      <c r="C344" s="50">
        <f>$V$5*Performance!$E$12*(1/A344)+Performance!$E$23*(1/Constraints!$V$5)*Constraints!A344</f>
        <v>0.26360522789430796</v>
      </c>
      <c r="D344" s="52">
        <f t="shared" si="22"/>
        <v>0.34169671360167414</v>
      </c>
      <c r="E344" s="52">
        <f>$V$4*Performance!$E$12*(1/A344)+Performance!$E$23*(1/Constraints!$V$9)*Constraints!A344</f>
        <v>0.17208088772698182</v>
      </c>
      <c r="F344" s="52">
        <f xml:space="preserve"> 1.21 / (9.81 * Constraints!$N$7 * Performance!$E$15 * Constraints!$N$5 ) * Constraints!A344 + 0.605 /Performance!$E$15 * (Performance!$E$16  - Constraints!$N$6 * Performance!$E$14) + Constraints!$N$6</f>
        <v>0.34160178830748283</v>
      </c>
      <c r="G344" s="54" t="s">
        <v>198</v>
      </c>
      <c r="H344" s="55">
        <f>SQRT(2/$V$3 * A344 * SQRT(Performance!$E$23 / (3 * Performance!$E$12)))</f>
        <v>16.124206050406606</v>
      </c>
      <c r="I344" s="55">
        <f>SQRT(2/$V$3 * A344 * (SQRT(Performance!$E$23)/(SQRT(3*Performance!$E$12 + 4* Performance!$E$23 * Performance!$E$11^2) - SQRT(Performance!$E$23)*Performance!$E$11)))</f>
        <v>16.961617311644542</v>
      </c>
      <c r="J344" t="e">
        <f xml:space="preserve"> $AC$3/G344 + $AC$6/A344 * Performance!$E$12 + Performance!$E$23/Constraints!$AC$6 * Constraints!A344</f>
        <v>#VALUE!</v>
      </c>
      <c r="K344">
        <f xml:space="preserve"> $AC$3/H344 + $AC$6/A344 * Performance!$E$12 + Performance!$E$23/Constraints!$AC$6 * Constraints!A344</f>
        <v>0.86648038278152517</v>
      </c>
      <c r="L344">
        <f xml:space="preserve"> $AC$3/I344 + $AC$6/A344 * Performance!$E$12 + Performance!$E$23/Constraints!$AC$6 * Constraints!A344</f>
        <v>0.85092585219111405</v>
      </c>
      <c r="M344">
        <f>SIN($AC$9 * PI()/180) + 1/Performance!$AE$5</f>
        <v>0.24073077270730886</v>
      </c>
      <c r="N344">
        <f>SIN($AC$9 * PI()/180) + 1/Performance!$AE$8</f>
        <v>0.22738716112204788</v>
      </c>
      <c r="O344" s="60">
        <f>$AC$16 * (Performance!$E$12/Constraints!A344 + Performance!$E$23 * (Constraints!$AC$13/Constraints!$AC$17)^2 * Constraints!A344)</f>
        <v>2.2102427270767971E-4</v>
      </c>
      <c r="P344" t="e">
        <f t="shared" si="23"/>
        <v>#VALUE!</v>
      </c>
      <c r="Q344">
        <f t="shared" si="24"/>
        <v>68.265252692021363</v>
      </c>
      <c r="R344">
        <f t="shared" si="25"/>
        <v>75.540098070275164</v>
      </c>
      <c r="S344" t="e">
        <f xml:space="preserve"> 1.667/G344 + P344/A344 * Performance!$E$12 + Performance!$E$23 / Constraints!P344 * Constraints!A344</f>
        <v>#VALUE!</v>
      </c>
      <c r="T344">
        <f xml:space="preserve"> 1.667/H344 + Q344/A344 * Performance!$E$12 + Performance!$E$23 / Constraints!Q344 * Constraints!A344</f>
        <v>0.20929790291017883</v>
      </c>
      <c r="U344">
        <f xml:space="preserve"> 1.667/I344 + R344/A344 * Performance!$E$12 + Performance!$E$23 / Constraints!R344 * Constraints!A344</f>
        <v>0.19642346792865062</v>
      </c>
    </row>
    <row r="345" spans="1:21" x14ac:dyDescent="0.3">
      <c r="A345" s="51">
        <v>171.5</v>
      </c>
      <c r="B345" s="50">
        <f>$V$4*Performance!$E$12*(1/A345)+Performance!$E$23*(1/Constraints!$V$4)*Constraints!A345</f>
        <v>0.17238876230150416</v>
      </c>
      <c r="C345" s="50">
        <f>$V$5*Performance!$E$12*(1/A345)+Performance!$E$23*(1/Constraints!$V$5)*Constraints!A345</f>
        <v>0.26286203824447979</v>
      </c>
      <c r="D345" s="52">
        <f t="shared" si="22"/>
        <v>0.34196899931395974</v>
      </c>
      <c r="E345" s="52">
        <f>$V$4*Performance!$E$12*(1/A345)+Performance!$E$23*(1/Constraints!$V$9)*Constraints!A345</f>
        <v>0.17161424083249815</v>
      </c>
      <c r="F345" s="52">
        <f xml:space="preserve"> 1.21 / (9.81 * Constraints!$N$7 * Performance!$E$15 * Constraints!$N$5 ) * Constraints!A345 + 0.605 /Performance!$E$15 * (Performance!$E$16  - Constraints!$N$6 * Performance!$E$14) + Constraints!$N$6</f>
        <v>0.3418737964604287</v>
      </c>
      <c r="G345" s="54" t="s">
        <v>198</v>
      </c>
      <c r="H345" s="55">
        <f>SQRT(2/$V$3 * A345 * SQRT(Performance!$E$23 / (3 * Performance!$E$12)))</f>
        <v>16.147762244194134</v>
      </c>
      <c r="I345" s="55">
        <f>SQRT(2/$V$3 * A345 * (SQRT(Performance!$E$23)/(SQRT(3*Performance!$E$12 + 4* Performance!$E$23 * Performance!$E$11^2) - SQRT(Performance!$E$23)*Performance!$E$11)))</f>
        <v>16.98639689726221</v>
      </c>
      <c r="J345" t="e">
        <f xml:space="preserve"> $AC$3/G345 + $AC$6/A345 * Performance!$E$12 + Performance!$E$23/Constraints!$AC$6 * Constraints!A345</f>
        <v>#VALUE!</v>
      </c>
      <c r="K345">
        <f xml:space="preserve"> $AC$3/H345 + $AC$6/A345 * Performance!$E$12 + Performance!$E$23/Constraints!$AC$6 * Constraints!A345</f>
        <v>0.86762118381440634</v>
      </c>
      <c r="L345">
        <f xml:space="preserve"> $AC$3/I345 + $AC$6/A345 * Performance!$E$12 + Performance!$E$23/Constraints!$AC$6 * Constraints!A345</f>
        <v>0.85208934401738934</v>
      </c>
      <c r="M345">
        <f>SIN($AC$9 * PI()/180) + 1/Performance!$AE$5</f>
        <v>0.24073077270730886</v>
      </c>
      <c r="N345">
        <f>SIN($AC$9 * PI()/180) + 1/Performance!$AE$8</f>
        <v>0.22738716112204788</v>
      </c>
      <c r="O345" s="60">
        <f>$AC$16 * (Performance!$E$12/Constraints!A345 + Performance!$E$23 * (Constraints!$AC$13/Constraints!$AC$17)^2 * Constraints!A345)</f>
        <v>2.2083139879576339E-4</v>
      </c>
      <c r="P345" t="e">
        <f t="shared" si="23"/>
        <v>#VALUE!</v>
      </c>
      <c r="Q345">
        <f t="shared" si="24"/>
        <v>68.464858694044821</v>
      </c>
      <c r="R345">
        <f t="shared" si="25"/>
        <v>75.760975550012816</v>
      </c>
      <c r="S345" t="e">
        <f xml:space="preserve"> 1.667/G345 + P345/A345 * Performance!$E$12 + Performance!$E$23 / Constraints!P345 * Constraints!A345</f>
        <v>#VALUE!</v>
      </c>
      <c r="T345">
        <f xml:space="preserve"> 1.667/H345 + Q345/A345 * Performance!$E$12 + Performance!$E$23 / Constraints!Q345 * Constraints!A345</f>
        <v>0.20914708600224732</v>
      </c>
      <c r="U345">
        <f xml:space="preserve"> 1.667/I345 + R345/A345 * Performance!$E$12 + Performance!$E$23 / Constraints!R345 * Constraints!A345</f>
        <v>0.19628009699563803</v>
      </c>
    </row>
    <row r="346" spans="1:21" x14ac:dyDescent="0.3">
      <c r="A346" s="51">
        <v>172</v>
      </c>
      <c r="B346" s="50">
        <f>$V$4*Performance!$E$12*(1/A346)+Performance!$E$23*(1/Constraints!$V$4)*Constraints!A346</f>
        <v>0.17192718857898789</v>
      </c>
      <c r="C346" s="50">
        <f>$V$5*Performance!$E$12*(1/A346)+Performance!$E$23*(1/Constraints!$V$5)*Constraints!A346</f>
        <v>0.26212324323128494</v>
      </c>
      <c r="D346" s="52">
        <f t="shared" si="22"/>
        <v>0.34224128502624535</v>
      </c>
      <c r="E346" s="52">
        <f>$V$4*Performance!$E$12*(1/A346)+Performance!$E$23*(1/Constraints!$V$9)*Constraints!A346</f>
        <v>0.17115040902989731</v>
      </c>
      <c r="F346" s="52">
        <f xml:space="preserve"> 1.21 / (9.81 * Constraints!$N$7 * Performance!$E$15 * Constraints!$N$5 ) * Constraints!A346 + 0.605 /Performance!$E$15 * (Performance!$E$16  - Constraints!$N$6 * Performance!$E$14) + Constraints!$N$6</f>
        <v>0.34214580461337457</v>
      </c>
      <c r="G346" s="54" t="s">
        <v>198</v>
      </c>
      <c r="H346" s="55">
        <f>SQRT(2/$V$3 * A346 * SQRT(Performance!$E$23 / (3 * Performance!$E$12)))</f>
        <v>16.17128412446192</v>
      </c>
      <c r="I346" s="55">
        <f>SQRT(2/$V$3 * A346 * (SQRT(Performance!$E$23)/(SQRT(3*Performance!$E$12 + 4* Performance!$E$23 * Performance!$E$11^2) - SQRT(Performance!$E$23)*Performance!$E$11)))</f>
        <v>17.011140387286169</v>
      </c>
      <c r="J346" t="e">
        <f xml:space="preserve"> $AC$3/G346 + $AC$6/A346 * Performance!$E$12 + Performance!$E$23/Constraints!$AC$6 * Constraints!A346</f>
        <v>#VALUE!</v>
      </c>
      <c r="K346">
        <f xml:space="preserve"> $AC$3/H346 + $AC$6/A346 * Performance!$E$12 + Performance!$E$23/Constraints!$AC$6 * Constraints!A346</f>
        <v>0.8687640250785551</v>
      </c>
      <c r="L346">
        <f xml:space="preserve"> $AC$3/I346 + $AC$6/A346 * Performance!$E$12 + Performance!$E$23/Constraints!$AC$6 * Constraints!A346</f>
        <v>0.85325477706047392</v>
      </c>
      <c r="M346">
        <f>SIN($AC$9 * PI()/180) + 1/Performance!$AE$5</f>
        <v>0.24073077270730886</v>
      </c>
      <c r="N346">
        <f>SIN($AC$9 * PI()/180) + 1/Performance!$AE$8</f>
        <v>0.22738716112204788</v>
      </c>
      <c r="O346" s="60">
        <f>$AC$16 * (Performance!$E$12/Constraints!A346 + Performance!$E$23 * (Constraints!$AC$13/Constraints!$AC$17)^2 * Constraints!A346)</f>
        <v>2.2064096069398606E-4</v>
      </c>
      <c r="P346" t="e">
        <f t="shared" si="23"/>
        <v>#VALUE!</v>
      </c>
      <c r="Q346">
        <f t="shared" si="24"/>
        <v>68.664464696068279</v>
      </c>
      <c r="R346">
        <f t="shared" si="25"/>
        <v>75.981853029750454</v>
      </c>
      <c r="S346" t="e">
        <f xml:space="preserve"> 1.667/G346 + P346/A346 * Performance!$E$12 + Performance!$E$23 / Constraints!P346 * Constraints!A346</f>
        <v>#VALUE!</v>
      </c>
      <c r="T346">
        <f xml:space="preserve"> 1.667/H346 + Q346/A346 * Performance!$E$12 + Performance!$E$23 / Constraints!Q346 * Constraints!A346</f>
        <v>0.20899692720504098</v>
      </c>
      <c r="U346">
        <f xml:space="preserve"> 1.667/I346 + R346/A346 * Performance!$E$12 + Performance!$E$23 / Constraints!R346 * Constraints!A346</f>
        <v>0.196137351681795</v>
      </c>
    </row>
    <row r="347" spans="1:21" x14ac:dyDescent="0.3">
      <c r="A347" s="51">
        <v>172.5</v>
      </c>
      <c r="B347" s="50">
        <f>$V$4*Performance!$E$12*(1/A347)+Performance!$E$23*(1/Constraints!$V$4)*Constraints!A347</f>
        <v>0.17146840546929468</v>
      </c>
      <c r="C347" s="50">
        <f>$V$5*Performance!$E$12*(1/A347)+Performance!$E$23*(1/Constraints!$V$5)*Constraints!A347</f>
        <v>0.26138880464049175</v>
      </c>
      <c r="D347" s="52">
        <f t="shared" si="22"/>
        <v>0.34251357073853089</v>
      </c>
      <c r="E347" s="52">
        <f>$V$4*Performance!$E$12*(1/A347)+Performance!$E$23*(1/Constraints!$V$9)*Constraints!A347</f>
        <v>0.17068936784011954</v>
      </c>
      <c r="F347" s="52">
        <f xml:space="preserve"> 1.21 / (9.81 * Constraints!$N$7 * Performance!$E$15 * Constraints!$N$5 ) * Constraints!A347 + 0.605 /Performance!$E$15 * (Performance!$E$16  - Constraints!$N$6 * Performance!$E$14) + Constraints!$N$6</f>
        <v>0.34241781276632038</v>
      </c>
      <c r="G347" s="54" t="s">
        <v>198</v>
      </c>
      <c r="H347" s="55">
        <f>SQRT(2/$V$3 * A347 * SQRT(Performance!$E$23 / (3 * Performance!$E$12)))</f>
        <v>16.194771840724606</v>
      </c>
      <c r="I347" s="55">
        <f>SQRT(2/$V$3 * A347 * (SQRT(Performance!$E$23)/(SQRT(3*Performance!$E$12 + 4* Performance!$E$23 * Performance!$E$11^2) - SQRT(Performance!$E$23)*Performance!$E$11)))</f>
        <v>17.035847938996113</v>
      </c>
      <c r="J347" t="e">
        <f xml:space="preserve"> $AC$3/G347 + $AC$6/A347 * Performance!$E$12 + Performance!$E$23/Constraints!$AC$6 * Constraints!A347</f>
        <v>#VALUE!</v>
      </c>
      <c r="K347">
        <f xml:space="preserve"> $AC$3/H347 + $AC$6/A347 * Performance!$E$12 + Performance!$E$23/Constraints!$AC$6 * Constraints!A347</f>
        <v>0.86990889172882491</v>
      </c>
      <c r="L347">
        <f xml:space="preserve"> $AC$3/I347 + $AC$6/A347 * Performance!$E$12 + Performance!$E$23/Constraints!$AC$6 * Constraints!A347</f>
        <v>0.85442213719323779</v>
      </c>
      <c r="M347">
        <f>SIN($AC$9 * PI()/180) + 1/Performance!$AE$5</f>
        <v>0.24073077270730886</v>
      </c>
      <c r="N347">
        <f>SIN($AC$9 * PI()/180) + 1/Performance!$AE$8</f>
        <v>0.22738716112204788</v>
      </c>
      <c r="O347" s="60">
        <f>$AC$16 * (Performance!$E$12/Constraints!A347 + Performance!$E$23 * (Constraints!$AC$13/Constraints!$AC$17)^2 * Constraints!A347)</f>
        <v>2.2045293722139006E-4</v>
      </c>
      <c r="P347" t="e">
        <f t="shared" si="23"/>
        <v>#VALUE!</v>
      </c>
      <c r="Q347">
        <f t="shared" si="24"/>
        <v>68.864070698091723</v>
      </c>
      <c r="R347">
        <f t="shared" si="25"/>
        <v>76.20273050948812</v>
      </c>
      <c r="S347" t="e">
        <f xml:space="preserve"> 1.667/G347 + P347/A347 * Performance!$E$12 + Performance!$E$23 / Constraints!P347 * Constraints!A347</f>
        <v>#VALUE!</v>
      </c>
      <c r="T347">
        <f xml:space="preserve"> 1.667/H347 + Q347/A347 * Performance!$E$12 + Performance!$E$23 / Constraints!Q347 * Constraints!A347</f>
        <v>0.20884742174617732</v>
      </c>
      <c r="U347">
        <f xml:space="preserve"> 1.667/I347 + R347/A347 * Performance!$E$12 + Performance!$E$23 / Constraints!R347 * Constraints!A347</f>
        <v>0.19599522745035608</v>
      </c>
    </row>
    <row r="348" spans="1:21" x14ac:dyDescent="0.3">
      <c r="A348" s="51">
        <v>173</v>
      </c>
      <c r="B348" s="50">
        <f>$V$4*Performance!$E$12*(1/A348)+Performance!$E$23*(1/Constraints!$V$4)*Constraints!A348</f>
        <v>0.17101238877635955</v>
      </c>
      <c r="C348" s="50">
        <f>$V$5*Performance!$E$12*(1/A348)+Performance!$E$23*(1/Constraints!$V$5)*Constraints!A348</f>
        <v>0.26065868469965175</v>
      </c>
      <c r="D348" s="52">
        <f t="shared" si="22"/>
        <v>0.3427858564508165</v>
      </c>
      <c r="E348" s="52">
        <f>$V$4*Performance!$E$12*(1/A348)+Performance!$E$23*(1/Constraints!$V$9)*Constraints!A348</f>
        <v>0.17023109306709983</v>
      </c>
      <c r="F348" s="52">
        <f xml:space="preserve"> 1.21 / (9.81 * Constraints!$N$7 * Performance!$E$15 * Constraints!$N$5 ) * Constraints!A348 + 0.605 /Performance!$E$15 * (Performance!$E$16  - Constraints!$N$6 * Performance!$E$14) + Constraints!$N$6</f>
        <v>0.34268982091926625</v>
      </c>
      <c r="G348" s="54" t="s">
        <v>198</v>
      </c>
      <c r="H348" s="55">
        <f>SQRT(2/$V$3 * A348 * SQRT(Performance!$E$23 / (3 * Performance!$E$12)))</f>
        <v>16.218225541414178</v>
      </c>
      <c r="I348" s="55">
        <f>SQRT(2/$V$3 * A348 * (SQRT(Performance!$E$23)/(SQRT(3*Performance!$E$12 + 4* Performance!$E$23 * Performance!$E$11^2) - SQRT(Performance!$E$23)*Performance!$E$11)))</f>
        <v>17.060519708532841</v>
      </c>
      <c r="J348" t="e">
        <f xml:space="preserve"> $AC$3/G348 + $AC$6/A348 * Performance!$E$12 + Performance!$E$23/Constraints!$AC$6 * Constraints!A348</f>
        <v>#VALUE!</v>
      </c>
      <c r="K348">
        <f xml:space="preserve"> $AC$3/H348 + $AC$6/A348 * Performance!$E$12 + Performance!$E$23/Constraints!$AC$6 * Constraints!A348</f>
        <v>0.87105576907077942</v>
      </c>
      <c r="L348">
        <f xml:space="preserve"> $AC$3/I348 + $AC$6/A348 * Performance!$E$12 + Performance!$E$23/Constraints!$AC$6 * Constraints!A348</f>
        <v>0.85559141043199394</v>
      </c>
      <c r="M348">
        <f>SIN($AC$9 * PI()/180) + 1/Performance!$AE$5</f>
        <v>0.24073077270730886</v>
      </c>
      <c r="N348">
        <f>SIN($AC$9 * PI()/180) + 1/Performance!$AE$8</f>
        <v>0.22738716112204788</v>
      </c>
      <c r="O348" s="60">
        <f>$AC$16 * (Performance!$E$12/Constraints!A348 + Performance!$E$23 * (Constraints!$AC$13/Constraints!$AC$17)^2 * Constraints!A348)</f>
        <v>2.2026730744188422E-4</v>
      </c>
      <c r="P348" t="e">
        <f t="shared" si="23"/>
        <v>#VALUE!</v>
      </c>
      <c r="Q348">
        <f t="shared" si="24"/>
        <v>69.063676700115195</v>
      </c>
      <c r="R348">
        <f t="shared" si="25"/>
        <v>76.423607989225758</v>
      </c>
      <c r="S348" t="e">
        <f xml:space="preserve"> 1.667/G348 + P348/A348 * Performance!$E$12 + Performance!$E$23 / Constraints!P348 * Constraints!A348</f>
        <v>#VALUE!</v>
      </c>
      <c r="T348">
        <f xml:space="preserve"> 1.667/H348 + Q348/A348 * Performance!$E$12 + Performance!$E$23 / Constraints!Q348 * Constraints!A348</f>
        <v>0.20869856490158448</v>
      </c>
      <c r="U348">
        <f xml:space="preserve"> 1.667/I348 + R348/A348 * Performance!$E$12 + Performance!$E$23 / Constraints!R348 * Constraints!A348</f>
        <v>0.19585371981048141</v>
      </c>
    </row>
    <row r="349" spans="1:21" x14ac:dyDescent="0.3">
      <c r="A349" s="51">
        <v>173.5</v>
      </c>
      <c r="B349" s="50">
        <f>$V$4*Performance!$E$12*(1/A349)+Performance!$E$23*(1/Constraints!$V$4)*Constraints!A349</f>
        <v>0.17055911458303472</v>
      </c>
      <c r="C349" s="50">
        <f>$V$5*Performance!$E$12*(1/A349)+Performance!$E$23*(1/Constraints!$V$5)*Constraints!A349</f>
        <v>0.25993284607173361</v>
      </c>
      <c r="D349" s="52">
        <f t="shared" si="22"/>
        <v>0.3430581421631021</v>
      </c>
      <c r="E349" s="52">
        <f>$V$4*Performance!$E$12*(1/A349)+Performance!$E$23*(1/Constraints!$V$9)*Constraints!A349</f>
        <v>0.16977556079369044</v>
      </c>
      <c r="F349" s="52">
        <f xml:space="preserve"> 1.21 / (9.81 * Constraints!$N$7 * Performance!$E$15 * Constraints!$N$5 ) * Constraints!A349 + 0.605 /Performance!$E$15 * (Performance!$E$16  - Constraints!$N$6 * Performance!$E$14) + Constraints!$N$6</f>
        <v>0.34296182907221212</v>
      </c>
      <c r="G349" s="54" t="s">
        <v>198</v>
      </c>
      <c r="H349" s="55">
        <f>SQRT(2/$V$3 * A349 * SQRT(Performance!$E$23 / (3 * Performance!$E$12)))</f>
        <v>16.241645373890904</v>
      </c>
      <c r="I349" s="55">
        <f>SQRT(2/$V$3 * A349 * (SQRT(Performance!$E$23)/(SQRT(3*Performance!$E$12 + 4* Performance!$E$23 * Performance!$E$11^2) - SQRT(Performance!$E$23)*Performance!$E$11)))</f>
        <v>17.085155850909786</v>
      </c>
      <c r="J349" t="e">
        <f xml:space="preserve"> $AC$3/G349 + $AC$6/A349 * Performance!$E$12 + Performance!$E$23/Constraints!$AC$6 * Constraints!A349</f>
        <v>#VALUE!</v>
      </c>
      <c r="K349">
        <f xml:space="preserve"> $AC$3/H349 + $AC$6/A349 * Performance!$E$12 + Performance!$E$23/Constraints!$AC$6 * Constraints!A349</f>
        <v>0.87220464255873187</v>
      </c>
      <c r="L349">
        <f xml:space="preserve"> $AC$3/I349 + $AC$6/A349 * Performance!$E$12 + Performance!$E$23/Constraints!$AC$6 * Constraints!A349</f>
        <v>0.85676258293463015</v>
      </c>
      <c r="M349">
        <f>SIN($AC$9 * PI()/180) + 1/Performance!$AE$5</f>
        <v>0.24073077270730886</v>
      </c>
      <c r="N349">
        <f>SIN($AC$9 * PI()/180) + 1/Performance!$AE$8</f>
        <v>0.22738716112204788</v>
      </c>
      <c r="O349" s="60">
        <f>$AC$16 * (Performance!$E$12/Constraints!A349 + Performance!$E$23 * (Constraints!$AC$13/Constraints!$AC$17)^2 * Constraints!A349)</f>
        <v>2.2008405066071562E-4</v>
      </c>
      <c r="P349" t="e">
        <f t="shared" si="23"/>
        <v>#VALUE!</v>
      </c>
      <c r="Q349">
        <f t="shared" si="24"/>
        <v>69.263282702138667</v>
      </c>
      <c r="R349">
        <f t="shared" si="25"/>
        <v>76.644485468963396</v>
      </c>
      <c r="S349" t="e">
        <f xml:space="preserve"> 1.667/G349 + P349/A349 * Performance!$E$12 + Performance!$E$23 / Constraints!P349 * Constraints!A349</f>
        <v>#VALUE!</v>
      </c>
      <c r="T349">
        <f xml:space="preserve"> 1.667/H349 + Q349/A349 * Performance!$E$12 + Performance!$E$23 / Constraints!Q349 * Constraints!A349</f>
        <v>0.20855035199487409</v>
      </c>
      <c r="U349">
        <f xml:space="preserve"> 1.667/I349 + R349/A349 * Performance!$E$12 + Performance!$E$23 / Constraints!R349 * Constraints!A349</f>
        <v>0.1957128243166604</v>
      </c>
    </row>
    <row r="350" spans="1:21" x14ac:dyDescent="0.3">
      <c r="A350" s="51">
        <v>174</v>
      </c>
      <c r="B350" s="50">
        <f>$V$4*Performance!$E$12*(1/A350)+Performance!$E$23*(1/Constraints!$V$4)*Constraints!A350</f>
        <v>0.17010855924708221</v>
      </c>
      <c r="C350" s="50">
        <f>$V$5*Performance!$E$12*(1/A350)+Performance!$E$23*(1/Constraints!$V$5)*Constraints!A350</f>
        <v>0.25921125184886729</v>
      </c>
      <c r="D350" s="52">
        <f t="shared" si="22"/>
        <v>0.3433304278753877</v>
      </c>
      <c r="E350" s="52">
        <f>$V$4*Performance!$E$12*(1/A350)+Performance!$E$23*(1/Constraints!$V$9)*Constraints!A350</f>
        <v>0.16932274737765338</v>
      </c>
      <c r="F350" s="52">
        <f xml:space="preserve"> 1.21 / (9.81 * Constraints!$N$7 * Performance!$E$15 * Constraints!$N$5 ) * Constraints!A350 + 0.605 /Performance!$E$15 * (Performance!$E$16  - Constraints!$N$6 * Performance!$E$14) + Constraints!$N$6</f>
        <v>0.34323383722515799</v>
      </c>
      <c r="G350" s="54" t="s">
        <v>198</v>
      </c>
      <c r="H350" s="55">
        <f>SQRT(2/$V$3 * A350 * SQRT(Performance!$E$23 / (3 * Performance!$E$12)))</f>
        <v>16.265031484454134</v>
      </c>
      <c r="I350" s="55">
        <f>SQRT(2/$V$3 * A350 * (SQRT(Performance!$E$23)/(SQRT(3*Performance!$E$12 + 4* Performance!$E$23 * Performance!$E$11^2) - SQRT(Performance!$E$23)*Performance!$E$11)))</f>
        <v>17.109756520024366</v>
      </c>
      <c r="J350" t="e">
        <f xml:space="preserve"> $AC$3/G350 + $AC$6/A350 * Performance!$E$12 + Performance!$E$23/Constraints!$AC$6 * Constraints!A350</f>
        <v>#VALUE!</v>
      </c>
      <c r="K350">
        <f xml:space="preserve"> $AC$3/H350 + $AC$6/A350 * Performance!$E$12 + Performance!$E$23/Constraints!$AC$6 * Constraints!A350</f>
        <v>0.87335549779381572</v>
      </c>
      <c r="L350">
        <f xml:space="preserve"> $AC$3/I350 + $AC$6/A350 * Performance!$E$12 + Performance!$E$23/Constraints!$AC$6 * Constraints!A350</f>
        <v>0.85793564099877317</v>
      </c>
      <c r="M350">
        <f>SIN($AC$9 * PI()/180) + 1/Performance!$AE$5</f>
        <v>0.24073077270730886</v>
      </c>
      <c r="N350">
        <f>SIN($AC$9 * PI()/180) + 1/Performance!$AE$8</f>
        <v>0.22738716112204788</v>
      </c>
      <c r="O350" s="60">
        <f>$AC$16 * (Performance!$E$12/Constraints!A350 + Performance!$E$23 * (Constraints!$AC$13/Constraints!$AC$17)^2 * Constraints!A350)</f>
        <v>2.19903146421002E-4</v>
      </c>
      <c r="P350" t="e">
        <f t="shared" si="23"/>
        <v>#VALUE!</v>
      </c>
      <c r="Q350">
        <f t="shared" si="24"/>
        <v>69.462888704162083</v>
      </c>
      <c r="R350">
        <f t="shared" si="25"/>
        <v>76.865362948701048</v>
      </c>
      <c r="S350" t="e">
        <f xml:space="preserve"> 1.667/G350 + P350/A350 * Performance!$E$12 + Performance!$E$23 / Constraints!P350 * Constraints!A350</f>
        <v>#VALUE!</v>
      </c>
      <c r="T350">
        <f xml:space="preserve"> 1.667/H350 + Q350/A350 * Performance!$E$12 + Performance!$E$23 / Constraints!Q350 * Constraints!A350</f>
        <v>0.2084027783967245</v>
      </c>
      <c r="U350">
        <f xml:space="preserve"> 1.667/I350 + R350/A350 * Performance!$E$12 + Performance!$E$23 / Constraints!R350 * Constraints!A350</f>
        <v>0.19557253656812526</v>
      </c>
    </row>
    <row r="351" spans="1:21" x14ac:dyDescent="0.3">
      <c r="A351" s="51">
        <v>174.5</v>
      </c>
      <c r="B351" s="50">
        <f>$V$4*Performance!$E$12*(1/A351)+Performance!$E$23*(1/Constraints!$V$4)*Constraints!A351</f>
        <v>0.16966069939723522</v>
      </c>
      <c r="C351" s="50">
        <f>$V$5*Performance!$E$12*(1/A351)+Performance!$E$23*(1/Constraints!$V$5)*Constraints!A351</f>
        <v>0.25849386554619558</v>
      </c>
      <c r="D351" s="52">
        <f t="shared" si="22"/>
        <v>0.3436027135876733</v>
      </c>
      <c r="E351" s="52">
        <f>$V$4*Performance!$E$12*(1/A351)+Performance!$E$23*(1/Constraints!$V$9)*Constraints!A351</f>
        <v>0.1688726294477218</v>
      </c>
      <c r="F351" s="52">
        <f xml:space="preserve"> 1.21 / (9.81 * Constraints!$N$7 * Performance!$E$15 * Constraints!$N$5 ) * Constraints!A351 + 0.605 /Performance!$E$15 * (Performance!$E$16  - Constraints!$N$6 * Performance!$E$14) + Constraints!$N$6</f>
        <v>0.3435058453781038</v>
      </c>
      <c r="G351" s="54" t="s">
        <v>198</v>
      </c>
      <c r="H351" s="55">
        <f>SQRT(2/$V$3 * A351 * SQRT(Performance!$E$23 / (3 * Performance!$E$12)))</f>
        <v>16.288384018352978</v>
      </c>
      <c r="I351" s="55">
        <f>SQRT(2/$V$3 * A351 * (SQRT(Performance!$E$23)/(SQRT(3*Performance!$E$12 + 4* Performance!$E$23 * Performance!$E$11^2) - SQRT(Performance!$E$23)*Performance!$E$11)))</f>
        <v>17.134321868669204</v>
      </c>
      <c r="J351" t="e">
        <f xml:space="preserve"> $AC$3/G351 + $AC$6/A351 * Performance!$E$12 + Performance!$E$23/Constraints!$AC$6 * Constraints!A351</f>
        <v>#VALUE!</v>
      </c>
      <c r="K351">
        <f xml:space="preserve"> $AC$3/H351 + $AC$6/A351 * Performance!$E$12 + Performance!$E$23/Constraints!$AC$6 * Constraints!A351</f>
        <v>0.87450832052208438</v>
      </c>
      <c r="L351">
        <f xml:space="preserve"> $AC$3/I351 + $AC$6/A351 * Performance!$E$12 + Performance!$E$23/Constraints!$AC$6 * Constraints!A351</f>
        <v>0.85911057105998023</v>
      </c>
      <c r="M351">
        <f>SIN($AC$9 * PI()/180) + 1/Performance!$AE$5</f>
        <v>0.24073077270730886</v>
      </c>
      <c r="N351">
        <f>SIN($AC$9 * PI()/180) + 1/Performance!$AE$8</f>
        <v>0.22738716112204788</v>
      </c>
      <c r="O351" s="60">
        <f>$AC$16 * (Performance!$E$12/Constraints!A351 + Performance!$E$23 * (Constraints!$AC$13/Constraints!$AC$17)^2 * Constraints!A351)</f>
        <v>2.1972457450032397E-4</v>
      </c>
      <c r="P351" t="e">
        <f t="shared" si="23"/>
        <v>#VALUE!</v>
      </c>
      <c r="Q351">
        <f t="shared" si="24"/>
        <v>69.662494706185527</v>
      </c>
      <c r="R351">
        <f t="shared" si="25"/>
        <v>77.086240428438686</v>
      </c>
      <c r="S351" t="e">
        <f xml:space="preserve"> 1.667/G351 + P351/A351 * Performance!$E$12 + Performance!$E$23 / Constraints!P351 * Constraints!A351</f>
        <v>#VALUE!</v>
      </c>
      <c r="T351">
        <f xml:space="preserve"> 1.667/H351 + Q351/A351 * Performance!$E$12 + Performance!$E$23 / Constraints!Q351 * Constraints!A351</f>
        <v>0.20825583952427298</v>
      </c>
      <c r="U351">
        <f xml:space="preserve"> 1.667/I351 + R351/A351 * Performance!$E$12 + Performance!$E$23 / Constraints!R351 * Constraints!A351</f>
        <v>0.19543285220827378</v>
      </c>
    </row>
    <row r="352" spans="1:21" x14ac:dyDescent="0.3">
      <c r="A352" s="51">
        <v>175</v>
      </c>
      <c r="B352" s="50">
        <f>$V$4*Performance!$E$12*(1/A352)+Performance!$E$23*(1/Constraints!$V$4)*Constraints!A352</f>
        <v>0.16921551192932704</v>
      </c>
      <c r="C352" s="50">
        <f>$V$5*Performance!$E$12*(1/A352)+Performance!$E$23*(1/Constraints!$V$5)*Constraints!A352</f>
        <v>0.25778065109583115</v>
      </c>
      <c r="D352" s="52">
        <f t="shared" si="22"/>
        <v>0.34387499929995891</v>
      </c>
      <c r="E352" s="52">
        <f>$V$4*Performance!$E$12*(1/A352)+Performance!$E$23*(1/Constraints!$V$9)*Constraints!A352</f>
        <v>0.16842518389972908</v>
      </c>
      <c r="F352" s="52">
        <f xml:space="preserve"> 1.21 / (9.81 * Constraints!$N$7 * Performance!$E$15 * Constraints!$N$5 ) * Constraints!A352 + 0.605 /Performance!$E$15 * (Performance!$E$16  - Constraints!$N$6 * Performance!$E$14) + Constraints!$N$6</f>
        <v>0.34377785353104967</v>
      </c>
      <c r="G352" s="54" t="s">
        <v>198</v>
      </c>
      <c r="H352" s="55">
        <f>SQRT(2/$V$3 * A352 * SQRT(Performance!$E$23 / (3 * Performance!$E$12)))</f>
        <v>16.311703119796821</v>
      </c>
      <c r="I352" s="55">
        <f>SQRT(2/$V$3 * A352 * (SQRT(Performance!$E$23)/(SQRT(3*Performance!$E$12 + 4* Performance!$E$23 * Performance!$E$11^2) - SQRT(Performance!$E$23)*Performance!$E$11)))</f>
        <v>17.158852048543199</v>
      </c>
      <c r="J352" t="e">
        <f xml:space="preserve"> $AC$3/G352 + $AC$6/A352 * Performance!$E$12 + Performance!$E$23/Constraints!$AC$6 * Constraints!A352</f>
        <v>#VALUE!</v>
      </c>
      <c r="K352">
        <f xml:space="preserve"> $AC$3/H352 + $AC$6/A352 * Performance!$E$12 + Performance!$E$23/Constraints!$AC$6 * Constraints!A352</f>
        <v>0.87566309663264252</v>
      </c>
      <c r="L352">
        <f xml:space="preserve"> $AC$3/I352 + $AC$6/A352 * Performance!$E$12 + Performance!$E$23/Constraints!$AC$6 * Constraints!A352</f>
        <v>0.8602873596899594</v>
      </c>
      <c r="M352">
        <f>SIN($AC$9 * PI()/180) + 1/Performance!$AE$5</f>
        <v>0.24073077270730886</v>
      </c>
      <c r="N352">
        <f>SIN($AC$9 * PI()/180) + 1/Performance!$AE$8</f>
        <v>0.22738716112204788</v>
      </c>
      <c r="O352" s="60">
        <f>$AC$16 * (Performance!$E$12/Constraints!A352 + Performance!$E$23 * (Constraints!$AC$13/Constraints!$AC$17)^2 * Constraints!A352)</f>
        <v>2.1954831490737553E-4</v>
      </c>
      <c r="P352" t="e">
        <f t="shared" si="23"/>
        <v>#VALUE!</v>
      </c>
      <c r="Q352">
        <f t="shared" si="24"/>
        <v>69.862100708208999</v>
      </c>
      <c r="R352">
        <f t="shared" si="25"/>
        <v>77.307117908176338</v>
      </c>
      <c r="S352" t="e">
        <f xml:space="preserve"> 1.667/G352 + P352/A352 * Performance!$E$12 + Performance!$E$23 / Constraints!P352 * Constraints!A352</f>
        <v>#VALUE!</v>
      </c>
      <c r="T352">
        <f xml:space="preserve"> 1.667/H352 + Q352/A352 * Performance!$E$12 + Performance!$E$23 / Constraints!Q352 * Constraints!A352</f>
        <v>0.20810953084051839</v>
      </c>
      <c r="U352">
        <f xml:space="preserve"> 1.667/I352 + R352/A352 * Performance!$E$12 + Performance!$E$23 / Constraints!R352 * Constraints!A352</f>
        <v>0.19529376692410089</v>
      </c>
    </row>
    <row r="353" spans="1:21" x14ac:dyDescent="0.3">
      <c r="A353" s="51">
        <v>175.5</v>
      </c>
      <c r="B353" s="50">
        <f>$V$4*Performance!$E$12*(1/A353)+Performance!$E$23*(1/Constraints!$V$4)*Constraints!A353</f>
        <v>0.1687729740024865</v>
      </c>
      <c r="C353" s="50">
        <f>$V$5*Performance!$E$12*(1/A353)+Performance!$E$23*(1/Constraints!$V$5)*Constraints!A353</f>
        <v>0.25707157284091664</v>
      </c>
      <c r="D353" s="52">
        <f t="shared" si="22"/>
        <v>0.34414728501224451</v>
      </c>
      <c r="E353" s="52">
        <f>$V$4*Performance!$E$12*(1/A353)+Performance!$E$23*(1/Constraints!$V$9)*Constraints!A353</f>
        <v>0.16798038789280398</v>
      </c>
      <c r="F353" s="52">
        <f xml:space="preserve"> 1.21 / (9.81 * Constraints!$N$7 * Performance!$E$15 * Constraints!$N$5 ) * Constraints!A353 + 0.605 /Performance!$E$15 * (Performance!$E$16  - Constraints!$N$6 * Performance!$E$14) + Constraints!$N$6</f>
        <v>0.34404986168399554</v>
      </c>
      <c r="G353" s="54" t="s">
        <v>198</v>
      </c>
      <c r="H353" s="55">
        <f>SQRT(2/$V$3 * A353 * SQRT(Performance!$E$23 / (3 * Performance!$E$12)))</f>
        <v>16.334988931965697</v>
      </c>
      <c r="I353" s="55">
        <f>SQRT(2/$V$3 * A353 * (SQRT(Performance!$E$23)/(SQRT(3*Performance!$E$12 + 4* Performance!$E$23 * Performance!$E$11^2) - SQRT(Performance!$E$23)*Performance!$E$11)))</f>
        <v>17.183347210262458</v>
      </c>
      <c r="J353" t="e">
        <f xml:space="preserve"> $AC$3/G353 + $AC$6/A353 * Performance!$E$12 + Performance!$E$23/Constraints!$AC$6 * Constraints!A353</f>
        <v>#VALUE!</v>
      </c>
      <c r="K353">
        <f xml:space="preserve"> $AC$3/H353 + $AC$6/A353 * Performance!$E$12 + Performance!$E$23/Constraints!$AC$6 * Constraints!A353</f>
        <v>0.87681981215580662</v>
      </c>
      <c r="L353">
        <f xml:space="preserve"> $AC$3/I353 + $AC$6/A353 * Performance!$E$12 + Performance!$E$23/Constraints!$AC$6 * Constraints!A353</f>
        <v>0.86146599359481901</v>
      </c>
      <c r="M353">
        <f>SIN($AC$9 * PI()/180) + 1/Performance!$AE$5</f>
        <v>0.24073077270730886</v>
      </c>
      <c r="N353">
        <f>SIN($AC$9 * PI()/180) + 1/Performance!$AE$8</f>
        <v>0.22738716112204788</v>
      </c>
      <c r="O353" s="60">
        <f>$AC$16 * (Performance!$E$12/Constraints!A353 + Performance!$E$23 * (Constraints!$AC$13/Constraints!$AC$17)^2 * Constraints!A353)</f>
        <v>2.1937434787867182E-4</v>
      </c>
      <c r="P353" t="e">
        <f t="shared" si="23"/>
        <v>#VALUE!</v>
      </c>
      <c r="Q353">
        <f t="shared" si="24"/>
        <v>70.061706710232428</v>
      </c>
      <c r="R353">
        <f t="shared" si="25"/>
        <v>77.527995387914004</v>
      </c>
      <c r="S353" t="e">
        <f xml:space="preserve"> 1.667/G353 + P353/A353 * Performance!$E$12 + Performance!$E$23 / Constraints!P353 * Constraints!A353</f>
        <v>#VALUE!</v>
      </c>
      <c r="T353">
        <f xml:space="preserve"> 1.667/H353 + Q353/A353 * Performance!$E$12 + Performance!$E$23 / Constraints!Q353 * Constraints!A353</f>
        <v>0.20796384785373281</v>
      </c>
      <c r="U353">
        <f xml:space="preserve"> 1.667/I353 + R353/A353 * Performance!$E$12 + Performance!$E$23 / Constraints!R353 * Constraints!A353</f>
        <v>0.19515527644563938</v>
      </c>
    </row>
    <row r="354" spans="1:21" x14ac:dyDescent="0.3">
      <c r="A354" s="51">
        <v>176</v>
      </c>
      <c r="B354" s="50">
        <f>$V$4*Performance!$E$12*(1/A354)+Performance!$E$23*(1/Constraints!$V$4)*Constraints!A354</f>
        <v>0.16833306303539761</v>
      </c>
      <c r="C354" s="50">
        <f>$V$5*Performance!$E$12*(1/A354)+Performance!$E$23*(1/Constraints!$V$5)*Constraints!A354</f>
        <v>0.25636659552978636</v>
      </c>
      <c r="D354" s="52">
        <f t="shared" si="22"/>
        <v>0.34441957072453011</v>
      </c>
      <c r="E354" s="52">
        <f>$V$4*Performance!$E$12*(1/A354)+Performance!$E$23*(1/Constraints!$V$9)*Constraints!A354</f>
        <v>0.16753821884563053</v>
      </c>
      <c r="F354" s="52">
        <f xml:space="preserve"> 1.21 / (9.81 * Constraints!$N$7 * Performance!$E$15 * Constraints!$N$5 ) * Constraints!A354 + 0.605 /Performance!$E$15 * (Performance!$E$16  - Constraints!$N$6 * Performance!$E$14) + Constraints!$N$6</f>
        <v>0.34432186983694141</v>
      </c>
      <c r="G354" s="54" t="s">
        <v>198</v>
      </c>
      <c r="H354" s="55">
        <f>SQRT(2/$V$3 * A354 * SQRT(Performance!$E$23 / (3 * Performance!$E$12)))</f>
        <v>16.35824159702058</v>
      </c>
      <c r="I354" s="55">
        <f>SQRT(2/$V$3 * A354 * (SQRT(Performance!$E$23)/(SQRT(3*Performance!$E$12 + 4* Performance!$E$23 * Performance!$E$11^2) - SQRT(Performance!$E$23)*Performance!$E$11)))</f>
        <v>17.207807503371079</v>
      </c>
      <c r="J354" t="e">
        <f xml:space="preserve"> $AC$3/G354 + $AC$6/A354 * Performance!$E$12 + Performance!$E$23/Constraints!$AC$6 * Constraints!A354</f>
        <v>#VALUE!</v>
      </c>
      <c r="K354">
        <f xml:space="preserve"> $AC$3/H354 + $AC$6/A354 * Performance!$E$12 + Performance!$E$23/Constraints!$AC$6 * Constraints!A354</f>
        <v>0.87797845326129242</v>
      </c>
      <c r="L354">
        <f xml:space="preserve"> $AC$3/I354 + $AC$6/A354 * Performance!$E$12 + Performance!$E$23/Constraints!$AC$6 * Constraints!A354</f>
        <v>0.86264645961334308</v>
      </c>
      <c r="M354">
        <f>SIN($AC$9 * PI()/180) + 1/Performance!$AE$5</f>
        <v>0.24073077270730886</v>
      </c>
      <c r="N354">
        <f>SIN($AC$9 * PI()/180) + 1/Performance!$AE$8</f>
        <v>0.22738716112204788</v>
      </c>
      <c r="O354" s="60">
        <f>$AC$16 * (Performance!$E$12/Constraints!A354 + Performance!$E$23 * (Constraints!$AC$13/Constraints!$AC$17)^2 * Constraints!A354)</f>
        <v>2.1920265387531305E-4</v>
      </c>
      <c r="P354" t="e">
        <f t="shared" si="23"/>
        <v>#VALUE!</v>
      </c>
      <c r="Q354">
        <f t="shared" si="24"/>
        <v>70.261312712255901</v>
      </c>
      <c r="R354">
        <f t="shared" si="25"/>
        <v>77.748872867651656</v>
      </c>
      <c r="S354" t="e">
        <f xml:space="preserve"> 1.667/G354 + P354/A354 * Performance!$E$12 + Performance!$E$23 / Constraints!P354 * Constraints!A354</f>
        <v>#VALUE!</v>
      </c>
      <c r="T354">
        <f xml:space="preserve"> 1.667/H354 + Q354/A354 * Performance!$E$12 + Performance!$E$23 / Constraints!Q354 * Constraints!A354</f>
        <v>0.20781878611688193</v>
      </c>
      <c r="U354">
        <f xml:space="preserve"> 1.667/I354 + R354/A354 * Performance!$E$12 + Performance!$E$23 / Constraints!R354 * Constraints!A354</f>
        <v>0.19501737654540946</v>
      </c>
    </row>
    <row r="355" spans="1:21" x14ac:dyDescent="0.3">
      <c r="A355" s="51">
        <v>176.5</v>
      </c>
      <c r="B355" s="50">
        <f>$V$4*Performance!$E$12*(1/A355)+Performance!$E$23*(1/Constraints!$V$4)*Constraints!A355</f>
        <v>0.16789575670262347</v>
      </c>
      <c r="C355" s="50">
        <f>$V$5*Performance!$E$12*(1/A355)+Performance!$E$23*(1/Constraints!$V$5)*Constraints!A355</f>
        <v>0.25566568431022674</v>
      </c>
      <c r="D355" s="52">
        <f t="shared" si="22"/>
        <v>0.34469185643681571</v>
      </c>
      <c r="E355" s="52">
        <f>$V$4*Performance!$E$12*(1/A355)+Performance!$E$23*(1/Constraints!$V$9)*Constraints!A355</f>
        <v>0.1670986544327718</v>
      </c>
      <c r="F355" s="52">
        <f xml:space="preserve"> 1.21 / (9.81 * Constraints!$N$7 * Performance!$E$15 * Constraints!$N$5 ) * Constraints!A355 + 0.605 /Performance!$E$15 * (Performance!$E$16  - Constraints!$N$6 * Performance!$E$14) + Constraints!$N$6</f>
        <v>0.34459387798988728</v>
      </c>
      <c r="G355" s="54" t="s">
        <v>198</v>
      </c>
      <c r="H355" s="55">
        <f>SQRT(2/$V$3 * A355 * SQRT(Performance!$E$23 / (3 * Performance!$E$12)))</f>
        <v>16.381461256113479</v>
      </c>
      <c r="I355" s="55">
        <f>SQRT(2/$V$3 * A355 * (SQRT(Performance!$E$23)/(SQRT(3*Performance!$E$12 + 4* Performance!$E$23 * Performance!$E$11^2) - SQRT(Performance!$E$23)*Performance!$E$11)))</f>
        <v>17.232233076351811</v>
      </c>
      <c r="J355" t="e">
        <f xml:space="preserve"> $AC$3/G355 + $AC$6/A355 * Performance!$E$12 + Performance!$E$23/Constraints!$AC$6 * Constraints!A355</f>
        <v>#VALUE!</v>
      </c>
      <c r="K355">
        <f xml:space="preserve"> $AC$3/H355 + $AC$6/A355 * Performance!$E$12 + Performance!$E$23/Constraints!$AC$6 * Constraints!A355</f>
        <v>0.87913900625643371</v>
      </c>
      <c r="L355">
        <f xml:space="preserve"> $AC$3/I355 + $AC$6/A355 * Performance!$E$12 + Performance!$E$23/Constraints!$AC$6 * Constraints!A355</f>
        <v>0.86382874471529436</v>
      </c>
      <c r="M355">
        <f>SIN($AC$9 * PI()/180) + 1/Performance!$AE$5</f>
        <v>0.24073077270730886</v>
      </c>
      <c r="N355">
        <f>SIN($AC$9 * PI()/180) + 1/Performance!$AE$8</f>
        <v>0.22738716112204788</v>
      </c>
      <c r="O355" s="60">
        <f>$AC$16 * (Performance!$E$12/Constraints!A355 + Performance!$E$23 * (Constraints!$AC$13/Constraints!$AC$17)^2 * Constraints!A355)</f>
        <v>2.190332135798033E-4</v>
      </c>
      <c r="P355" t="e">
        <f t="shared" si="23"/>
        <v>#VALUE!</v>
      </c>
      <c r="Q355">
        <f t="shared" si="24"/>
        <v>70.460918714279373</v>
      </c>
      <c r="R355">
        <f t="shared" si="25"/>
        <v>77.969750347389279</v>
      </c>
      <c r="S355" t="e">
        <f xml:space="preserve"> 1.667/G355 + P355/A355 * Performance!$E$12 + Performance!$E$23 / Constraints!P355 * Constraints!A355</f>
        <v>#VALUE!</v>
      </c>
      <c r="T355">
        <f xml:space="preserve"> 1.667/H355 + Q355/A355 * Performance!$E$12 + Performance!$E$23 / Constraints!Q355 * Constraints!A355</f>
        <v>0.2076743412270553</v>
      </c>
      <c r="U355">
        <f xml:space="preserve"> 1.667/I355 + R355/A355 * Performance!$E$12 + Performance!$E$23 / Constraints!R355 * Constraints!A355</f>
        <v>0.19488006303787664</v>
      </c>
    </row>
    <row r="356" spans="1:21" x14ac:dyDescent="0.3">
      <c r="A356" s="51">
        <v>177</v>
      </c>
      <c r="B356" s="50">
        <f>$V$4*Performance!$E$12*(1/A356)+Performance!$E$23*(1/Constraints!$V$4)*Constraints!A356</f>
        <v>0.16746103293099179</v>
      </c>
      <c r="C356" s="50">
        <f>$V$5*Performance!$E$12*(1/A356)+Performance!$E$23*(1/Constraints!$V$5)*Constraints!A356</f>
        <v>0.25496880472383471</v>
      </c>
      <c r="D356" s="52">
        <f t="shared" si="22"/>
        <v>0.34496414214910126</v>
      </c>
      <c r="E356" s="52">
        <f>$V$4*Performance!$E$12*(1/A356)+Performance!$E$23*(1/Constraints!$V$9)*Constraints!A356</f>
        <v>0.16666167258105558</v>
      </c>
      <c r="F356" s="52">
        <f xml:space="preserve"> 1.21 / (9.81 * Constraints!$N$7 * Performance!$E$15 * Constraints!$N$5 ) * Constraints!A356 + 0.605 /Performance!$E$15 * (Performance!$E$16  - Constraints!$N$6 * Performance!$E$14) + Constraints!$N$6</f>
        <v>0.34486588614283309</v>
      </c>
      <c r="G356" s="54" t="s">
        <v>198</v>
      </c>
      <c r="H356" s="55">
        <f>SQRT(2/$V$3 * A356 * SQRT(Performance!$E$23 / (3 * Performance!$E$12)))</f>
        <v>16.404648049397448</v>
      </c>
      <c r="I356" s="55">
        <f>SQRT(2/$V$3 * A356 * (SQRT(Performance!$E$23)/(SQRT(3*Performance!$E$12 + 4* Performance!$E$23 * Performance!$E$11^2) - SQRT(Performance!$E$23)*Performance!$E$11)))</f>
        <v>17.256624076636566</v>
      </c>
      <c r="J356" t="e">
        <f xml:space="preserve"> $AC$3/G356 + $AC$6/A356 * Performance!$E$12 + Performance!$E$23/Constraints!$AC$6 * Constraints!A356</f>
        <v>#VALUE!</v>
      </c>
      <c r="K356">
        <f xml:space="preserve"> $AC$3/H356 + $AC$6/A356 * Performance!$E$12 + Performance!$E$23/Constraints!$AC$6 * Constraints!A356</f>
        <v>0.88030145758442591</v>
      </c>
      <c r="L356">
        <f xml:space="preserve"> $AC$3/I356 + $AC$6/A356 * Performance!$E$12 + Performance!$E$23/Constraints!$AC$6 * Constraints!A356</f>
        <v>0.86501283599974332</v>
      </c>
      <c r="M356">
        <f>SIN($AC$9 * PI()/180) + 1/Performance!$AE$5</f>
        <v>0.24073077270730886</v>
      </c>
      <c r="N356">
        <f>SIN($AC$9 * PI()/180) + 1/Performance!$AE$8</f>
        <v>0.22738716112204788</v>
      </c>
      <c r="O356" s="60">
        <f>$AC$16 * (Performance!$E$12/Constraints!A356 + Performance!$E$23 * (Constraints!$AC$13/Constraints!$AC$17)^2 * Constraints!A356)</f>
        <v>2.1886600789292355E-4</v>
      </c>
      <c r="P356" t="e">
        <f t="shared" si="23"/>
        <v>#VALUE!</v>
      </c>
      <c r="Q356">
        <f t="shared" si="24"/>
        <v>70.660524716302803</v>
      </c>
      <c r="R356">
        <f t="shared" si="25"/>
        <v>78.190627827126931</v>
      </c>
      <c r="S356" t="e">
        <f xml:space="preserve"> 1.667/G356 + P356/A356 * Performance!$E$12 + Performance!$E$23 / Constraints!P356 * Constraints!A356</f>
        <v>#VALUE!</v>
      </c>
      <c r="T356">
        <f xml:space="preserve"> 1.667/H356 + Q356/A356 * Performance!$E$12 + Performance!$E$23 / Constraints!Q356 * Constraints!A356</f>
        <v>0.20753050882490501</v>
      </c>
      <c r="U356">
        <f xml:space="preserve"> 1.667/I356 + R356/A356 * Performance!$E$12 + Performance!$E$23 / Constraints!R356 * Constraints!A356</f>
        <v>0.19474333177891795</v>
      </c>
    </row>
    <row r="357" spans="1:21" x14ac:dyDescent="0.3">
      <c r="A357" s="51">
        <v>177.5</v>
      </c>
      <c r="B357" s="50">
        <f>$V$4*Performance!$E$12*(1/A357)+Performance!$E$23*(1/Constraints!$V$4)*Constraints!A357</f>
        <v>0.16702886989604235</v>
      </c>
      <c r="C357" s="50">
        <f>$V$5*Performance!$E$12*(1/A357)+Performance!$E$23*(1/Constraints!$V$5)*Constraints!A357</f>
        <v>0.25427592270047078</v>
      </c>
      <c r="D357" s="52">
        <f t="shared" si="22"/>
        <v>0.34523642786138686</v>
      </c>
      <c r="E357" s="52">
        <f>$V$4*Performance!$E$12*(1/A357)+Performance!$E$23*(1/Constraints!$V$9)*Constraints!A357</f>
        <v>0.16622725146602157</v>
      </c>
      <c r="F357" s="52">
        <f xml:space="preserve"> 1.21 / (9.81 * Constraints!$N$7 * Performance!$E$15 * Constraints!$N$5 ) * Constraints!A357 + 0.605 /Performance!$E$15 * (Performance!$E$16  - Constraints!$N$6 * Performance!$E$14) + Constraints!$N$6</f>
        <v>0.34513789429577896</v>
      </c>
      <c r="G357" s="54" t="s">
        <v>198</v>
      </c>
      <c r="H357" s="55">
        <f>SQRT(2/$V$3 * A357 * SQRT(Performance!$E$23 / (3 * Performance!$E$12)))</f>
        <v>16.42780211603646</v>
      </c>
      <c r="I357" s="55">
        <f>SQRT(2/$V$3 * A357 * (SQRT(Performance!$E$23)/(SQRT(3*Performance!$E$12 + 4* Performance!$E$23 * Performance!$E$11^2) - SQRT(Performance!$E$23)*Performance!$E$11)))</f>
        <v>17.280980650616801</v>
      </c>
      <c r="J357" t="e">
        <f xml:space="preserve"> $AC$3/G357 + $AC$6/A357 * Performance!$E$12 + Performance!$E$23/Constraints!$AC$6 * Constraints!A357</f>
        <v>#VALUE!</v>
      </c>
      <c r="K357">
        <f xml:space="preserve"> $AC$3/H357 + $AC$6/A357 * Performance!$E$12 + Performance!$E$23/Constraints!$AC$6 * Constraints!A357</f>
        <v>0.88146579382259937</v>
      </c>
      <c r="L357">
        <f xml:space="preserve"> $AC$3/I357 + $AC$6/A357 * Performance!$E$12 + Performance!$E$23/Constraints!$AC$6 * Constraints!A357</f>
        <v>0.86619872069342452</v>
      </c>
      <c r="M357">
        <f>SIN($AC$9 * PI()/180) + 1/Performance!$AE$5</f>
        <v>0.24073077270730886</v>
      </c>
      <c r="N357">
        <f>SIN($AC$9 * PI()/180) + 1/Performance!$AE$8</f>
        <v>0.22738716112204788</v>
      </c>
      <c r="O357" s="60">
        <f>$AC$16 * (Performance!$E$12/Constraints!A357 + Performance!$E$23 * (Constraints!$AC$13/Constraints!$AC$17)^2 * Constraints!A357)</f>
        <v>2.1870101793065728E-4</v>
      </c>
      <c r="P357" t="e">
        <f t="shared" si="23"/>
        <v>#VALUE!</v>
      </c>
      <c r="Q357">
        <f t="shared" si="24"/>
        <v>70.860130718326261</v>
      </c>
      <c r="R357">
        <f t="shared" si="25"/>
        <v>78.411505306864598</v>
      </c>
      <c r="S357" t="e">
        <f xml:space="preserve"> 1.667/G357 + P357/A357 * Performance!$E$12 + Performance!$E$23 / Constraints!P357 * Constraints!A357</f>
        <v>#VALUE!</v>
      </c>
      <c r="T357">
        <f xml:space="preserve"> 1.667/H357 + Q357/A357 * Performance!$E$12 + Performance!$E$23 / Constraints!Q357 * Constraints!A357</f>
        <v>0.20738728459409278</v>
      </c>
      <c r="U357">
        <f xml:space="preserve"> 1.667/I357 + R357/A357 * Performance!$E$12 + Performance!$E$23 / Constraints!R357 * Constraints!A357</f>
        <v>0.19460717866529698</v>
      </c>
    </row>
    <row r="358" spans="1:21" x14ac:dyDescent="0.3">
      <c r="A358" s="51">
        <v>178</v>
      </c>
      <c r="B358" s="50">
        <f>$V$4*Performance!$E$12*(1/A358)+Performance!$E$23*(1/Constraints!$V$4)*Constraints!A358</f>
        <v>0.16659924601853338</v>
      </c>
      <c r="C358" s="50">
        <f>$V$5*Performance!$E$12*(1/A358)+Performance!$E$23*(1/Constraints!$V$5)*Constraints!A358</f>
        <v>0.25358700455280603</v>
      </c>
      <c r="D358" s="52">
        <f t="shared" si="22"/>
        <v>0.34550871357367247</v>
      </c>
      <c r="E358" s="52">
        <f>$V$4*Performance!$E$12*(1/A358)+Performance!$E$23*(1/Constraints!$V$9)*Constraints!A358</f>
        <v>0.16579536950842799</v>
      </c>
      <c r="F358" s="52">
        <f xml:space="preserve"> 1.21 / (9.81 * Constraints!$N$7 * Performance!$E$15 * Constraints!$N$5 ) * Constraints!A358 + 0.605 /Performance!$E$15 * (Performance!$E$16  - Constraints!$N$6 * Performance!$E$14) + Constraints!$N$6</f>
        <v>0.34540990244872483</v>
      </c>
      <c r="G358" s="54" t="s">
        <v>198</v>
      </c>
      <c r="H358" s="55">
        <f>SQRT(2/$V$3 * A358 * SQRT(Performance!$E$23 / (3 * Performance!$E$12)))</f>
        <v>16.450923594215148</v>
      </c>
      <c r="I358" s="55">
        <f>SQRT(2/$V$3 * A358 * (SQRT(Performance!$E$23)/(SQRT(3*Performance!$E$12 + 4* Performance!$E$23 * Performance!$E$11^2) - SQRT(Performance!$E$23)*Performance!$E$11)))</f>
        <v>17.305302943653764</v>
      </c>
      <c r="J358" t="e">
        <f xml:space="preserve"> $AC$3/G358 + $AC$6/A358 * Performance!$E$12 + Performance!$E$23/Constraints!$AC$6 * Constraints!A358</f>
        <v>#VALUE!</v>
      </c>
      <c r="K358">
        <f xml:space="preserve"> $AC$3/H358 + $AC$6/A358 * Performance!$E$12 + Performance!$E$23/Constraints!$AC$6 * Constraints!A358</f>
        <v>0.88263200168071743</v>
      </c>
      <c r="L358">
        <f xml:space="preserve"> $AC$3/I358 + $AC$6/A358 * Performance!$E$12 + Performance!$E$23/Constraints!$AC$6 * Constraints!A358</f>
        <v>0.86738638614911689</v>
      </c>
      <c r="M358">
        <f>SIN($AC$9 * PI()/180) + 1/Performance!$AE$5</f>
        <v>0.24073077270730886</v>
      </c>
      <c r="N358">
        <f>SIN($AC$9 * PI()/180) + 1/Performance!$AE$8</f>
        <v>0.22738716112204788</v>
      </c>
      <c r="O358" s="60">
        <f>$AC$16 * (Performance!$E$12/Constraints!A358 + Performance!$E$23 * (Constraints!$AC$13/Constraints!$AC$17)^2 * Constraints!A358)</f>
        <v>2.1853822502116769E-4</v>
      </c>
      <c r="P358" t="e">
        <f t="shared" si="23"/>
        <v>#VALUE!</v>
      </c>
      <c r="Q358">
        <f t="shared" si="24"/>
        <v>71.059736720349733</v>
      </c>
      <c r="R358">
        <f t="shared" si="25"/>
        <v>78.632382786602221</v>
      </c>
      <c r="S358" t="e">
        <f xml:space="preserve"> 1.667/G358 + P358/A358 * Performance!$E$12 + Performance!$E$23 / Constraints!P358 * Constraints!A358</f>
        <v>#VALUE!</v>
      </c>
      <c r="T358">
        <f xml:space="preserve"> 1.667/H358 + Q358/A358 * Performance!$E$12 + Performance!$E$23 / Constraints!Q358 * Constraints!A358</f>
        <v>0.20724466426074617</v>
      </c>
      <c r="U358">
        <f xml:space="preserve"> 1.667/I358 + R358/A358 * Performance!$E$12 + Performance!$E$23 / Constraints!R358 * Constraints!A358</f>
        <v>0.19447159963414656</v>
      </c>
    </row>
    <row r="359" spans="1:21" x14ac:dyDescent="0.3">
      <c r="A359" s="51">
        <v>178.5</v>
      </c>
      <c r="B359" s="50">
        <f>$V$4*Performance!$E$12*(1/A359)+Performance!$E$23*(1/Constraints!$V$4)*Constraints!A359</f>
        <v>0.16617213996100741</v>
      </c>
      <c r="C359" s="50">
        <f>$V$5*Performance!$E$12*(1/A359)+Performance!$E$23*(1/Constraints!$V$5)*Constraints!A359</f>
        <v>0.25290201697096076</v>
      </c>
      <c r="D359" s="52">
        <f t="shared" si="22"/>
        <v>0.34578099928595807</v>
      </c>
      <c r="E359" s="52">
        <f>$V$4*Performance!$E$12*(1/A359)+Performance!$E$23*(1/Constraints!$V$9)*Constraints!A359</f>
        <v>0.16536600537081747</v>
      </c>
      <c r="F359" s="52">
        <f xml:space="preserve"> 1.21 / (9.81 * Constraints!$N$7 * Performance!$E$15 * Constraints!$N$5 ) * Constraints!A359 + 0.605 /Performance!$E$15 * (Performance!$E$16  - Constraints!$N$6 * Performance!$E$14) + Constraints!$N$6</f>
        <v>0.34568191060167069</v>
      </c>
      <c r="G359" s="54" t="s">
        <v>198</v>
      </c>
      <c r="H359" s="55">
        <f>SQRT(2/$V$3 * A359 * SQRT(Performance!$E$23 / (3 * Performance!$E$12)))</f>
        <v>16.474012621148411</v>
      </c>
      <c r="I359" s="55">
        <f>SQRT(2/$V$3 * A359 * (SQRT(Performance!$E$23)/(SQRT(3*Performance!$E$12 + 4* Performance!$E$23 * Performance!$E$11^2) - SQRT(Performance!$E$23)*Performance!$E$11)))</f>
        <v>17.329591100088631</v>
      </c>
      <c r="J359" t="e">
        <f xml:space="preserve"> $AC$3/G359 + $AC$6/A359 * Performance!$E$12 + Performance!$E$23/Constraints!$AC$6 * Constraints!A359</f>
        <v>#VALUE!</v>
      </c>
      <c r="K359">
        <f xml:space="preserve"> $AC$3/H359 + $AC$6/A359 * Performance!$E$12 + Performance!$E$23/Constraints!$AC$6 * Constraints!A359</f>
        <v>0.88380006799930277</v>
      </c>
      <c r="L359">
        <f xml:space="preserve"> $AC$3/I359 + $AC$6/A359 * Performance!$E$12 + Performance!$E$23/Constraints!$AC$6 * Constraints!A359</f>
        <v>0.86857581984404941</v>
      </c>
      <c r="M359">
        <f>SIN($AC$9 * PI()/180) + 1/Performance!$AE$5</f>
        <v>0.24073077270730886</v>
      </c>
      <c r="N359">
        <f>SIN($AC$9 * PI()/180) + 1/Performance!$AE$8</f>
        <v>0.22738716112204788</v>
      </c>
      <c r="O359" s="60">
        <f>$AC$16 * (Performance!$E$12/Constraints!A359 + Performance!$E$23 * (Constraints!$AC$13/Constraints!$AC$17)^2 * Constraints!A359)</f>
        <v>2.1837761070182658E-4</v>
      </c>
      <c r="P359" t="e">
        <f t="shared" si="23"/>
        <v>#VALUE!</v>
      </c>
      <c r="Q359">
        <f t="shared" si="24"/>
        <v>71.259342722373191</v>
      </c>
      <c r="R359">
        <f t="shared" si="25"/>
        <v>78.853260266339888</v>
      </c>
      <c r="S359" t="e">
        <f xml:space="preserve"> 1.667/G359 + P359/A359 * Performance!$E$12 + Performance!$E$23 / Constraints!P359 * Constraints!A359</f>
        <v>#VALUE!</v>
      </c>
      <c r="T359">
        <f xml:space="preserve"> 1.667/H359 + Q359/A359 * Performance!$E$12 + Performance!$E$23 / Constraints!Q359 * Constraints!A359</f>
        <v>0.20710264359292307</v>
      </c>
      <c r="U359">
        <f xml:space="preserve"> 1.667/I359 + R359/A359 * Performance!$E$12 + Performance!$E$23 / Constraints!R359 * Constraints!A359</f>
        <v>0.19433659066245934</v>
      </c>
    </row>
    <row r="360" spans="1:21" x14ac:dyDescent="0.3">
      <c r="A360" s="51">
        <v>179</v>
      </c>
      <c r="B360" s="50">
        <f>$V$4*Performance!$E$12*(1/A360)+Performance!$E$23*(1/Constraints!$V$4)*Constraints!A360</f>
        <v>0.16574753062441427</v>
      </c>
      <c r="C360" s="50">
        <f>$V$5*Performance!$E$12*(1/A360)+Performance!$E$23*(1/Constraints!$V$5)*Constraints!A360</f>
        <v>0.25222092701723253</v>
      </c>
      <c r="D360" s="52">
        <f t="shared" si="22"/>
        <v>0.34605328499824367</v>
      </c>
      <c r="E360" s="52">
        <f>$V$4*Performance!$E$12*(1/A360)+Performance!$E$23*(1/Constraints!$V$9)*Constraints!A360</f>
        <v>0.16493913795413978</v>
      </c>
      <c r="F360" s="52">
        <f xml:space="preserve"> 1.21 / (9.81 * Constraints!$N$7 * Performance!$E$15 * Constraints!$N$5 ) * Constraints!A360 + 0.605 /Performance!$E$15 * (Performance!$E$16  - Constraints!$N$6 * Performance!$E$14) + Constraints!$N$6</f>
        <v>0.34595391875461651</v>
      </c>
      <c r="G360" s="54" t="s">
        <v>198</v>
      </c>
      <c r="H360" s="55">
        <f>SQRT(2/$V$3 * A360 * SQRT(Performance!$E$23 / (3 * Performance!$E$12)))</f>
        <v>16.497069333090941</v>
      </c>
      <c r="I360" s="55">
        <f>SQRT(2/$V$3 * A360 * (SQRT(Performance!$E$23)/(SQRT(3*Performance!$E$12 + 4* Performance!$E$23 * Performance!$E$11^2) - SQRT(Performance!$E$23)*Performance!$E$11)))</f>
        <v>17.353845263252477</v>
      </c>
      <c r="J360" t="e">
        <f xml:space="preserve"> $AC$3/G360 + $AC$6/A360 * Performance!$E$12 + Performance!$E$23/Constraints!$AC$6 * Constraints!A360</f>
        <v>#VALUE!</v>
      </c>
      <c r="K360">
        <f xml:space="preserve"> $AC$3/H360 + $AC$6/A360 * Performance!$E$12 + Performance!$E$23/Constraints!$AC$6 * Constraints!A360</f>
        <v>0.88496997974798741</v>
      </c>
      <c r="L360">
        <f xml:space="preserve"> $AC$3/I360 + $AC$6/A360 * Performance!$E$12 + Performance!$E$23/Constraints!$AC$6 * Constraints!A360</f>
        <v>0.86976700937833151</v>
      </c>
      <c r="M360">
        <f>SIN($AC$9 * PI()/180) + 1/Performance!$AE$5</f>
        <v>0.24073077270730886</v>
      </c>
      <c r="N360">
        <f>SIN($AC$9 * PI()/180) + 1/Performance!$AE$8</f>
        <v>0.22738716112204788</v>
      </c>
      <c r="O360" s="60">
        <f>$AC$16 * (Performance!$E$12/Constraints!A360 + Performance!$E$23 * (Constraints!$AC$13/Constraints!$AC$17)^2 * Constraints!A360)</f>
        <v>2.1821915671629185E-4</v>
      </c>
      <c r="P360" t="e">
        <f t="shared" si="23"/>
        <v>#VALUE!</v>
      </c>
      <c r="Q360">
        <f t="shared" si="24"/>
        <v>71.458948724396606</v>
      </c>
      <c r="R360">
        <f t="shared" si="25"/>
        <v>79.074137746077511</v>
      </c>
      <c r="S360" t="e">
        <f xml:space="preserve"> 1.667/G360 + P360/A360 * Performance!$E$12 + Performance!$E$23 / Constraints!P360 * Constraints!A360</f>
        <v>#VALUE!</v>
      </c>
      <c r="T360">
        <f xml:space="preserve"> 1.667/H360 + Q360/A360 * Performance!$E$12 + Performance!$E$23 / Constraints!Q360 * Constraints!A360</f>
        <v>0.20696121840008391</v>
      </c>
      <c r="U360">
        <f xml:space="preserve"> 1.667/I360 + R360/A360 * Performance!$E$12 + Performance!$E$23 / Constraints!R360 * Constraints!A360</f>
        <v>0.1942021477665869</v>
      </c>
    </row>
    <row r="361" spans="1:21" x14ac:dyDescent="0.3">
      <c r="A361" s="51">
        <v>179.5</v>
      </c>
      <c r="B361" s="50">
        <f>$V$4*Performance!$E$12*(1/A361)+Performance!$E$23*(1/Constraints!$V$4)*Constraints!A361</f>
        <v>0.1653253971447908</v>
      </c>
      <c r="C361" s="50">
        <f>$V$5*Performance!$E$12*(1/A361)+Performance!$E$23*(1/Constraints!$V$5)*Constraints!A361</f>
        <v>0.25154370212091276</v>
      </c>
      <c r="D361" s="52">
        <f t="shared" si="22"/>
        <v>0.34632557071052927</v>
      </c>
      <c r="E361" s="52">
        <f>$V$4*Performance!$E$12*(1/A361)+Performance!$E$23*(1/Constraints!$V$9)*Constraints!A361</f>
        <v>0.16451474639443173</v>
      </c>
      <c r="F361" s="52">
        <f xml:space="preserve"> 1.21 / (9.81 * Constraints!$N$7 * Performance!$E$15 * Constraints!$N$5 ) * Constraints!A361 + 0.605 /Performance!$E$15 * (Performance!$E$16  - Constraints!$N$6 * Performance!$E$14) + Constraints!$N$6</f>
        <v>0.34622592690756238</v>
      </c>
      <c r="G361" s="54" t="s">
        <v>198</v>
      </c>
      <c r="H361" s="55">
        <f>SQRT(2/$V$3 * A361 * SQRT(Performance!$E$23 / (3 * Performance!$E$12)))</f>
        <v>16.520093865346595</v>
      </c>
      <c r="I361" s="55">
        <f>SQRT(2/$V$3 * A361 * (SQRT(Performance!$E$23)/(SQRT(3*Performance!$E$12 + 4* Performance!$E$23 * Performance!$E$11^2) - SQRT(Performance!$E$23)*Performance!$E$11)))</f>
        <v>17.378065575476171</v>
      </c>
      <c r="J361" t="e">
        <f xml:space="preserve"> $AC$3/G361 + $AC$6/A361 * Performance!$E$12 + Performance!$E$23/Constraints!$AC$6 * Constraints!A361</f>
        <v>#VALUE!</v>
      </c>
      <c r="K361">
        <f xml:space="preserve"> $AC$3/H361 + $AC$6/A361 * Performance!$E$12 + Performance!$E$23/Constraints!$AC$6 * Constraints!A361</f>
        <v>0.8861417240238898</v>
      </c>
      <c r="L361">
        <f xml:space="preserve"> $AC$3/I361 + $AC$6/A361 * Performance!$E$12 + Performance!$E$23/Constraints!$AC$6 * Constraints!A361</f>
        <v>0.87095994247340836</v>
      </c>
      <c r="M361">
        <f>SIN($AC$9 * PI()/180) + 1/Performance!$AE$5</f>
        <v>0.24073077270730886</v>
      </c>
      <c r="N361">
        <f>SIN($AC$9 * PI()/180) + 1/Performance!$AE$8</f>
        <v>0.22738716112204788</v>
      </c>
      <c r="O361" s="60">
        <f>$AC$16 * (Performance!$E$12/Constraints!A361 + Performance!$E$23 * (Constraints!$AC$13/Constraints!$AC$17)^2 * Constraints!A361)</f>
        <v>2.1806284501163468E-4</v>
      </c>
      <c r="P361" t="e">
        <f t="shared" si="23"/>
        <v>#VALUE!</v>
      </c>
      <c r="Q361">
        <f t="shared" si="24"/>
        <v>71.658554726420093</v>
      </c>
      <c r="R361">
        <f t="shared" si="25"/>
        <v>79.295015225815192</v>
      </c>
      <c r="S361" t="e">
        <f xml:space="preserve"> 1.667/G361 + P361/A361 * Performance!$E$12 + Performance!$E$23 / Constraints!P361 * Constraints!A361</f>
        <v>#VALUE!</v>
      </c>
      <c r="T361">
        <f xml:space="preserve"> 1.667/H361 + Q361/A361 * Performance!$E$12 + Performance!$E$23 / Constraints!Q361 * Constraints!A361</f>
        <v>0.20682038453257234</v>
      </c>
      <c r="U361">
        <f xml:space="preserve"> 1.667/I361 + R361/A361 * Performance!$E$12 + Performance!$E$23 / Constraints!R361 * Constraints!A361</f>
        <v>0.1940682670017454</v>
      </c>
    </row>
    <row r="362" spans="1:21" x14ac:dyDescent="0.3">
      <c r="A362" s="51">
        <v>180</v>
      </c>
      <c r="B362" s="50">
        <f>$V$4*Performance!$E$12*(1/A362)+Performance!$E$23*(1/Constraints!$V$4)*Constraints!A362</f>
        <v>0.16490571888999553</v>
      </c>
      <c r="C362" s="50">
        <f>$V$5*Performance!$E$12*(1/A362)+Performance!$E$23*(1/Constraints!$V$5)*Constraints!A362</f>
        <v>0.25087031007318977</v>
      </c>
      <c r="D362" s="52">
        <f t="shared" si="22"/>
        <v>0.34659785642281488</v>
      </c>
      <c r="E362" s="52">
        <f>$V$4*Performance!$E$12*(1/A362)+Performance!$E$23*(1/Constraints!$V$9)*Constraints!A362</f>
        <v>0.1640928100595519</v>
      </c>
      <c r="F362" s="52">
        <f xml:space="preserve"> 1.21 / (9.81 * Constraints!$N$7 * Performance!$E$15 * Constraints!$N$5 ) * Constraints!A362 + 0.605 /Performance!$E$15 * (Performance!$E$16  - Constraints!$N$6 * Performance!$E$14) + Constraints!$N$6</f>
        <v>0.34649793506050824</v>
      </c>
      <c r="G362" s="54" t="s">
        <v>198</v>
      </c>
      <c r="H362" s="55">
        <f>SQRT(2/$V$3 * A362 * SQRT(Performance!$E$23 / (3 * Performance!$E$12)))</f>
        <v>16.543086352277641</v>
      </c>
      <c r="I362" s="55">
        <f>SQRT(2/$V$3 * A362 * (SQRT(Performance!$E$23)/(SQRT(3*Performance!$E$12 + 4* Performance!$E$23 * Performance!$E$11^2) - SQRT(Performance!$E$23)*Performance!$E$11)))</f>
        <v>17.402252178100088</v>
      </c>
      <c r="J362" t="e">
        <f xml:space="preserve"> $AC$3/G362 + $AC$6/A362 * Performance!$E$12 + Performance!$E$23/Constraints!$AC$6 * Constraints!A362</f>
        <v>#VALUE!</v>
      </c>
      <c r="K362">
        <f xml:space="preserve"> $AC$3/H362 + $AC$6/A362 * Performance!$E$12 + Performance!$E$23/Constraints!$AC$6 * Constraints!A362</f>
        <v>0.88731528805001636</v>
      </c>
      <c r="L362">
        <f xml:space="preserve"> $AC$3/I362 + $AC$6/A362 * Performance!$E$12 + Performance!$E$23/Constraints!$AC$6 * Constraints!A362</f>
        <v>0.8721546069705387</v>
      </c>
      <c r="M362">
        <f>SIN($AC$9 * PI()/180) + 1/Performance!$AE$5</f>
        <v>0.24073077270730886</v>
      </c>
      <c r="N362">
        <f>SIN($AC$9 * PI()/180) + 1/Performance!$AE$8</f>
        <v>0.22738716112204788</v>
      </c>
      <c r="O362" s="60">
        <f>$AC$16 * (Performance!$E$12/Constraints!A362 + Performance!$E$23 * (Constraints!$AC$13/Constraints!$AC$17)^2 * Constraints!A362)</f>
        <v>2.1790865773551452E-4</v>
      </c>
      <c r="P362" t="e">
        <f t="shared" si="23"/>
        <v>#VALUE!</v>
      </c>
      <c r="Q362">
        <f t="shared" si="24"/>
        <v>71.858160728443536</v>
      </c>
      <c r="R362">
        <f t="shared" si="25"/>
        <v>79.515892705552801</v>
      </c>
      <c r="S362" t="e">
        <f xml:space="preserve"> 1.667/G362 + P362/A362 * Performance!$E$12 + Performance!$E$23 / Constraints!P362 * Constraints!A362</f>
        <v>#VALUE!</v>
      </c>
      <c r="T362">
        <f xml:space="preserve"> 1.667/H362 + Q362/A362 * Performance!$E$12 + Performance!$E$23 / Constraints!Q362 * Constraints!A362</f>
        <v>0.20668013788110434</v>
      </c>
      <c r="U362">
        <f xml:space="preserve"> 1.667/I362 + R362/A362 * Performance!$E$12 + Performance!$E$23 / Constraints!R362 * Constraints!A362</f>
        <v>0.19393494446153003</v>
      </c>
    </row>
    <row r="363" spans="1:21" x14ac:dyDescent="0.3">
      <c r="A363" s="51">
        <v>180.5</v>
      </c>
      <c r="B363" s="50">
        <f>$V$4*Performance!$E$12*(1/A363)+Performance!$E$23*(1/Constraints!$V$4)*Constraints!A363</f>
        <v>0.164488475456498</v>
      </c>
      <c r="C363" s="50">
        <f>$V$5*Performance!$E$12*(1/A363)+Performance!$E$23*(1/Constraints!$V$5)*Constraints!A363</f>
        <v>0.25020071902213614</v>
      </c>
      <c r="D363" s="52">
        <f t="shared" si="22"/>
        <v>0.34687014213510048</v>
      </c>
      <c r="E363" s="52">
        <f>$V$4*Performance!$E$12*(1/A363)+Performance!$E$23*(1/Constraints!$V$9)*Constraints!A363</f>
        <v>0.16367330854596981</v>
      </c>
      <c r="F363" s="52">
        <f xml:space="preserve"> 1.21 / (9.81 * Constraints!$N$7 * Performance!$E$15 * Constraints!$N$5 ) * Constraints!A363 + 0.605 /Performance!$E$15 * (Performance!$E$16  - Constraints!$N$6 * Performance!$E$14) + Constraints!$N$6</f>
        <v>0.34676994321345411</v>
      </c>
      <c r="G363" s="54" t="s">
        <v>198</v>
      </c>
      <c r="H363" s="55">
        <f>SQRT(2/$V$3 * A363 * SQRT(Performance!$E$23 / (3 * Performance!$E$12)))</f>
        <v>16.566046927313931</v>
      </c>
      <c r="I363" s="55">
        <f>SQRT(2/$V$3 * A363 * (SQRT(Performance!$E$23)/(SQRT(3*Performance!$E$12 + 4* Performance!$E$23 * Performance!$E$11^2) - SQRT(Performance!$E$23)*Performance!$E$11)))</f>
        <v>17.426405211483768</v>
      </c>
      <c r="J363" t="e">
        <f xml:space="preserve"> $AC$3/G363 + $AC$6/A363 * Performance!$E$12 + Performance!$E$23/Constraints!$AC$6 * Constraints!A363</f>
        <v>#VALUE!</v>
      </c>
      <c r="K363">
        <f xml:space="preserve"> $AC$3/H363 + $AC$6/A363 * Performance!$E$12 + Performance!$E$23/Constraints!$AC$6 * Constraints!A363</f>
        <v>0.8884906591736863</v>
      </c>
      <c r="L363">
        <f xml:space="preserve"> $AC$3/I363 + $AC$6/A363 * Performance!$E$12 + Performance!$E$23/Constraints!$AC$6 * Constraints!A363</f>
        <v>0.87335099082929601</v>
      </c>
      <c r="M363">
        <f>SIN($AC$9 * PI()/180) + 1/Performance!$AE$5</f>
        <v>0.24073077270730886</v>
      </c>
      <c r="N363">
        <f>SIN($AC$9 * PI()/180) + 1/Performance!$AE$8</f>
        <v>0.22738716112204788</v>
      </c>
      <c r="O363" s="60">
        <f>$AC$16 * (Performance!$E$12/Constraints!A363 + Performance!$E$23 * (Constraints!$AC$13/Constraints!$AC$17)^2 * Constraints!A363)</f>
        <v>2.1775657723340061E-4</v>
      </c>
      <c r="P363" t="e">
        <f t="shared" si="23"/>
        <v>#VALUE!</v>
      </c>
      <c r="Q363">
        <f t="shared" si="24"/>
        <v>72.057766730467009</v>
      </c>
      <c r="R363">
        <f t="shared" si="25"/>
        <v>79.736770185290439</v>
      </c>
      <c r="S363" t="e">
        <f xml:space="preserve"> 1.667/G363 + P363/A363 * Performance!$E$12 + Performance!$E$23 / Constraints!P363 * Constraints!A363</f>
        <v>#VALUE!</v>
      </c>
      <c r="T363">
        <f xml:space="preserve"> 1.667/H363 + Q363/A363 * Performance!$E$12 + Performance!$E$23 / Constraints!Q363 * Constraints!A363</f>
        <v>0.20654047437626399</v>
      </c>
      <c r="U363">
        <f xml:space="preserve"> 1.667/I363 + R363/A363 * Performance!$E$12 + Performance!$E$23 / Constraints!R363 * Constraints!A363</f>
        <v>0.1938021762774359</v>
      </c>
    </row>
    <row r="364" spans="1:21" x14ac:dyDescent="0.3">
      <c r="A364" s="51">
        <v>181</v>
      </c>
      <c r="B364" s="50">
        <f>$V$4*Performance!$E$12*(1/A364)+Performance!$E$23*(1/Constraints!$V$4)*Constraints!A364</f>
        <v>0.16407364666622123</v>
      </c>
      <c r="C364" s="50">
        <f>$V$5*Performance!$E$12*(1/A364)+Performance!$E$23*(1/Constraints!$V$5)*Constraints!A364</f>
        <v>0.24953489746777952</v>
      </c>
      <c r="D364" s="52">
        <f t="shared" si="22"/>
        <v>0.34714242784738608</v>
      </c>
      <c r="E364" s="52">
        <f>$V$4*Performance!$E$12*(1/A364)+Performance!$E$23*(1/Constraints!$V$9)*Constraints!A364</f>
        <v>0.16325622167560849</v>
      </c>
      <c r="F364" s="52">
        <f xml:space="preserve"> 1.21 / (9.81 * Constraints!$N$7 * Performance!$E$15 * Constraints!$N$5 ) * Constraints!A364 + 0.605 /Performance!$E$15 * (Performance!$E$16  - Constraints!$N$6 * Performance!$E$14) + Constraints!$N$6</f>
        <v>0.34704195136639998</v>
      </c>
      <c r="G364" s="54" t="s">
        <v>198</v>
      </c>
      <c r="H364" s="55">
        <f>SQRT(2/$V$3 * A364 * SQRT(Performance!$E$23 / (3 * Performance!$E$12)))</f>
        <v>16.588975722961916</v>
      </c>
      <c r="I364" s="55">
        <f>SQRT(2/$V$3 * A364 * (SQRT(Performance!$E$23)/(SQRT(3*Performance!$E$12 + 4* Performance!$E$23 * Performance!$E$11^2) - SQRT(Performance!$E$23)*Performance!$E$11)))</f>
        <v>17.450524815015399</v>
      </c>
      <c r="J364" t="e">
        <f xml:space="preserve"> $AC$3/G364 + $AC$6/A364 * Performance!$E$12 + Performance!$E$23/Constraints!$AC$6 * Constraints!A364</f>
        <v>#VALUE!</v>
      </c>
      <c r="K364">
        <f xml:space="preserve"> $AC$3/H364 + $AC$6/A364 * Performance!$E$12 + Performance!$E$23/Constraints!$AC$6 * Constraints!A364</f>
        <v>0.8896678248649823</v>
      </c>
      <c r="L364">
        <f xml:space="preserve"> $AC$3/I364 + $AC$6/A364 * Performance!$E$12 + Performance!$E$23/Constraints!$AC$6 * Constraints!A364</f>
        <v>0.87454908212609295</v>
      </c>
      <c r="M364">
        <f>SIN($AC$9 * PI()/180) + 1/Performance!$AE$5</f>
        <v>0.24073077270730886</v>
      </c>
      <c r="N364">
        <f>SIN($AC$9 * PI()/180) + 1/Performance!$AE$8</f>
        <v>0.22738716112204788</v>
      </c>
      <c r="O364" s="60">
        <f>$AC$16 * (Performance!$E$12/Constraints!A364 + Performance!$E$23 * (Constraints!$AC$13/Constraints!$AC$17)^2 * Constraints!A364)</f>
        <v>2.176065860458398E-4</v>
      </c>
      <c r="P364" t="e">
        <f t="shared" si="23"/>
        <v>#VALUE!</v>
      </c>
      <c r="Q364">
        <f t="shared" si="24"/>
        <v>72.257372732490438</v>
      </c>
      <c r="R364">
        <f t="shared" si="25"/>
        <v>79.957647665028134</v>
      </c>
      <c r="S364" t="e">
        <f xml:space="preserve"> 1.667/G364 + P364/A364 * Performance!$E$12 + Performance!$E$23 / Constraints!P364 * Constraints!A364</f>
        <v>#VALUE!</v>
      </c>
      <c r="T364">
        <f xml:space="preserve"> 1.667/H364 + Q364/A364 * Performance!$E$12 + Performance!$E$23 / Constraints!Q364 * Constraints!A364</f>
        <v>0.206401389988008</v>
      </c>
      <c r="U364">
        <f xml:space="preserve"> 1.667/I364 + R364/A364 * Performance!$E$12 + Performance!$E$23 / Constraints!R364 * Constraints!A364</f>
        <v>0.19366995861838654</v>
      </c>
    </row>
    <row r="365" spans="1:21" x14ac:dyDescent="0.3">
      <c r="A365" s="51">
        <v>181.5</v>
      </c>
      <c r="B365" s="50">
        <f>$V$4*Performance!$E$12*(1/A365)+Performance!$E$23*(1/Constraints!$V$4)*Constraints!A365</f>
        <v>0.16366121256343616</v>
      </c>
      <c r="C365" s="50">
        <f>$V$5*Performance!$E$12*(1/A365)+Performance!$E$23*(1/Constraints!$V$5)*Constraints!A365</f>
        <v>0.24887281425725463</v>
      </c>
      <c r="D365" s="52">
        <f t="shared" si="22"/>
        <v>0.34741471355967168</v>
      </c>
      <c r="E365" s="52">
        <f>$V$4*Performance!$E$12*(1/A365)+Performance!$E$23*(1/Constraints!$V$9)*Constraints!A365</f>
        <v>0.16284152949273883</v>
      </c>
      <c r="F365" s="52">
        <f xml:space="preserve"> 1.21 / (9.81 * Constraints!$N$7 * Performance!$E$15 * Constraints!$N$5 ) * Constraints!A365 + 0.605 /Performance!$E$15 * (Performance!$E$16  - Constraints!$N$6 * Performance!$E$14) + Constraints!$N$6</f>
        <v>0.34731395951934579</v>
      </c>
      <c r="G365" s="54" t="s">
        <v>198</v>
      </c>
      <c r="H365" s="55">
        <f>SQRT(2/$V$3 * A365 * SQRT(Performance!$E$23 / (3 * Performance!$E$12)))</f>
        <v>16.611872870813585</v>
      </c>
      <c r="I365" s="55">
        <f>SQRT(2/$V$3 * A365 * (SQRT(Performance!$E$23)/(SQRT(3*Performance!$E$12 + 4* Performance!$E$23 * Performance!$E$11^2) - SQRT(Performance!$E$23)*Performance!$E$11)))</f>
        <v>17.474611127121186</v>
      </c>
      <c r="J365" t="e">
        <f xml:space="preserve"> $AC$3/G365 + $AC$6/A365 * Performance!$E$12 + Performance!$E$23/Constraints!$AC$6 * Constraints!A365</f>
        <v>#VALUE!</v>
      </c>
      <c r="K365">
        <f xml:space="preserve"> $AC$3/H365 + $AC$6/A365 * Performance!$E$12 + Performance!$E$23/Constraints!$AC$6 * Constraints!A365</f>
        <v>0.89084677271522295</v>
      </c>
      <c r="L365">
        <f xml:space="preserve"> $AC$3/I365 + $AC$6/A365 * Performance!$E$12 + Performance!$E$23/Constraints!$AC$6 * Constraints!A365</f>
        <v>0.87574886905272908</v>
      </c>
      <c r="M365">
        <f>SIN($AC$9 * PI()/180) + 1/Performance!$AE$5</f>
        <v>0.24073077270730886</v>
      </c>
      <c r="N365">
        <f>SIN($AC$9 * PI()/180) + 1/Performance!$AE$8</f>
        <v>0.22738716112204788</v>
      </c>
      <c r="O365" s="60">
        <f>$AC$16 * (Performance!$E$12/Constraints!A365 + Performance!$E$23 * (Constraints!$AC$13/Constraints!$AC$17)^2 * Constraints!A365)</f>
        <v>2.1745866690576967E-4</v>
      </c>
      <c r="P365" t="e">
        <f t="shared" si="23"/>
        <v>#VALUE!</v>
      </c>
      <c r="Q365">
        <f t="shared" si="24"/>
        <v>72.45697873451391</v>
      </c>
      <c r="R365">
        <f t="shared" si="25"/>
        <v>80.178525144765771</v>
      </c>
      <c r="S365" t="e">
        <f xml:space="preserve"> 1.667/G365 + P365/A365 * Performance!$E$12 + Performance!$E$23 / Constraints!P365 * Constraints!A365</f>
        <v>#VALUE!</v>
      </c>
      <c r="T365">
        <f xml:space="preserve"> 1.667/H365 + Q365/A365 * Performance!$E$12 + Performance!$E$23 / Constraints!Q365 * Constraints!A365</f>
        <v>0.20626288072517682</v>
      </c>
      <c r="U365">
        <f xml:space="preserve"> 1.667/I365 + R365/A365 * Performance!$E$12 + Performance!$E$23 / Constraints!R365 * Constraints!A365</f>
        <v>0.19353828769027015</v>
      </c>
    </row>
    <row r="366" spans="1:21" x14ac:dyDescent="0.3">
      <c r="A366" s="51">
        <v>182</v>
      </c>
      <c r="B366" s="50">
        <f>$V$4*Performance!$E$12*(1/A366)+Performance!$E$23*(1/Constraints!$V$4)*Constraints!A366</f>
        <v>0.16325115341170732</v>
      </c>
      <c r="C366" s="50">
        <f>$V$5*Performance!$E$12*(1/A366)+Performance!$E$23*(1/Constraints!$V$5)*Constraints!A366</f>
        <v>0.24821443858003533</v>
      </c>
      <c r="D366" s="52">
        <f t="shared" si="22"/>
        <v>0.34768699927195723</v>
      </c>
      <c r="E366" s="52">
        <f>$V$4*Performance!$E$12*(1/A366)+Performance!$E$23*(1/Constraints!$V$9)*Constraints!A366</f>
        <v>0.16242921226092544</v>
      </c>
      <c r="F366" s="52">
        <f xml:space="preserve"> 1.21 / (9.81 * Constraints!$N$7 * Performance!$E$15 * Constraints!$N$5 ) * Constraints!A366 + 0.605 /Performance!$E$15 * (Performance!$E$16  - Constraints!$N$6 * Performance!$E$14) + Constraints!$N$6</f>
        <v>0.34758596767229166</v>
      </c>
      <c r="G366" s="54" t="s">
        <v>198</v>
      </c>
      <c r="H366" s="55">
        <f>SQRT(2/$V$3 * A366 * SQRT(Performance!$E$23 / (3 * Performance!$E$12)))</f>
        <v>16.634738501555258</v>
      </c>
      <c r="I366" s="55">
        <f>SQRT(2/$V$3 * A366 * (SQRT(Performance!$E$23)/(SQRT(3*Performance!$E$12 + 4* Performance!$E$23 * Performance!$E$11^2) - SQRT(Performance!$E$23)*Performance!$E$11)))</f>
        <v>17.498664285274661</v>
      </c>
      <c r="J366" t="e">
        <f xml:space="preserve"> $AC$3/G366 + $AC$6/A366 * Performance!$E$12 + Performance!$E$23/Constraints!$AC$6 * Constraints!A366</f>
        <v>#VALUE!</v>
      </c>
      <c r="K366">
        <f xml:space="preserve"> $AC$3/H366 + $AC$6/A366 * Performance!$E$12 + Performance!$E$23/Constraints!$AC$6 * Constraints!A366</f>
        <v>0.89202749043546037</v>
      </c>
      <c r="L366">
        <f xml:space="preserve"> $AC$3/I366 + $AC$6/A366 * Performance!$E$12 + Performance!$E$23/Constraints!$AC$6 * Constraints!A366</f>
        <v>0.8769503399149583</v>
      </c>
      <c r="M366">
        <f>SIN($AC$9 * PI()/180) + 1/Performance!$AE$5</f>
        <v>0.24073077270730886</v>
      </c>
      <c r="N366">
        <f>SIN($AC$9 * PI()/180) + 1/Performance!$AE$8</f>
        <v>0.22738716112204788</v>
      </c>
      <c r="O366" s="60">
        <f>$AC$16 * (Performance!$E$12/Constraints!A366 + Performance!$E$23 * (Constraints!$AC$13/Constraints!$AC$17)^2 * Constraints!A366)</f>
        <v>2.1731280273587581E-4</v>
      </c>
      <c r="P366" t="e">
        <f t="shared" si="23"/>
        <v>#VALUE!</v>
      </c>
      <c r="Q366">
        <f t="shared" si="24"/>
        <v>72.656584736537354</v>
      </c>
      <c r="R366">
        <f t="shared" si="25"/>
        <v>80.399402624503395</v>
      </c>
      <c r="S366" t="e">
        <f xml:space="preserve"> 1.667/G366 + P366/A366 * Performance!$E$12 + Performance!$E$23 / Constraints!P366 * Constraints!A366</f>
        <v>#VALUE!</v>
      </c>
      <c r="T366">
        <f xml:space="preserve"> 1.667/H366 + Q366/A366 * Performance!$E$12 + Performance!$E$23 / Constraints!Q366 * Constraints!A366</f>
        <v>0.20612494263501413</v>
      </c>
      <c r="U366">
        <f xml:space="preserve"> 1.667/I366 + R366/A366 * Performance!$E$12 + Performance!$E$23 / Constraints!R366 * Constraints!A366</f>
        <v>0.19340715973548162</v>
      </c>
    </row>
    <row r="367" spans="1:21" x14ac:dyDescent="0.3">
      <c r="A367" s="51">
        <v>182.5</v>
      </c>
      <c r="B367" s="50">
        <f>$V$4*Performance!$E$12*(1/A367)+Performance!$E$23*(1/Constraints!$V$4)*Constraints!A367</f>
        <v>0.16284344969088904</v>
      </c>
      <c r="C367" s="50">
        <f>$V$5*Performance!$E$12*(1/A367)+Performance!$E$23*(1/Constraints!$V$5)*Constraints!A367</f>
        <v>0.24755973996324518</v>
      </c>
      <c r="D367" s="52">
        <f t="shared" si="22"/>
        <v>0.34795928498424283</v>
      </c>
      <c r="E367" s="52">
        <f>$V$4*Performance!$E$12*(1/A367)+Performance!$E$23*(1/Constraints!$V$9)*Constraints!A367</f>
        <v>0.16201925046002261</v>
      </c>
      <c r="F367" s="52">
        <f xml:space="preserve"> 1.21 / (9.81 * Constraints!$N$7 * Performance!$E$15 * Constraints!$N$5 ) * Constraints!A367 + 0.605 /Performance!$E$15 * (Performance!$E$16  - Constraints!$N$6 * Performance!$E$14) + Constraints!$N$6</f>
        <v>0.34785797582523753</v>
      </c>
      <c r="G367" s="54" t="s">
        <v>198</v>
      </c>
      <c r="H367" s="55">
        <f>SQRT(2/$V$3 * A367 * SQRT(Performance!$E$23 / (3 * Performance!$E$12)))</f>
        <v>16.657572744976306</v>
      </c>
      <c r="I367" s="55">
        <f>SQRT(2/$V$3 * A367 * (SQRT(Performance!$E$23)/(SQRT(3*Performance!$E$12 + 4* Performance!$E$23 * Performance!$E$11^2) - SQRT(Performance!$E$23)*Performance!$E$11)))</f>
        <v>17.522684426005803</v>
      </c>
      <c r="J367" t="e">
        <f xml:space="preserve"> $AC$3/G367 + $AC$6/A367 * Performance!$E$12 + Performance!$E$23/Constraints!$AC$6 * Constraints!A367</f>
        <v>#VALUE!</v>
      </c>
      <c r="K367">
        <f xml:space="preserve"> $AC$3/H367 + $AC$6/A367 * Performance!$E$12 + Performance!$E$23/Constraints!$AC$6 * Constraints!A367</f>
        <v>0.8932099658549979</v>
      </c>
      <c r="L367">
        <f xml:space="preserve"> $AC$3/I367 + $AC$6/A367 * Performance!$E$12 + Performance!$E$23/Constraints!$AC$6 * Constraints!A367</f>
        <v>0.87815348313107999</v>
      </c>
      <c r="M367">
        <f>SIN($AC$9 * PI()/180) + 1/Performance!$AE$5</f>
        <v>0.24073077270730886</v>
      </c>
      <c r="N367">
        <f>SIN($AC$9 * PI()/180) + 1/Performance!$AE$8</f>
        <v>0.22738716112204788</v>
      </c>
      <c r="O367" s="60">
        <f>$AC$16 * (Performance!$E$12/Constraints!A367 + Performance!$E$23 * (Constraints!$AC$13/Constraints!$AC$17)^2 * Constraints!A367)</f>
        <v>2.171689766459923E-4</v>
      </c>
      <c r="P367" t="e">
        <f t="shared" si="23"/>
        <v>#VALUE!</v>
      </c>
      <c r="Q367">
        <f t="shared" si="24"/>
        <v>72.856190738560812</v>
      </c>
      <c r="R367">
        <f t="shared" si="25"/>
        <v>80.620280104241033</v>
      </c>
      <c r="S367" t="e">
        <f xml:space="preserve"> 1.667/G367 + P367/A367 * Performance!$E$12 + Performance!$E$23 / Constraints!P367 * Constraints!A367</f>
        <v>#VALUE!</v>
      </c>
      <c r="T367">
        <f xml:space="preserve"> 1.667/H367 + Q367/A367 * Performance!$E$12 + Performance!$E$23 / Constraints!Q367 * Constraints!A367</f>
        <v>0.20598757180269262</v>
      </c>
      <c r="U367">
        <f xml:space="preserve"> 1.667/I367 + R367/A367 * Performance!$E$12 + Performance!$E$23 / Constraints!R367 * Constraints!A367</f>
        <v>0.19327657103247231</v>
      </c>
    </row>
    <row r="368" spans="1:21" x14ac:dyDescent="0.3">
      <c r="A368" s="51">
        <v>183</v>
      </c>
      <c r="B368" s="50">
        <f>$V$4*Performance!$E$12*(1/A368)+Performance!$E$23*(1/Constraints!$V$4)*Constraints!A368</f>
        <v>0.16243808209417065</v>
      </c>
      <c r="C368" s="50">
        <f>$V$5*Performance!$E$12*(1/A368)+Performance!$E$23*(1/Constraints!$V$5)*Constraints!A368</f>
        <v>0.24690868826704462</v>
      </c>
      <c r="D368" s="52">
        <f t="shared" si="22"/>
        <v>0.34823157069652844</v>
      </c>
      <c r="E368" s="52">
        <f>$V$4*Performance!$E$12*(1/A368)+Performance!$E$23*(1/Constraints!$V$9)*Constraints!A368</f>
        <v>0.16161162478321964</v>
      </c>
      <c r="F368" s="52">
        <f xml:space="preserve"> 1.21 / (9.81 * Constraints!$N$7 * Performance!$E$15 * Constraints!$N$5 ) * Constraints!A368 + 0.605 /Performance!$E$15 * (Performance!$E$16  - Constraints!$N$6 * Performance!$E$14) + Constraints!$N$6</f>
        <v>0.3481299839781834</v>
      </c>
      <c r="G368" s="54" t="s">
        <v>198</v>
      </c>
      <c r="H368" s="55">
        <f>SQRT(2/$V$3 * A368 * SQRT(Performance!$E$23 / (3 * Performance!$E$12)))</f>
        <v>16.680375729977726</v>
      </c>
      <c r="I368" s="55">
        <f>SQRT(2/$V$3 * A368 * (SQRT(Performance!$E$23)/(SQRT(3*Performance!$E$12 + 4* Performance!$E$23 * Performance!$E$11^2) - SQRT(Performance!$E$23)*Performance!$E$11)))</f>
        <v>17.546671684910098</v>
      </c>
      <c r="J368" t="e">
        <f xml:space="preserve"> $AC$3/G368 + $AC$6/A368 * Performance!$E$12 + Performance!$E$23/Constraints!$AC$6 * Constraints!A368</f>
        <v>#VALUE!</v>
      </c>
      <c r="K368">
        <f xml:space="preserve"> $AC$3/H368 + $AC$6/A368 * Performance!$E$12 + Performance!$E$23/Constraints!$AC$6 * Constraints!A368</f>
        <v>0.89439418691993233</v>
      </c>
      <c r="L368">
        <f xml:space="preserve"> $AC$3/I368 + $AC$6/A368 * Performance!$E$12 + Performance!$E$23/Constraints!$AC$6 * Constraints!A368</f>
        <v>0.87935828723055076</v>
      </c>
      <c r="M368">
        <f>SIN($AC$9 * PI()/180) + 1/Performance!$AE$5</f>
        <v>0.24073077270730886</v>
      </c>
      <c r="N368">
        <f>SIN($AC$9 * PI()/180) + 1/Performance!$AE$8</f>
        <v>0.22738716112204788</v>
      </c>
      <c r="O368" s="60">
        <f>$AC$16 * (Performance!$E$12/Constraints!A368 + Performance!$E$23 * (Constraints!$AC$13/Constraints!$AC$17)^2 * Constraints!A368)</f>
        <v>2.1702717193054525E-4</v>
      </c>
      <c r="P368" t="e">
        <f t="shared" si="23"/>
        <v>#VALUE!</v>
      </c>
      <c r="Q368">
        <f t="shared" si="24"/>
        <v>73.055796740584256</v>
      </c>
      <c r="R368">
        <f t="shared" si="25"/>
        <v>80.841157583978699</v>
      </c>
      <c r="S368" t="e">
        <f xml:space="preserve"> 1.667/G368 + P368/A368 * Performance!$E$12 + Performance!$E$23 / Constraints!P368 * Constraints!A368</f>
        <v>#VALUE!</v>
      </c>
      <c r="T368">
        <f xml:space="preserve"> 1.667/H368 + Q368/A368 * Performance!$E$12 + Performance!$E$23 / Constraints!Q368 * Constraints!A368</f>
        <v>0.20585076435084759</v>
      </c>
      <c r="U368">
        <f xml:space="preserve"> 1.667/I368 + R368/A368 * Performance!$E$12 + Performance!$E$23 / Constraints!R368 * Constraints!A368</f>
        <v>0.19314651789530679</v>
      </c>
    </row>
    <row r="369" spans="1:21" x14ac:dyDescent="0.3">
      <c r="A369" s="51">
        <v>183.5</v>
      </c>
      <c r="B369" s="50">
        <f>$V$4*Performance!$E$12*(1/A369)+Performance!$E$23*(1/Constraints!$V$4)*Constraints!A369</f>
        <v>0.16203503152516982</v>
      </c>
      <c r="C369" s="50">
        <f>$V$5*Performance!$E$12*(1/A369)+Performance!$E$23*(1/Constraints!$V$5)*Constraints!A369</f>
        <v>0.24626125368009361</v>
      </c>
      <c r="D369" s="52">
        <f t="shared" si="22"/>
        <v>0.34850385640881404</v>
      </c>
      <c r="E369" s="52">
        <f>$V$4*Performance!$E$12*(1/A369)+Performance!$E$23*(1/Constraints!$V$9)*Constraints!A369</f>
        <v>0.16120631613413425</v>
      </c>
      <c r="F369" s="52">
        <f xml:space="preserve"> 1.21 / (9.81 * Constraints!$N$7 * Performance!$E$15 * Constraints!$N$5 ) * Constraints!A369 + 0.605 /Performance!$E$15 * (Performance!$E$16  - Constraints!$N$6 * Performance!$E$14) + Constraints!$N$6</f>
        <v>0.34840199213112921</v>
      </c>
      <c r="G369" s="54" t="s">
        <v>198</v>
      </c>
      <c r="H369" s="55">
        <f>SQRT(2/$V$3 * A369 * SQRT(Performance!$E$23 / (3 * Performance!$E$12)))</f>
        <v>16.703147584580655</v>
      </c>
      <c r="I369" s="55">
        <f>SQRT(2/$V$3 * A369 * (SQRT(Performance!$E$23)/(SQRT(3*Performance!$E$12 + 4* Performance!$E$23 * Performance!$E$11^2) - SQRT(Performance!$E$23)*Performance!$E$11)))</f>
        <v>17.570626196657454</v>
      </c>
      <c r="J369" t="e">
        <f xml:space="preserve"> $AC$3/G369 + $AC$6/A369 * Performance!$E$12 + Performance!$E$23/Constraints!$AC$6 * Constraints!A369</f>
        <v>#VALUE!</v>
      </c>
      <c r="K369">
        <f xml:space="preserve"> $AC$3/H369 + $AC$6/A369 * Performance!$E$12 + Performance!$E$23/Constraints!$AC$6 * Constraints!A369</f>
        <v>0.89558014169171773</v>
      </c>
      <c r="L369">
        <f xml:space="preserve"> $AC$3/I369 + $AC$6/A369 * Performance!$E$12 + Performance!$E$23/Constraints!$AC$6 * Constraints!A369</f>
        <v>0.88056474085261671</v>
      </c>
      <c r="M369">
        <f>SIN($AC$9 * PI()/180) + 1/Performance!$AE$5</f>
        <v>0.24073077270730886</v>
      </c>
      <c r="N369">
        <f>SIN($AC$9 * PI()/180) + 1/Performance!$AE$8</f>
        <v>0.22738716112204788</v>
      </c>
      <c r="O369" s="60">
        <f>$AC$16 * (Performance!$E$12/Constraints!A369 + Performance!$E$23 * (Constraints!$AC$13/Constraints!$AC$17)^2 * Constraints!A369)</f>
        <v>2.1688737206603803E-4</v>
      </c>
      <c r="P369" t="e">
        <f t="shared" si="23"/>
        <v>#VALUE!</v>
      </c>
      <c r="Q369">
        <f t="shared" si="24"/>
        <v>73.255402742607743</v>
      </c>
      <c r="R369">
        <f t="shared" si="25"/>
        <v>81.062035063716337</v>
      </c>
      <c r="S369" t="e">
        <f xml:space="preserve"> 1.667/G369 + P369/A369 * Performance!$E$12 + Performance!$E$23 / Constraints!P369 * Constraints!A369</f>
        <v>#VALUE!</v>
      </c>
      <c r="T369">
        <f xml:space="preserve"> 1.667/H369 + Q369/A369 * Performance!$E$12 + Performance!$E$23 / Constraints!Q369 * Constraints!A369</f>
        <v>0.20571451643911709</v>
      </c>
      <c r="U369">
        <f xml:space="preserve"> 1.667/I369 + R369/A369 * Performance!$E$12 + Performance!$E$23 / Constraints!R369 * Constraints!A369</f>
        <v>0.19301699667322547</v>
      </c>
    </row>
    <row r="370" spans="1:21" x14ac:dyDescent="0.3">
      <c r="A370" s="51">
        <v>184</v>
      </c>
      <c r="B370" s="50">
        <f>$V$4*Performance!$E$12*(1/A370)+Performance!$E$23*(1/Constraints!$V$4)*Constraints!A370</f>
        <v>0.16163427909507364</v>
      </c>
      <c r="C370" s="50">
        <f>$V$5*Performance!$E$12*(1/A370)+Performance!$E$23*(1/Constraints!$V$5)*Constraints!A370</f>
        <v>0.24561740671508855</v>
      </c>
      <c r="D370" s="52">
        <f t="shared" si="22"/>
        <v>0.34877614212109964</v>
      </c>
      <c r="E370" s="52">
        <f>$V$4*Performance!$E$12*(1/A370)+Performance!$E$23*(1/Constraints!$V$9)*Constraints!A370</f>
        <v>0.16080330562395351</v>
      </c>
      <c r="F370" s="52">
        <f xml:space="preserve"> 1.21 / (9.81 * Constraints!$N$7 * Performance!$E$15 * Constraints!$N$5 ) * Constraints!A370 + 0.605 /Performance!$E$15 * (Performance!$E$16  - Constraints!$N$6 * Performance!$E$14) + Constraints!$N$6</f>
        <v>0.34867400028407508</v>
      </c>
      <c r="G370" s="54" t="s">
        <v>198</v>
      </c>
      <c r="H370" s="55">
        <f>SQRT(2/$V$3 * A370 * SQRT(Performance!$E$23 / (3 * Performance!$E$12)))</f>
        <v>16.725888435934728</v>
      </c>
      <c r="I370" s="55">
        <f>SQRT(2/$V$3 * A370 * (SQRT(Performance!$E$23)/(SQRT(3*Performance!$E$12 + 4* Performance!$E$23 * Performance!$E$11^2) - SQRT(Performance!$E$23)*Performance!$E$11)))</f>
        <v>17.594548095001038</v>
      </c>
      <c r="J370" t="e">
        <f xml:space="preserve"> $AC$3/G370 + $AC$6/A370 * Performance!$E$12 + Performance!$E$23/Constraints!$AC$6 * Constraints!A370</f>
        <v>#VALUE!</v>
      </c>
      <c r="K370">
        <f xml:space="preserve"> $AC$3/H370 + $AC$6/A370 * Performance!$E$12 + Performance!$E$23/Constraints!$AC$6 * Constraints!A370</f>
        <v>0.89676781834574948</v>
      </c>
      <c r="L370">
        <f xml:space="preserve"> $AC$3/I370 + $AC$6/A370 * Performance!$E$12 + Performance!$E$23/Constraints!$AC$6 * Constraints!A370</f>
        <v>0.88177283274496676</v>
      </c>
      <c r="M370">
        <f>SIN($AC$9 * PI()/180) + 1/Performance!$AE$5</f>
        <v>0.24073077270730886</v>
      </c>
      <c r="N370">
        <f>SIN($AC$9 * PI()/180) + 1/Performance!$AE$8</f>
        <v>0.22738716112204788</v>
      </c>
      <c r="O370" s="60">
        <f>$AC$16 * (Performance!$E$12/Constraints!A370 + Performance!$E$23 * (Constraints!$AC$13/Constraints!$AC$17)^2 * Constraints!A370)</f>
        <v>2.1674956070857706E-4</v>
      </c>
      <c r="P370" t="e">
        <f t="shared" si="23"/>
        <v>#VALUE!</v>
      </c>
      <c r="Q370">
        <f t="shared" si="24"/>
        <v>73.455008744631158</v>
      </c>
      <c r="R370">
        <f t="shared" si="25"/>
        <v>81.282912543453989</v>
      </c>
      <c r="S370" t="e">
        <f xml:space="preserve"> 1.667/G370 + P370/A370 * Performance!$E$12 + Performance!$E$23 / Constraints!P370 * Constraints!A370</f>
        <v>#VALUE!</v>
      </c>
      <c r="T370">
        <f xml:space="preserve"> 1.667/H370 + Q370/A370 * Performance!$E$12 + Performance!$E$23 / Constraints!Q370 * Constraints!A370</f>
        <v>0.2055788242636894</v>
      </c>
      <c r="U370">
        <f xml:space="preserve"> 1.667/I370 + R370/A370 * Performance!$E$12 + Performance!$E$23 / Constraints!R370 * Constraints!A370</f>
        <v>0.19288800375021437</v>
      </c>
    </row>
    <row r="371" spans="1:21" x14ac:dyDescent="0.3">
      <c r="A371" s="51">
        <v>184.5</v>
      </c>
      <c r="B371" s="50">
        <f>$V$4*Performance!$E$12*(1/A371)+Performance!$E$23*(1/Constraints!$V$4)*Constraints!A371</f>
        <v>0.16123580611982602</v>
      </c>
      <c r="C371" s="50">
        <f>$V$5*Performance!$E$12*(1/A371)+Performance!$E$23*(1/Constraints!$V$5)*Constraints!A371</f>
        <v>0.24497711820437132</v>
      </c>
      <c r="D371" s="52">
        <f t="shared" si="22"/>
        <v>0.34904842783338524</v>
      </c>
      <c r="E371" s="52">
        <f>$V$4*Performance!$E$12*(1/A371)+Performance!$E$23*(1/Constraints!$V$9)*Constraints!A371</f>
        <v>0.16040257456862128</v>
      </c>
      <c r="F371" s="52">
        <f xml:space="preserve"> 1.21 / (9.81 * Constraints!$N$7 * Performance!$E$15 * Constraints!$N$5 ) * Constraints!A371 + 0.605 /Performance!$E$15 * (Performance!$E$16  - Constraints!$N$6 * Performance!$E$14) + Constraints!$N$6</f>
        <v>0.34894600843702095</v>
      </c>
      <c r="G371" s="54" t="s">
        <v>198</v>
      </c>
      <c r="H371" s="55">
        <f>SQRT(2/$V$3 * A371 * SQRT(Performance!$E$23 / (3 * Performance!$E$12)))</f>
        <v>16.748598410326387</v>
      </c>
      <c r="I371" s="55">
        <f>SQRT(2/$V$3 * A371 * (SQRT(Performance!$E$23)/(SQRT(3*Performance!$E$12 + 4* Performance!$E$23 * Performance!$E$11^2) - SQRT(Performance!$E$23)*Performance!$E$11)))</f>
        <v>17.618437512785974</v>
      </c>
      <c r="J371" t="e">
        <f xml:space="preserve"> $AC$3/G371 + $AC$6/A371 * Performance!$E$12 + Performance!$E$23/Constraints!$AC$6 * Constraints!A371</f>
        <v>#VALUE!</v>
      </c>
      <c r="K371">
        <f xml:space="preserve"> $AC$3/H371 + $AC$6/A371 * Performance!$E$12 + Performance!$E$23/Constraints!$AC$6 * Constraints!A371</f>
        <v>0.89795720516997091</v>
      </c>
      <c r="L371">
        <f xml:space="preserve"> $AC$3/I371 + $AC$6/A371 * Performance!$E$12 + Performance!$E$23/Constraints!$AC$6 * Constraints!A371</f>
        <v>0.88298255176240548</v>
      </c>
      <c r="M371">
        <f>SIN($AC$9 * PI()/180) + 1/Performance!$AE$5</f>
        <v>0.24073077270730886</v>
      </c>
      <c r="N371">
        <f>SIN($AC$9 * PI()/180) + 1/Performance!$AE$8</f>
        <v>0.22738716112204788</v>
      </c>
      <c r="O371" s="60">
        <f>$AC$16 * (Performance!$E$12/Constraints!A371 + Performance!$E$23 * (Constraints!$AC$13/Constraints!$AC$17)^2 * Constraints!A371)</f>
        <v>2.1661372169143835E-4</v>
      </c>
      <c r="P371" t="e">
        <f t="shared" si="23"/>
        <v>#VALUE!</v>
      </c>
      <c r="Q371">
        <f t="shared" si="24"/>
        <v>73.654614746654616</v>
      </c>
      <c r="R371">
        <f t="shared" si="25"/>
        <v>81.503790023191627</v>
      </c>
      <c r="S371" t="e">
        <f xml:space="preserve"> 1.667/G371 + P371/A371 * Performance!$E$12 + Performance!$E$23 / Constraints!P371 * Constraints!A371</f>
        <v>#VALUE!</v>
      </c>
      <c r="T371">
        <f xml:space="preserve"> 1.667/H371 + Q371/A371 * Performance!$E$12 + Performance!$E$23 / Constraints!Q371 * Constraints!A371</f>
        <v>0.20544368405685659</v>
      </c>
      <c r="U371">
        <f xml:space="preserve"> 1.667/I371 + R371/A371 * Performance!$E$12 + Performance!$E$23 / Constraints!R371 * Constraints!A371</f>
        <v>0.19275953554458103</v>
      </c>
    </row>
    <row r="372" spans="1:21" x14ac:dyDescent="0.3">
      <c r="A372" s="51">
        <v>185</v>
      </c>
      <c r="B372" s="50">
        <f>$V$4*Performance!$E$12*(1/A372)+Performance!$E$23*(1/Constraints!$V$4)*Constraints!A372</f>
        <v>0.16083959411736054</v>
      </c>
      <c r="C372" s="50">
        <f>$V$5*Performance!$E$12*(1/A372)+Performance!$E$23*(1/Constraints!$V$5)*Constraints!A372</f>
        <v>0.24434035929560988</v>
      </c>
      <c r="D372" s="52">
        <f t="shared" si="22"/>
        <v>0.34932071354567085</v>
      </c>
      <c r="E372" s="52">
        <f>$V$4*Performance!$E$12*(1/A372)+Performance!$E$23*(1/Constraints!$V$9)*Constraints!A372</f>
        <v>0.16000410448607125</v>
      </c>
      <c r="F372" s="52">
        <f xml:space="preserve"> 1.21 / (9.81 * Constraints!$N$7 * Performance!$E$15 * Constraints!$N$5 ) * Constraints!A372 + 0.605 /Performance!$E$15 * (Performance!$E$16  - Constraints!$N$6 * Performance!$E$14) + Constraints!$N$6</f>
        <v>0.34921801658996682</v>
      </c>
      <c r="G372" s="54" t="s">
        <v>198</v>
      </c>
      <c r="H372" s="55">
        <f>SQRT(2/$V$3 * A372 * SQRT(Performance!$E$23 / (3 * Performance!$E$12)))</f>
        <v>16.771277633187047</v>
      </c>
      <c r="I372" s="55">
        <f>SQRT(2/$V$3 * A372 * (SQRT(Performance!$E$23)/(SQRT(3*Performance!$E$12 + 4* Performance!$E$23 * Performance!$E$11^2) - SQRT(Performance!$E$23)*Performance!$E$11)))</f>
        <v>17.642294581957966</v>
      </c>
      <c r="J372" t="e">
        <f xml:space="preserve"> $AC$3/G372 + $AC$6/A372 * Performance!$E$12 + Performance!$E$23/Constraints!$AC$6 * Constraints!A372</f>
        <v>#VALUE!</v>
      </c>
      <c r="K372">
        <f xml:space="preserve"> $AC$3/H372 + $AC$6/A372 * Performance!$E$12 + Performance!$E$23/Constraints!$AC$6 * Constraints!A372</f>
        <v>0.89914829056349965</v>
      </c>
      <c r="L372">
        <f xml:space="preserve"> $AC$3/I372 + $AC$6/A372 * Performance!$E$12 + Performance!$E$23/Constraints!$AC$6 * Constraints!A372</f>
        <v>0.8841938868655459</v>
      </c>
      <c r="M372">
        <f>SIN($AC$9 * PI()/180) + 1/Performance!$AE$5</f>
        <v>0.24073077270730886</v>
      </c>
      <c r="N372">
        <f>SIN($AC$9 * PI()/180) + 1/Performance!$AE$8</f>
        <v>0.22738716112204788</v>
      </c>
      <c r="O372" s="60">
        <f>$AC$16 * (Performance!$E$12/Constraints!A372 + Performance!$E$23 * (Constraints!$AC$13/Constraints!$AC$17)^2 * Constraints!A372)</f>
        <v>2.1647983902267336E-4</v>
      </c>
      <c r="P372" t="e">
        <f t="shared" si="23"/>
        <v>#VALUE!</v>
      </c>
      <c r="Q372">
        <f t="shared" si="24"/>
        <v>73.854220748678074</v>
      </c>
      <c r="R372">
        <f t="shared" si="25"/>
        <v>81.724667502929279</v>
      </c>
      <c r="S372" t="e">
        <f xml:space="preserve"> 1.667/G372 + P372/A372 * Performance!$E$12 + Performance!$E$23 / Constraints!P372 * Constraints!A372</f>
        <v>#VALUE!</v>
      </c>
      <c r="T372">
        <f xml:space="preserve"> 1.667/H372 + Q372/A372 * Performance!$E$12 + Performance!$E$23 / Constraints!Q372 * Constraints!A372</f>
        <v>0.20530909208657558</v>
      </c>
      <c r="U372">
        <f xml:space="preserve"> 1.667/I372 + R372/A372 * Performance!$E$12 + Performance!$E$23 / Constraints!R372 * Constraints!A372</f>
        <v>0.19263158850853679</v>
      </c>
    </row>
    <row r="373" spans="1:21" x14ac:dyDescent="0.3">
      <c r="A373" s="51">
        <v>185.5</v>
      </c>
      <c r="B373" s="50">
        <f>$V$4*Performance!$E$12*(1/A373)+Performance!$E$23*(1/Constraints!$V$4)*Constraints!A373</f>
        <v>0.16044562480487845</v>
      </c>
      <c r="C373" s="50">
        <f>$V$5*Performance!$E$12*(1/A373)+Performance!$E$23*(1/Constraints!$V$5)*Constraints!A373</f>
        <v>0.24370710144754851</v>
      </c>
      <c r="D373" s="52">
        <f t="shared" si="22"/>
        <v>0.34959299925795645</v>
      </c>
      <c r="E373" s="52">
        <f>$V$4*Performance!$E$12*(1/A373)+Performance!$E$23*(1/Constraints!$V$9)*Constraints!A373</f>
        <v>0.1596078770935046</v>
      </c>
      <c r="F373" s="52">
        <f xml:space="preserve"> 1.21 / (9.81 * Constraints!$N$7 * Performance!$E$15 * Constraints!$N$5 ) * Constraints!A373 + 0.605 /Performance!$E$15 * (Performance!$E$16  - Constraints!$N$6 * Performance!$E$14) + Constraints!$N$6</f>
        <v>0.34949002474291269</v>
      </c>
      <c r="G373" s="54" t="s">
        <v>198</v>
      </c>
      <c r="H373" s="55">
        <f>SQRT(2/$V$3 * A373 * SQRT(Performance!$E$23 / (3 * Performance!$E$12)))</f>
        <v>16.793926229101185</v>
      </c>
      <c r="I373" s="55">
        <f>SQRT(2/$V$3 * A373 * (SQRT(Performance!$E$23)/(SQRT(3*Performance!$E$12 + 4* Performance!$E$23 * Performance!$E$11^2) - SQRT(Performance!$E$23)*Performance!$E$11)))</f>
        <v>17.66611943357179</v>
      </c>
      <c r="J373" t="e">
        <f xml:space="preserve"> $AC$3/G373 + $AC$6/A373 * Performance!$E$12 + Performance!$E$23/Constraints!$AC$6 * Constraints!A373</f>
        <v>#VALUE!</v>
      </c>
      <c r="K373">
        <f xml:space="preserve"> $AC$3/H373 + $AC$6/A373 * Performance!$E$12 + Performance!$E$23/Constraints!$AC$6 * Constraints!A373</f>
        <v>0.9003410630352755</v>
      </c>
      <c r="L373">
        <f xml:space="preserve"> $AC$3/I373 + $AC$6/A373 * Performance!$E$12 + Performance!$E$23/Constraints!$AC$6 * Constraints!A373</f>
        <v>0.88540682711952312</v>
      </c>
      <c r="M373">
        <f>SIN($AC$9 * PI()/180) + 1/Performance!$AE$5</f>
        <v>0.24073077270730886</v>
      </c>
      <c r="N373">
        <f>SIN($AC$9 * PI()/180) + 1/Performance!$AE$8</f>
        <v>0.22738716112204788</v>
      </c>
      <c r="O373" s="60">
        <f>$AC$16 * (Performance!$E$12/Constraints!A373 + Performance!$E$23 * (Constraints!$AC$13/Constraints!$AC$17)^2 * Constraints!A373)</f>
        <v>2.1634789688275346E-4</v>
      </c>
      <c r="P373" t="e">
        <f t="shared" si="23"/>
        <v>#VALUE!</v>
      </c>
      <c r="Q373">
        <f t="shared" si="24"/>
        <v>74.05382675070156</v>
      </c>
      <c r="R373">
        <f t="shared" si="25"/>
        <v>81.945544982666917</v>
      </c>
      <c r="S373" t="e">
        <f xml:space="preserve"> 1.667/G373 + P373/A373 * Performance!$E$12 + Performance!$E$23 / Constraints!P373 * Constraints!A373</f>
        <v>#VALUE!</v>
      </c>
      <c r="T373">
        <f xml:space="preserve"> 1.667/H373 + Q373/A373 * Performance!$E$12 + Performance!$E$23 / Constraints!Q373 * Constraints!A373</f>
        <v>0.20517504465603484</v>
      </c>
      <c r="U373">
        <f xml:space="preserve"> 1.667/I373 + R373/A373 * Performance!$E$12 + Performance!$E$23 / Constraints!R373 * Constraints!A373</f>
        <v>0.19250415912778535</v>
      </c>
    </row>
    <row r="374" spans="1:21" x14ac:dyDescent="0.3">
      <c r="A374" s="51">
        <v>186</v>
      </c>
      <c r="B374" s="50">
        <f>$V$4*Performance!$E$12*(1/A374)+Performance!$E$23*(1/Constraints!$V$4)*Constraints!A374</f>
        <v>0.16005388009617025</v>
      </c>
      <c r="C374" s="50">
        <f>$V$5*Performance!$E$12*(1/A374)+Performance!$E$23*(1/Constraints!$V$5)*Constraints!A374</f>
        <v>0.24307731642582667</v>
      </c>
      <c r="D374" s="52">
        <f t="shared" si="22"/>
        <v>0.34986528497024205</v>
      </c>
      <c r="E374" s="52">
        <f>$V$4*Performance!$E$12*(1/A374)+Performance!$E$23*(1/Constraints!$V$9)*Constraints!A374</f>
        <v>0.15921387430471184</v>
      </c>
      <c r="F374" s="52">
        <f xml:space="preserve"> 1.21 / (9.81 * Constraints!$N$7 * Performance!$E$15 * Constraints!$N$5 ) * Constraints!A374 + 0.605 /Performance!$E$15 * (Performance!$E$16  - Constraints!$N$6 * Performance!$E$14) + Constraints!$N$6</f>
        <v>0.3497620328958585</v>
      </c>
      <c r="G374" s="54" t="s">
        <v>198</v>
      </c>
      <c r="H374" s="55">
        <f>SQRT(2/$V$3 * A374 * SQRT(Performance!$E$23 / (3 * Performance!$E$12)))</f>
        <v>16.816544321814312</v>
      </c>
      <c r="I374" s="55">
        <f>SQRT(2/$V$3 * A374 * (SQRT(Performance!$E$23)/(SQRT(3*Performance!$E$12 + 4* Performance!$E$23 * Performance!$E$11^2) - SQRT(Performance!$E$23)*Performance!$E$11)))</f>
        <v>17.689912197799693</v>
      </c>
      <c r="J374" t="e">
        <f xml:space="preserve"> $AC$3/G374 + $AC$6/A374 * Performance!$E$12 + Performance!$E$23/Constraints!$AC$6 * Constraints!A374</f>
        <v>#VALUE!</v>
      </c>
      <c r="K374">
        <f xml:space="preserve"> $AC$3/H374 + $AC$6/A374 * Performance!$E$12 + Performance!$E$23/Constraints!$AC$6 * Constraints!A374</f>
        <v>0.9015355112027279</v>
      </c>
      <c r="L374">
        <f xml:space="preserve"> $AC$3/I374 + $AC$6/A374 * Performance!$E$12 + Performance!$E$23/Constraints!$AC$6 * Constraints!A374</f>
        <v>0.88662136169272432</v>
      </c>
      <c r="M374">
        <f>SIN($AC$9 * PI()/180) + 1/Performance!$AE$5</f>
        <v>0.24073077270730886</v>
      </c>
      <c r="N374">
        <f>SIN($AC$9 * PI()/180) + 1/Performance!$AE$8</f>
        <v>0.22738716112204788</v>
      </c>
      <c r="O374" s="60">
        <f>$AC$16 * (Performance!$E$12/Constraints!A374 + Performance!$E$23 * (Constraints!$AC$13/Constraints!$AC$17)^2 * Constraints!A374)</f>
        <v>2.1621787962225253E-4</v>
      </c>
      <c r="P374" t="e">
        <f t="shared" si="23"/>
        <v>#VALUE!</v>
      </c>
      <c r="Q374">
        <f t="shared" si="24"/>
        <v>74.253432752724976</v>
      </c>
      <c r="R374">
        <f t="shared" si="25"/>
        <v>82.166422462404597</v>
      </c>
      <c r="S374" t="e">
        <f xml:space="preserve"> 1.667/G374 + P374/A374 * Performance!$E$12 + Performance!$E$23 / Constraints!P374 * Constraints!A374</f>
        <v>#VALUE!</v>
      </c>
      <c r="T374">
        <f xml:space="preserve"> 1.667/H374 + Q374/A374 * Performance!$E$12 + Performance!$E$23 / Constraints!Q374 * Constraints!A374</f>
        <v>0.20504153810322834</v>
      </c>
      <c r="U374">
        <f xml:space="preserve"> 1.667/I374 + R374/A374 * Performance!$E$12 + Performance!$E$23 / Constraints!R374 * Constraints!A374</f>
        <v>0.19237724392111721</v>
      </c>
    </row>
    <row r="375" spans="1:21" x14ac:dyDescent="0.3">
      <c r="A375" s="51">
        <v>186.5</v>
      </c>
      <c r="B375" s="50">
        <f>$V$4*Performance!$E$12*(1/A375)+Performance!$E$23*(1/Constraints!$V$4)*Constraints!A375</f>
        <v>0.15966434209898034</v>
      </c>
      <c r="C375" s="50">
        <f>$V$5*Performance!$E$12*(1/A375)+Performance!$E$23*(1/Constraints!$V$5)*Constraints!A375</f>
        <v>0.24245097629886528</v>
      </c>
      <c r="D375" s="52">
        <f t="shared" si="22"/>
        <v>0.35013757068252765</v>
      </c>
      <c r="E375" s="52">
        <f>$V$4*Performance!$E$12*(1/A375)+Performance!$E$23*(1/Constraints!$V$9)*Constraints!A375</f>
        <v>0.15882207822743735</v>
      </c>
      <c r="F375" s="52">
        <f xml:space="preserve"> 1.21 / (9.81 * Constraints!$N$7 * Performance!$E$15 * Constraints!$N$5 ) * Constraints!A375 + 0.605 /Performance!$E$15 * (Performance!$E$16  - Constraints!$N$6 * Performance!$E$14) + Constraints!$N$6</f>
        <v>0.35003404104880437</v>
      </c>
      <c r="G375" s="54" t="s">
        <v>198</v>
      </c>
      <c r="H375" s="55">
        <f>SQRT(2/$V$3 * A375 * SQRT(Performance!$E$23 / (3 * Performance!$E$12)))</f>
        <v>16.83913203424089</v>
      </c>
      <c r="I375" s="55">
        <f>SQRT(2/$V$3 * A375 * (SQRT(Performance!$E$23)/(SQRT(3*Performance!$E$12 + 4* Performance!$E$23 * Performance!$E$11^2) - SQRT(Performance!$E$23)*Performance!$E$11)))</f>
        <v>17.713673003939689</v>
      </c>
      <c r="J375" t="e">
        <f xml:space="preserve"> $AC$3/G375 + $AC$6/A375 * Performance!$E$12 + Performance!$E$23/Constraints!$AC$6 * Constraints!A375</f>
        <v>#VALUE!</v>
      </c>
      <c r="K375">
        <f xml:space="preserve"> $AC$3/H375 + $AC$6/A375 * Performance!$E$12 + Performance!$E$23/Constraints!$AC$6 * Constraints!A375</f>
        <v>0.9027316237904619</v>
      </c>
      <c r="L375">
        <f xml:space="preserve"> $AC$3/I375 + $AC$6/A375 * Performance!$E$12 + Performance!$E$23/Constraints!$AC$6 * Constraints!A375</f>
        <v>0.88783747985553974</v>
      </c>
      <c r="M375">
        <f>SIN($AC$9 * PI()/180) + 1/Performance!$AE$5</f>
        <v>0.24073077270730886</v>
      </c>
      <c r="N375">
        <f>SIN($AC$9 * PI()/180) + 1/Performance!$AE$8</f>
        <v>0.22738716112204788</v>
      </c>
      <c r="O375" s="60">
        <f>$AC$16 * (Performance!$E$12/Constraints!A375 + Performance!$E$23 * (Constraints!$AC$13/Constraints!$AC$17)^2 * Constraints!A375)</f>
        <v>2.1608977175956658E-4</v>
      </c>
      <c r="P375" t="e">
        <f t="shared" si="23"/>
        <v>#VALUE!</v>
      </c>
      <c r="Q375">
        <f t="shared" si="24"/>
        <v>74.453038754748434</v>
      </c>
      <c r="R375">
        <f t="shared" si="25"/>
        <v>82.387299942142235</v>
      </c>
      <c r="S375" t="e">
        <f xml:space="preserve"> 1.667/G375 + P375/A375 * Performance!$E$12 + Performance!$E$23 / Constraints!P375 * Constraints!A375</f>
        <v>#VALUE!</v>
      </c>
      <c r="T375">
        <f xml:space="preserve"> 1.667/H375 + Q375/A375 * Performance!$E$12 + Performance!$E$23 / Constraints!Q375 * Constraints!A375</f>
        <v>0.2049085688005349</v>
      </c>
      <c r="U375">
        <f xml:space="preserve"> 1.667/I375 + R375/A375 * Performance!$E$12 + Performance!$E$23 / Constraints!R375 * Constraints!A375</f>
        <v>0.19225083944001059</v>
      </c>
    </row>
    <row r="376" spans="1:21" x14ac:dyDescent="0.3">
      <c r="A376" s="51">
        <v>187</v>
      </c>
      <c r="B376" s="50">
        <f>$V$4*Performance!$E$12*(1/A376)+Performance!$E$23*(1/Constraints!$V$4)*Constraints!A376</f>
        <v>0.15927699311241419</v>
      </c>
      <c r="C376" s="50">
        <f>$V$5*Performance!$E$12*(1/A376)+Performance!$E$23*(1/Constraints!$V$5)*Constraints!A376</f>
        <v>0.24182805343381861</v>
      </c>
      <c r="D376" s="52">
        <f t="shared" si="22"/>
        <v>0.3504098563948132</v>
      </c>
      <c r="E376" s="52">
        <f>$V$4*Performance!$E$12*(1/A376)+Performance!$E$23*(1/Constraints!$V$9)*Constraints!A376</f>
        <v>0.15843247116078665</v>
      </c>
      <c r="F376" s="52">
        <f xml:space="preserve"> 1.21 / (9.81 * Constraints!$N$7 * Performance!$E$15 * Constraints!$N$5 ) * Constraints!A376 + 0.605 /Performance!$E$15 * (Performance!$E$16  - Constraints!$N$6 * Performance!$E$14) + Constraints!$N$6</f>
        <v>0.35030604920175024</v>
      </c>
      <c r="G376" s="54" t="s">
        <v>198</v>
      </c>
      <c r="H376" s="55">
        <f>SQRT(2/$V$3 * A376 * SQRT(Performance!$E$23 / (3 * Performance!$E$12)))</f>
        <v>16.861689488472095</v>
      </c>
      <c r="I376" s="55">
        <f>SQRT(2/$V$3 * A376 * (SQRT(Performance!$E$23)/(SQRT(3*Performance!$E$12 + 4* Performance!$E$23 * Performance!$E$11^2) - SQRT(Performance!$E$23)*Performance!$E$11)))</f>
        <v>17.737401980423769</v>
      </c>
      <c r="J376" t="e">
        <f xml:space="preserve"> $AC$3/G376 + $AC$6/A376 * Performance!$E$12 + Performance!$E$23/Constraints!$AC$6 * Constraints!A376</f>
        <v>#VALUE!</v>
      </c>
      <c r="K376">
        <f xml:space="preserve"> $AC$3/H376 + $AC$6/A376 * Performance!$E$12 + Performance!$E$23/Constraints!$AC$6 * Constraints!A376</f>
        <v>0.90392938962896507</v>
      </c>
      <c r="L376">
        <f xml:space="preserve"> $AC$3/I376 + $AC$6/A376 * Performance!$E$12 + Performance!$E$23/Constraints!$AC$6 * Constraints!A376</f>
        <v>0.88905517097913123</v>
      </c>
      <c r="M376">
        <f>SIN($AC$9 * PI()/180) + 1/Performance!$AE$5</f>
        <v>0.24073077270730886</v>
      </c>
      <c r="N376">
        <f>SIN($AC$9 * PI()/180) + 1/Performance!$AE$8</f>
        <v>0.22738716112204788</v>
      </c>
      <c r="O376" s="60">
        <f>$AC$16 * (Performance!$E$12/Constraints!A376 + Performance!$E$23 * (Constraints!$AC$13/Constraints!$AC$17)^2 * Constraints!A376)</f>
        <v>2.1596355797867044E-4</v>
      </c>
      <c r="P376" t="e">
        <f t="shared" si="23"/>
        <v>#VALUE!</v>
      </c>
      <c r="Q376">
        <f t="shared" si="24"/>
        <v>74.652644756771906</v>
      </c>
      <c r="R376">
        <f t="shared" si="25"/>
        <v>82.608177421879859</v>
      </c>
      <c r="S376" t="e">
        <f xml:space="preserve"> 1.667/G376 + P376/A376 * Performance!$E$12 + Performance!$E$23 / Constraints!P376 * Constraints!A376</f>
        <v>#VALUE!</v>
      </c>
      <c r="T376">
        <f xml:space="preserve"> 1.667/H376 + Q376/A376 * Performance!$E$12 + Performance!$E$23 / Constraints!Q376 * Constraints!A376</f>
        <v>0.20477613315430448</v>
      </c>
      <c r="U376">
        <f xml:space="preserve"> 1.667/I376 + R376/A376 * Performance!$E$12 + Performance!$E$23 / Constraints!R376 * Constraints!A376</f>
        <v>0.19212494226823729</v>
      </c>
    </row>
    <row r="377" spans="1:21" x14ac:dyDescent="0.3">
      <c r="A377" s="51">
        <v>187.5</v>
      </c>
      <c r="B377" s="50">
        <f>$V$4*Performance!$E$12*(1/A377)+Performance!$E$23*(1/Constraints!$V$4)*Constraints!A377</f>
        <v>0.15889181562438681</v>
      </c>
      <c r="C377" s="50">
        <f>$V$5*Performance!$E$12*(1/A377)+Performance!$E$23*(1/Constraints!$V$5)*Constraints!A377</f>
        <v>0.24120852049259145</v>
      </c>
      <c r="D377" s="52">
        <f t="shared" si="22"/>
        <v>0.3506821421070988</v>
      </c>
      <c r="E377" s="52">
        <f>$V$4*Performance!$E$12*(1/A377)+Performance!$E$23*(1/Constraints!$V$9)*Constraints!A377</f>
        <v>0.15804503559267472</v>
      </c>
      <c r="F377" s="52">
        <f xml:space="preserve"> 1.21 / (9.81 * Constraints!$N$7 * Performance!$E$15 * Constraints!$N$5 ) * Constraints!A377 + 0.605 /Performance!$E$15 * (Performance!$E$16  - Constraints!$N$6 * Performance!$E$14) + Constraints!$N$6</f>
        <v>0.3505780573546961</v>
      </c>
      <c r="G377" s="54" t="s">
        <v>198</v>
      </c>
      <c r="H377" s="55">
        <f>SQRT(2/$V$3 * A377 * SQRT(Performance!$E$23 / (3 * Performance!$E$12)))</f>
        <v>16.884216805783527</v>
      </c>
      <c r="I377" s="55">
        <f>SQRT(2/$V$3 * A377 * (SQRT(Performance!$E$23)/(SQRT(3*Performance!$E$12 + 4* Performance!$E$23 * Performance!$E$11^2) - SQRT(Performance!$E$23)*Performance!$E$11)))</f>
        <v>17.761099254825996</v>
      </c>
      <c r="J377" t="e">
        <f xml:space="preserve"> $AC$3/G377 + $AC$6/A377 * Performance!$E$12 + Performance!$E$23/Constraints!$AC$6 * Constraints!A377</f>
        <v>#VALUE!</v>
      </c>
      <c r="K377">
        <f xml:space="preserve"> $AC$3/H377 + $AC$6/A377 * Performance!$E$12 + Performance!$E$23/Constraints!$AC$6 * Constraints!A377</f>
        <v>0.90512879765333398</v>
      </c>
      <c r="L377">
        <f xml:space="preserve"> $AC$3/I377 + $AC$6/A377 * Performance!$E$12 + Performance!$E$23/Constraints!$AC$6 * Constraints!A377</f>
        <v>0.89027442453421901</v>
      </c>
      <c r="M377">
        <f>SIN($AC$9 * PI()/180) + 1/Performance!$AE$5</f>
        <v>0.24073077270730886</v>
      </c>
      <c r="N377">
        <f>SIN($AC$9 * PI()/180) + 1/Performance!$AE$8</f>
        <v>0.22738716112204788</v>
      </c>
      <c r="O377" s="60">
        <f>$AC$16 * (Performance!$E$12/Constraints!A377 + Performance!$E$23 * (Constraints!$AC$13/Constraints!$AC$17)^2 * Constraints!A377)</f>
        <v>2.1583922312690967E-4</v>
      </c>
      <c r="P377" t="e">
        <f t="shared" si="23"/>
        <v>#VALUE!</v>
      </c>
      <c r="Q377">
        <f t="shared" si="24"/>
        <v>74.852250758795364</v>
      </c>
      <c r="R377">
        <f t="shared" si="25"/>
        <v>82.829054901617525</v>
      </c>
      <c r="S377" t="e">
        <f xml:space="preserve"> 1.667/G377 + P377/A377 * Performance!$E$12 + Performance!$E$23 / Constraints!P377 * Constraints!A377</f>
        <v>#VALUE!</v>
      </c>
      <c r="T377">
        <f xml:space="preserve"> 1.667/H377 + Q377/A377 * Performance!$E$12 + Performance!$E$23 / Constraints!Q377 * Constraints!A377</f>
        <v>0.20464422760445031</v>
      </c>
      <c r="U377">
        <f xml:space="preserve"> 1.667/I377 + R377/A377 * Performance!$E$12 + Performance!$E$23 / Constraints!R377 * Constraints!A377</f>
        <v>0.19199954902147531</v>
      </c>
    </row>
    <row r="378" spans="1:21" x14ac:dyDescent="0.3">
      <c r="A378" s="51">
        <v>188</v>
      </c>
      <c r="B378" s="50">
        <f>$V$4*Performance!$E$12*(1/A378)+Performance!$E$23*(1/Constraints!$V$4)*Constraints!A378</f>
        <v>0.15850879230911205</v>
      </c>
      <c r="C378" s="50">
        <f>$V$5*Performance!$E$12*(1/A378)+Performance!$E$23*(1/Constraints!$V$5)*Constraints!A378</f>
        <v>0.24059235042791921</v>
      </c>
      <c r="D378" s="52">
        <f t="shared" si="22"/>
        <v>0.35095442781938441</v>
      </c>
      <c r="E378" s="52">
        <f>$V$4*Performance!$E$12*(1/A378)+Performance!$E$23*(1/Constraints!$V$9)*Constraints!A378</f>
        <v>0.15765975419731537</v>
      </c>
      <c r="F378" s="52">
        <f xml:space="preserve"> 1.21 / (9.81 * Constraints!$N$7 * Performance!$E$15 * Constraints!$N$5 ) * Constraints!A378 + 0.605 /Performance!$E$15 * (Performance!$E$16  - Constraints!$N$6 * Performance!$E$14) + Constraints!$N$6</f>
        <v>0.35085006550764197</v>
      </c>
      <c r="G378" s="54" t="s">
        <v>198</v>
      </c>
      <c r="H378" s="55">
        <f>SQRT(2/$V$3 * A378 * SQRT(Performance!$E$23 / (3 * Performance!$E$12)))</f>
        <v>16.906714106642823</v>
      </c>
      <c r="I378" s="55">
        <f>SQRT(2/$V$3 * A378 * (SQRT(Performance!$E$23)/(SQRT(3*Performance!$E$12 + 4* Performance!$E$23 * Performance!$E$11^2) - SQRT(Performance!$E$23)*Performance!$E$11)))</f>
        <v>17.784764953870489</v>
      </c>
      <c r="J378" t="e">
        <f xml:space="preserve"> $AC$3/G378 + $AC$6/A378 * Performance!$E$12 + Performance!$E$23/Constraints!$AC$6 * Constraints!A378</f>
        <v>#VALUE!</v>
      </c>
      <c r="K378">
        <f xml:space="preserve"> $AC$3/H378 + $AC$6/A378 * Performance!$E$12 + Performance!$E$23/Constraints!$AC$6 * Constraints!A378</f>
        <v>0.90632983690201707</v>
      </c>
      <c r="L378">
        <f xml:space="preserve"> $AC$3/I378 + $AC$6/A378 * Performance!$E$12 + Performance!$E$23/Constraints!$AC$6 * Constraints!A378</f>
        <v>0.89149523008988685</v>
      </c>
      <c r="M378">
        <f>SIN($AC$9 * PI()/180) + 1/Performance!$AE$5</f>
        <v>0.24073077270730886</v>
      </c>
      <c r="N378">
        <f>SIN($AC$9 * PI()/180) + 1/Performance!$AE$8</f>
        <v>0.22738716112204788</v>
      </c>
      <c r="O378" s="60">
        <f>$AC$16 * (Performance!$E$12/Constraints!A378 + Performance!$E$23 * (Constraints!$AC$13/Constraints!$AC$17)^2 * Constraints!A378)</f>
        <v>2.1571675221282856E-4</v>
      </c>
      <c r="P378" t="e">
        <f t="shared" si="23"/>
        <v>#VALUE!</v>
      </c>
      <c r="Q378">
        <f t="shared" si="24"/>
        <v>75.051856760818822</v>
      </c>
      <c r="R378">
        <f t="shared" si="25"/>
        <v>83.049932381355177</v>
      </c>
      <c r="S378" t="e">
        <f xml:space="preserve"> 1.667/G378 + P378/A378 * Performance!$E$12 + Performance!$E$23 / Constraints!P378 * Constraints!A378</f>
        <v>#VALUE!</v>
      </c>
      <c r="T378">
        <f xml:space="preserve"> 1.667/H378 + Q378/A378 * Performance!$E$12 + Performance!$E$23 / Constraints!Q378 * Constraints!A378</f>
        <v>0.2045128486240467</v>
      </c>
      <c r="U378">
        <f xml:space="preserve"> 1.667/I378 + R378/A378 * Performance!$E$12 + Performance!$E$23 / Constraints!R378 * Constraints!A378</f>
        <v>0.19187465634692677</v>
      </c>
    </row>
    <row r="379" spans="1:21" x14ac:dyDescent="0.3">
      <c r="A379" s="51">
        <v>188.5</v>
      </c>
      <c r="B379" s="50">
        <f>$V$4*Performance!$E$12*(1/A379)+Performance!$E$23*(1/Constraints!$V$4)*Constraints!A379</f>
        <v>0.15812790602463159</v>
      </c>
      <c r="C379" s="50">
        <f>$V$5*Performance!$E$12*(1/A379)+Performance!$E$23*(1/Constraints!$V$5)*Constraints!A379</f>
        <v>0.23997951647951099</v>
      </c>
      <c r="D379" s="52">
        <f t="shared" si="22"/>
        <v>0.35122671353167001</v>
      </c>
      <c r="E379" s="52">
        <f>$V$4*Performance!$E$12*(1/A379)+Performance!$E$23*(1/Constraints!$V$9)*Constraints!A379</f>
        <v>0.15727660983275035</v>
      </c>
      <c r="F379" s="52">
        <f xml:space="preserve"> 1.21 / (9.81 * Constraints!$N$7 * Performance!$E$15 * Constraints!$N$5 ) * Constraints!A379 + 0.605 /Performance!$E$15 * (Performance!$E$16  - Constraints!$N$6 * Performance!$E$14) + Constraints!$N$6</f>
        <v>0.35112207366058779</v>
      </c>
      <c r="G379" s="54" t="s">
        <v>198</v>
      </c>
      <c r="H379" s="55">
        <f>SQRT(2/$V$3 * A379 * SQRT(Performance!$E$23 / (3 * Performance!$E$12)))</f>
        <v>16.929181510717168</v>
      </c>
      <c r="I379" s="55">
        <f>SQRT(2/$V$3 * A379 * (SQRT(Performance!$E$23)/(SQRT(3*Performance!$E$12 + 4* Performance!$E$23 * Performance!$E$11^2) - SQRT(Performance!$E$23)*Performance!$E$11)))</f>
        <v>17.808399203439354</v>
      </c>
      <c r="J379" t="e">
        <f xml:space="preserve"> $AC$3/G379 + $AC$6/A379 * Performance!$E$12 + Performance!$E$23/Constraints!$AC$6 * Constraints!A379</f>
        <v>#VALUE!</v>
      </c>
      <c r="K379">
        <f xml:space="preserve"> $AC$3/H379 + $AC$6/A379 * Performance!$E$12 + Performance!$E$23/Constraints!$AC$6 * Constraints!A379</f>
        <v>0.9075324965155771</v>
      </c>
      <c r="L379">
        <f xml:space="preserve"> $AC$3/I379 + $AC$6/A379 * Performance!$E$12 + Performance!$E$23/Constraints!$AC$6 * Constraints!A379</f>
        <v>0.8927175773124032</v>
      </c>
      <c r="M379">
        <f>SIN($AC$9 * PI()/180) + 1/Performance!$AE$5</f>
        <v>0.24073077270730886</v>
      </c>
      <c r="N379">
        <f>SIN($AC$9 * PI()/180) + 1/Performance!$AE$8</f>
        <v>0.22738716112204788</v>
      </c>
      <c r="O379" s="60">
        <f>$AC$16 * (Performance!$E$12/Constraints!A379 + Performance!$E$23 * (Constraints!$AC$13/Constraints!$AC$17)^2 * Constraints!A379)</f>
        <v>2.1559613040403168E-4</v>
      </c>
      <c r="P379" t="e">
        <f t="shared" si="23"/>
        <v>#VALUE!</v>
      </c>
      <c r="Q379">
        <f t="shared" si="24"/>
        <v>75.25146276284228</v>
      </c>
      <c r="R379">
        <f t="shared" si="25"/>
        <v>83.270809861092829</v>
      </c>
      <c r="S379" t="e">
        <f xml:space="preserve"> 1.667/G379 + P379/A379 * Performance!$E$12 + Performance!$E$23 / Constraints!P379 * Constraints!A379</f>
        <v>#VALUE!</v>
      </c>
      <c r="T379">
        <f xml:space="preserve"> 1.667/H379 + Q379/A379 * Performance!$E$12 + Performance!$E$23 / Constraints!Q379 * Constraints!A379</f>
        <v>0.20438199271893312</v>
      </c>
      <c r="U379">
        <f xml:space="preserve"> 1.667/I379 + R379/A379 * Performance!$E$12 + Performance!$E$23 / Constraints!R379 * Constraints!A379</f>
        <v>0.19175026092294117</v>
      </c>
    </row>
    <row r="380" spans="1:21" x14ac:dyDescent="0.3">
      <c r="A380" s="51">
        <v>189</v>
      </c>
      <c r="B380" s="50">
        <f>$V$4*Performance!$E$12*(1/A380)+Performance!$E$23*(1/Constraints!$V$4)*Constraints!A380</f>
        <v>0.15774913981038358</v>
      </c>
      <c r="C380" s="50">
        <f>$V$5*Performance!$E$12*(1/A380)+Performance!$E$23*(1/Constraints!$V$5)*Constraints!A380</f>
        <v>0.23936999217025362</v>
      </c>
      <c r="D380" s="52">
        <f t="shared" si="22"/>
        <v>0.35149899924395561</v>
      </c>
      <c r="E380" s="52">
        <f>$V$4*Performance!$E$12*(1/A380)+Performance!$E$23*(1/Constraints!$V$9)*Constraints!A380</f>
        <v>0.15689558553841779</v>
      </c>
      <c r="F380" s="52">
        <f xml:space="preserve"> 1.21 / (9.81 * Constraints!$N$7 * Performance!$E$15 * Constraints!$N$5 ) * Constraints!A380 + 0.605 /Performance!$E$15 * (Performance!$E$16  - Constraints!$N$6 * Performance!$E$14) + Constraints!$N$6</f>
        <v>0.35139408181353365</v>
      </c>
      <c r="G380" s="54" t="s">
        <v>198</v>
      </c>
      <c r="H380" s="55">
        <f>SQRT(2/$V$3 * A380 * SQRT(Performance!$E$23 / (3 * Performance!$E$12)))</f>
        <v>16.951619136880716</v>
      </c>
      <c r="I380" s="55">
        <f>SQRT(2/$V$3 * A380 * (SQRT(Performance!$E$23)/(SQRT(3*Performance!$E$12 + 4* Performance!$E$23 * Performance!$E$11^2) - SQRT(Performance!$E$23)*Performance!$E$11)))</f>
        <v>17.832002128580481</v>
      </c>
      <c r="J380" t="e">
        <f xml:space="preserve"> $AC$3/G380 + $AC$6/A380 * Performance!$E$12 + Performance!$E$23/Constraints!$AC$6 * Constraints!A380</f>
        <v>#VALUE!</v>
      </c>
      <c r="K380">
        <f xml:space="preserve"> $AC$3/H380 + $AC$6/A380 * Performance!$E$12 + Performance!$E$23/Constraints!$AC$6 * Constraints!A380</f>
        <v>0.90873676573547257</v>
      </c>
      <c r="L380">
        <f xml:space="preserve"> $AC$3/I380 + $AC$6/A380 * Performance!$E$12 + Performance!$E$23/Constraints!$AC$6 * Constraints!A380</f>
        <v>0.89394145596406083</v>
      </c>
      <c r="M380">
        <f>SIN($AC$9 * PI()/180) + 1/Performance!$AE$5</f>
        <v>0.24073077270730886</v>
      </c>
      <c r="N380">
        <f>SIN($AC$9 * PI()/180) + 1/Performance!$AE$8</f>
        <v>0.22738716112204788</v>
      </c>
      <c r="O380" s="60">
        <f>$AC$16 * (Performance!$E$12/Constraints!A380 + Performance!$E$23 * (Constraints!$AC$13/Constraints!$AC$17)^2 * Constraints!A380)</f>
        <v>2.1547734302508029E-4</v>
      </c>
      <c r="P380" t="e">
        <f t="shared" si="23"/>
        <v>#VALUE!</v>
      </c>
      <c r="Q380">
        <f t="shared" si="24"/>
        <v>75.451068764865724</v>
      </c>
      <c r="R380">
        <f t="shared" si="25"/>
        <v>83.491687340830467</v>
      </c>
      <c r="S380" t="e">
        <f xml:space="preserve"> 1.667/G380 + P380/A380 * Performance!$E$12 + Performance!$E$23 / Constraints!P380 * Constraints!A380</f>
        <v>#VALUE!</v>
      </c>
      <c r="T380">
        <f xml:space="preserve"> 1.667/H380 + Q380/A380 * Performance!$E$12 + Performance!$E$23 / Constraints!Q380 * Constraints!A380</f>
        <v>0.20425165642732385</v>
      </c>
      <c r="U380">
        <f xml:space="preserve"> 1.667/I380 + R380/A380 * Performance!$E$12 + Performance!$E$23 / Constraints!R380 * Constraints!A380</f>
        <v>0.19162635945864442</v>
      </c>
    </row>
    <row r="381" spans="1:21" x14ac:dyDescent="0.3">
      <c r="A381" s="51">
        <v>189.5</v>
      </c>
      <c r="B381" s="50">
        <f>$V$4*Performance!$E$12*(1/A381)+Performance!$E$23*(1/Constraints!$V$4)*Constraints!A381</f>
        <v>0.15737247688480949</v>
      </c>
      <c r="C381" s="50">
        <f>$V$5*Performance!$E$12*(1/A381)+Performance!$E$23*(1/Constraints!$V$5)*Constraints!A381</f>
        <v>0.23876375130247568</v>
      </c>
      <c r="D381" s="52">
        <f t="shared" si="22"/>
        <v>0.35177128495624121</v>
      </c>
      <c r="E381" s="52">
        <f>$V$4*Performance!$E$12*(1/A381)+Performance!$E$23*(1/Constraints!$V$9)*Constraints!A381</f>
        <v>0.15651666453275911</v>
      </c>
      <c r="F381" s="52">
        <f xml:space="preserve"> 1.21 / (9.81 * Constraints!$N$7 * Performance!$E$15 * Constraints!$N$5 ) * Constraints!A381 + 0.605 /Performance!$E$15 * (Performance!$E$16  - Constraints!$N$6 * Performance!$E$14) + Constraints!$N$6</f>
        <v>0.35166608996647952</v>
      </c>
      <c r="G381" s="54" t="s">
        <v>198</v>
      </c>
      <c r="H381" s="55">
        <f>SQRT(2/$V$3 * A381 * SQRT(Performance!$E$23 / (3 * Performance!$E$12)))</f>
        <v>16.974027103221943</v>
      </c>
      <c r="I381" s="55">
        <f>SQRT(2/$V$3 * A381 * (SQRT(Performance!$E$23)/(SQRT(3*Performance!$E$12 + 4* Performance!$E$23 * Performance!$E$11^2) - SQRT(Performance!$E$23)*Performance!$E$11)))</f>
        <v>17.855573853515271</v>
      </c>
      <c r="J381" t="e">
        <f xml:space="preserve"> $AC$3/G381 + $AC$6/A381 * Performance!$E$12 + Performance!$E$23/Constraints!$AC$6 * Constraints!A381</f>
        <v>#VALUE!</v>
      </c>
      <c r="K381">
        <f xml:space="preserve"> $AC$3/H381 + $AC$6/A381 * Performance!$E$12 + Performance!$E$23/Constraints!$AC$6 * Constraints!A381</f>
        <v>0.90994263390285535</v>
      </c>
      <c r="L381">
        <f xml:space="preserve"> $AC$3/I381 + $AC$6/A381 * Performance!$E$12 + Performance!$E$23/Constraints!$AC$6 * Constraints!A381</f>
        <v>0.8951668559020336</v>
      </c>
      <c r="M381">
        <f>SIN($AC$9 * PI()/180) + 1/Performance!$AE$5</f>
        <v>0.24073077270730886</v>
      </c>
      <c r="N381">
        <f>SIN($AC$9 * PI()/180) + 1/Performance!$AE$8</f>
        <v>0.22738716112204788</v>
      </c>
      <c r="O381" s="60">
        <f>$AC$16 * (Performance!$E$12/Constraints!A381 + Performance!$E$23 * (Constraints!$AC$13/Constraints!$AC$17)^2 * Constraints!A381)</f>
        <v>2.1536037555542153E-4</v>
      </c>
      <c r="P381" t="e">
        <f t="shared" si="23"/>
        <v>#VALUE!</v>
      </c>
      <c r="Q381">
        <f t="shared" si="24"/>
        <v>75.650674766889182</v>
      </c>
      <c r="R381">
        <f t="shared" si="25"/>
        <v>83.71256482056809</v>
      </c>
      <c r="S381" t="e">
        <f xml:space="preserve"> 1.667/G381 + P381/A381 * Performance!$E$12 + Performance!$E$23 / Constraints!P381 * Constraints!A381</f>
        <v>#VALUE!</v>
      </c>
      <c r="T381">
        <f xml:space="preserve"> 1.667/H381 + Q381/A381 * Performance!$E$12 + Performance!$E$23 / Constraints!Q381 * Constraints!A381</f>
        <v>0.20412183631942321</v>
      </c>
      <c r="U381">
        <f xml:space="preserve"> 1.667/I381 + R381/A381 * Performance!$E$12 + Performance!$E$23 / Constraints!R381 * Constraints!A381</f>
        <v>0.19150294869357321</v>
      </c>
    </row>
    <row r="382" spans="1:21" x14ac:dyDescent="0.3">
      <c r="A382" s="51">
        <v>190</v>
      </c>
      <c r="B382" s="50">
        <f>$V$4*Performance!$E$12*(1/A382)+Performance!$E$23*(1/Constraints!$V$4)*Constraints!A382</f>
        <v>0.15699790064299871</v>
      </c>
      <c r="C382" s="50">
        <f>$V$5*Performance!$E$12*(1/A382)+Performance!$E$23*(1/Constraints!$V$5)*Constraints!A382</f>
        <v>0.23816076795427082</v>
      </c>
      <c r="D382" s="52">
        <f t="shared" si="22"/>
        <v>0.35204357066852682</v>
      </c>
      <c r="E382" s="52">
        <f>$V$4*Performance!$E$12*(1/A382)+Performance!$E$23*(1/Constraints!$V$9)*Constraints!A382</f>
        <v>0.15613983021086378</v>
      </c>
      <c r="F382" s="52">
        <f xml:space="preserve"> 1.21 / (9.81 * Constraints!$N$7 * Performance!$E$15 * Constraints!$N$5 ) * Constraints!A382 + 0.605 /Performance!$E$15 * (Performance!$E$16  - Constraints!$N$6 * Performance!$E$14) + Constraints!$N$6</f>
        <v>0.35193809811942539</v>
      </c>
      <c r="G382" s="54" t="s">
        <v>198</v>
      </c>
      <c r="H382" s="55">
        <f>SQRT(2/$V$3 * A382 * SQRT(Performance!$E$23 / (3 * Performance!$E$12)))</f>
        <v>16.996405527050875</v>
      </c>
      <c r="I382" s="55">
        <f>SQRT(2/$V$3 * A382 * (SQRT(Performance!$E$23)/(SQRT(3*Performance!$E$12 + 4* Performance!$E$23 * Performance!$E$11^2) - SQRT(Performance!$E$23)*Performance!$E$11)))</f>
        <v>17.87911450164626</v>
      </c>
      <c r="J382" t="e">
        <f xml:space="preserve"> $AC$3/G382 + $AC$6/A382 * Performance!$E$12 + Performance!$E$23/Constraints!$AC$6 * Constraints!A382</f>
        <v>#VALUE!</v>
      </c>
      <c r="K382">
        <f xml:space="preserve"> $AC$3/H382 + $AC$6/A382 * Performance!$E$12 + Performance!$E$23/Constraints!$AC$6 * Constraints!A382</f>
        <v>0.91115009045738726</v>
      </c>
      <c r="L382">
        <f xml:space="preserve"> $AC$3/I382 + $AC$6/A382 * Performance!$E$12 + Performance!$E$23/Constraints!$AC$6 * Constraints!A382</f>
        <v>0.89639376707724838</v>
      </c>
      <c r="M382">
        <f>SIN($AC$9 * PI()/180) + 1/Performance!$AE$5</f>
        <v>0.24073077270730886</v>
      </c>
      <c r="N382">
        <f>SIN($AC$9 * PI()/180) + 1/Performance!$AE$8</f>
        <v>0.22738716112204788</v>
      </c>
      <c r="O382" s="60">
        <f>$AC$16 * (Performance!$E$12/Constraints!A382 + Performance!$E$23 * (Constraints!$AC$13/Constraints!$AC$17)^2 * Constraints!A382)</f>
        <v>2.152452136273504E-4</v>
      </c>
      <c r="P382" t="e">
        <f t="shared" si="23"/>
        <v>#VALUE!</v>
      </c>
      <c r="Q382">
        <f t="shared" si="24"/>
        <v>75.850280768912612</v>
      </c>
      <c r="R382">
        <f t="shared" si="25"/>
        <v>83.933442300305742</v>
      </c>
      <c r="S382" t="e">
        <f xml:space="preserve"> 1.667/G382 + P382/A382 * Performance!$E$12 + Performance!$E$23 / Constraints!P382 * Constraints!A382</f>
        <v>#VALUE!</v>
      </c>
      <c r="T382">
        <f xml:space="preserve"> 1.667/H382 + Q382/A382 * Performance!$E$12 + Performance!$E$23 / Constraints!Q382 * Constraints!A382</f>
        <v>0.20399252899704676</v>
      </c>
      <c r="U382">
        <f xml:space="preserve"> 1.667/I382 + R382/A382 * Performance!$E$12 + Performance!$E$23 / Constraints!R382 * Constraints!A382</f>
        <v>0.19138002539731455</v>
      </c>
    </row>
    <row r="383" spans="1:21" x14ac:dyDescent="0.3">
      <c r="A383" s="51">
        <v>190.5</v>
      </c>
      <c r="B383" s="50">
        <f>$V$4*Performance!$E$12*(1/A383)+Performance!$E$23*(1/Constraints!$V$4)*Constraints!A383</f>
        <v>0.15662539465437042</v>
      </c>
      <c r="C383" s="50">
        <f>$V$5*Performance!$E$12*(1/A383)+Performance!$E$23*(1/Constraints!$V$5)*Constraints!A383</f>
        <v>0.2375610164758786</v>
      </c>
      <c r="D383" s="52">
        <f t="shared" si="22"/>
        <v>0.35231585638081242</v>
      </c>
      <c r="E383" s="52">
        <f>$V$4*Performance!$E$12*(1/A383)+Performance!$E$23*(1/Constraints!$V$9)*Constraints!A383</f>
        <v>0.15576506614215091</v>
      </c>
      <c r="F383" s="52">
        <f xml:space="preserve"> 1.21 / (9.81 * Constraints!$N$7 * Performance!$E$15 * Constraints!$N$5 ) * Constraints!A383 + 0.605 /Performance!$E$15 * (Performance!$E$16  - Constraints!$N$6 * Performance!$E$14) + Constraints!$N$6</f>
        <v>0.3522101062723712</v>
      </c>
      <c r="G383" s="54" t="s">
        <v>198</v>
      </c>
      <c r="H383" s="55">
        <f>SQRT(2/$V$3 * A383 * SQRT(Performance!$E$23 / (3 * Performance!$E$12)))</f>
        <v>17.018754524906285</v>
      </c>
      <c r="I383" s="55">
        <f>SQRT(2/$V$3 * A383 * (SQRT(Performance!$E$23)/(SQRT(3*Performance!$E$12 + 4* Performance!$E$23 * Performance!$E$11^2) - SQRT(Performance!$E$23)*Performance!$E$11)))</f>
        <v>17.902624195564655</v>
      </c>
      <c r="J383" t="e">
        <f xml:space="preserve"> $AC$3/G383 + $AC$6/A383 * Performance!$E$12 + Performance!$E$23/Constraints!$AC$6 * Constraints!A383</f>
        <v>#VALUE!</v>
      </c>
      <c r="K383">
        <f xml:space="preserve"> $AC$3/H383 + $AC$6/A383 * Performance!$E$12 + Performance!$E$23/Constraints!$AC$6 * Constraints!A383</f>
        <v>0.91235912493607141</v>
      </c>
      <c r="L383">
        <f xml:space="preserve"> $AC$3/I383 + $AC$6/A383 * Performance!$E$12 + Performance!$E$23/Constraints!$AC$6 * Constraints!A383</f>
        <v>0.89762217953327483</v>
      </c>
      <c r="M383">
        <f>SIN($AC$9 * PI()/180) + 1/Performance!$AE$5</f>
        <v>0.24073077270730886</v>
      </c>
      <c r="N383">
        <f>SIN($AC$9 * PI()/180) + 1/Performance!$AE$8</f>
        <v>0.22738716112204788</v>
      </c>
      <c r="O383" s="60">
        <f>$AC$16 * (Performance!$E$12/Constraints!A383 + Performance!$E$23 * (Constraints!$AC$13/Constraints!$AC$17)^2 * Constraints!A383)</f>
        <v>2.1513184302400409E-4</v>
      </c>
      <c r="P383" t="e">
        <f t="shared" si="23"/>
        <v>#VALUE!</v>
      </c>
      <c r="Q383">
        <f t="shared" si="24"/>
        <v>76.049886770936098</v>
      </c>
      <c r="R383">
        <f t="shared" si="25"/>
        <v>84.154319780043409</v>
      </c>
      <c r="S383" t="e">
        <f xml:space="preserve"> 1.667/G383 + P383/A383 * Performance!$E$12 + Performance!$E$23 / Constraints!P383 * Constraints!A383</f>
        <v>#VALUE!</v>
      </c>
      <c r="T383">
        <f xml:space="preserve"> 1.667/H383 + Q383/A383 * Performance!$E$12 + Performance!$E$23 / Constraints!Q383 * Constraints!A383</f>
        <v>0.20386373109324729</v>
      </c>
      <c r="U383">
        <f xml:space="preserve"> 1.667/I383 + R383/A383 * Performance!$E$12 + Performance!$E$23 / Constraints!R383 * Constraints!A383</f>
        <v>0.1912575863691508</v>
      </c>
    </row>
    <row r="384" spans="1:21" x14ac:dyDescent="0.3">
      <c r="A384" s="51">
        <v>191</v>
      </c>
      <c r="B384" s="50">
        <f>$V$4*Performance!$E$12*(1/A384)+Performance!$E$23*(1/Constraints!$V$4)*Constraints!A384</f>
        <v>0.15625494266039178</v>
      </c>
      <c r="C384" s="50">
        <f>$V$5*Performance!$E$12*(1/A384)+Performance!$E$23*(1/Constraints!$V$5)*Constraints!A384</f>
        <v>0.23696447148612243</v>
      </c>
      <c r="D384" s="52">
        <f t="shared" si="22"/>
        <v>0.35258814209309802</v>
      </c>
      <c r="E384" s="52">
        <f>$V$4*Performance!$E$12*(1/A384)+Performance!$E$23*(1/Constraints!$V$9)*Constraints!A384</f>
        <v>0.15539235606808771</v>
      </c>
      <c r="F384" s="52">
        <f xml:space="preserve"> 1.21 / (9.81 * Constraints!$N$7 * Performance!$E$15 * Constraints!$N$5 ) * Constraints!A384 + 0.605 /Performance!$E$15 * (Performance!$E$16  - Constraints!$N$6 * Performance!$E$14) + Constraints!$N$6</f>
        <v>0.35248211442531707</v>
      </c>
      <c r="G384" s="54" t="s">
        <v>198</v>
      </c>
      <c r="H384" s="55">
        <f>SQRT(2/$V$3 * A384 * SQRT(Performance!$E$23 / (3 * Performance!$E$12)))</f>
        <v>17.041074212562734</v>
      </c>
      <c r="I384" s="55">
        <f>SQRT(2/$V$3 * A384 * (SQRT(Performance!$E$23)/(SQRT(3*Performance!$E$12 + 4* Performance!$E$23 * Performance!$E$11^2) - SQRT(Performance!$E$23)*Performance!$E$11)))</f>
        <v>17.926103057057784</v>
      </c>
      <c r="J384" t="e">
        <f xml:space="preserve"> $AC$3/G384 + $AC$6/A384 * Performance!$E$12 + Performance!$E$23/Constraints!$AC$6 * Constraints!A384</f>
        <v>#VALUE!</v>
      </c>
      <c r="K384">
        <f xml:space="preserve"> $AC$3/H384 + $AC$6/A384 * Performance!$E$12 + Performance!$E$23/Constraints!$AC$6 * Constraints!A384</f>
        <v>0.91356972697210348</v>
      </c>
      <c r="L384">
        <f xml:space="preserve"> $AC$3/I384 + $AC$6/A384 * Performance!$E$12 + Performance!$E$23/Constraints!$AC$6 * Constraints!A384</f>
        <v>0.89885208340522982</v>
      </c>
      <c r="M384">
        <f>SIN($AC$9 * PI()/180) + 1/Performance!$AE$5</f>
        <v>0.24073077270730886</v>
      </c>
      <c r="N384">
        <f>SIN($AC$9 * PI()/180) + 1/Performance!$AE$8</f>
        <v>0.22738716112204788</v>
      </c>
      <c r="O384" s="60">
        <f>$AC$16 * (Performance!$E$12/Constraints!A384 + Performance!$E$23 * (Constraints!$AC$13/Constraints!$AC$17)^2 * Constraints!A384)</f>
        <v>2.1502024967738736E-4</v>
      </c>
      <c r="P384" t="e">
        <f t="shared" si="23"/>
        <v>#VALUE!</v>
      </c>
      <c r="Q384">
        <f t="shared" si="24"/>
        <v>76.249492772959528</v>
      </c>
      <c r="R384">
        <f t="shared" si="25"/>
        <v>84.375197259781046</v>
      </c>
      <c r="S384" t="e">
        <f xml:space="preserve"> 1.667/G384 + P384/A384 * Performance!$E$12 + Performance!$E$23 / Constraints!P384 * Constraints!A384</f>
        <v>#VALUE!</v>
      </c>
      <c r="T384">
        <f xml:space="preserve"> 1.667/H384 + Q384/A384 * Performance!$E$12 + Performance!$E$23 / Constraints!Q384 * Constraints!A384</f>
        <v>0.20373543927194707</v>
      </c>
      <c r="U384">
        <f xml:space="preserve"> 1.667/I384 + R384/A384 * Performance!$E$12 + Performance!$E$23 / Constraints!R384 * Constraints!A384</f>
        <v>0.19113562843770954</v>
      </c>
    </row>
    <row r="385" spans="1:21" x14ac:dyDescent="0.3">
      <c r="A385" s="51">
        <v>191.5</v>
      </c>
      <c r="B385" s="50">
        <f>$V$4*Performance!$E$12*(1/A385)+Performance!$E$23*(1/Constraints!$V$4)*Constraints!A385</f>
        <v>0.15588652857233187</v>
      </c>
      <c r="C385" s="50">
        <f>$V$5*Performance!$E$12*(1/A385)+Performance!$E$23*(1/Constraints!$V$5)*Constraints!A385</f>
        <v>0.23637110786890336</v>
      </c>
      <c r="D385" s="52">
        <f t="shared" si="22"/>
        <v>0.35286042780538357</v>
      </c>
      <c r="E385" s="52">
        <f>$V$4*Performance!$E$12*(1/A385)+Performance!$E$23*(1/Constraints!$V$9)*Constraints!A385</f>
        <v>0.15502168389994322</v>
      </c>
      <c r="F385" s="52">
        <f xml:space="preserve"> 1.21 / (9.81 * Constraints!$N$7 * Performance!$E$15 * Constraints!$N$5 ) * Constraints!A385 + 0.605 /Performance!$E$15 * (Performance!$E$16  - Constraints!$N$6 * Performance!$E$14) + Constraints!$N$6</f>
        <v>0.35275412257826294</v>
      </c>
      <c r="G385" s="54" t="s">
        <v>198</v>
      </c>
      <c r="H385" s="55">
        <f>SQRT(2/$V$3 * A385 * SQRT(Performance!$E$23 / (3 * Performance!$E$12)))</f>
        <v>17.063364705037607</v>
      </c>
      <c r="I385" s="55">
        <f>SQRT(2/$V$3 * A385 * (SQRT(Performance!$E$23)/(SQRT(3*Performance!$E$12 + 4* Performance!$E$23 * Performance!$E$11^2) - SQRT(Performance!$E$23)*Performance!$E$11)))</f>
        <v>17.949551207116457</v>
      </c>
      <c r="J385" t="e">
        <f xml:space="preserve"> $AC$3/G385 + $AC$6/A385 * Performance!$E$12 + Performance!$E$23/Constraints!$AC$6 * Constraints!A385</f>
        <v>#VALUE!</v>
      </c>
      <c r="K385">
        <f xml:space="preserve"> $AC$3/H385 + $AC$6/A385 * Performance!$E$12 + Performance!$E$23/Constraints!$AC$6 * Constraints!A385</f>
        <v>0.91478188629373769</v>
      </c>
      <c r="L385">
        <f xml:space="preserve"> $AC$3/I385 + $AC$6/A385 * Performance!$E$12 + Performance!$E$23/Constraints!$AC$6 * Constraints!A385</f>
        <v>0.90008346891869939</v>
      </c>
      <c r="M385">
        <f>SIN($AC$9 * PI()/180) + 1/Performance!$AE$5</f>
        <v>0.24073077270730886</v>
      </c>
      <c r="N385">
        <f>SIN($AC$9 * PI()/180) + 1/Performance!$AE$8</f>
        <v>0.22738716112204788</v>
      </c>
      <c r="O385" s="60">
        <f>$AC$16 * (Performance!$E$12/Constraints!A385 + Performance!$E$23 * (Constraints!$AC$13/Constraints!$AC$17)^2 * Constraints!A385)</f>
        <v>2.149104196664292E-4</v>
      </c>
      <c r="P385" t="e">
        <f t="shared" si="23"/>
        <v>#VALUE!</v>
      </c>
      <c r="Q385">
        <f t="shared" si="24"/>
        <v>76.449098774982971</v>
      </c>
      <c r="R385">
        <f t="shared" si="25"/>
        <v>84.596074739518684</v>
      </c>
      <c r="S385" t="e">
        <f xml:space="preserve"> 1.667/G385 + P385/A385 * Performance!$E$12 + Performance!$E$23 / Constraints!P385 * Constraints!A385</f>
        <v>#VALUE!</v>
      </c>
      <c r="T385">
        <f xml:space="preserve"> 1.667/H385 + Q385/A385 * Performance!$E$12 + Performance!$E$23 / Constraints!Q385 * Constraints!A385</f>
        <v>0.20360765022757443</v>
      </c>
      <c r="U385">
        <f xml:space="preserve"> 1.667/I385 + R385/A385 * Performance!$E$12 + Performance!$E$23 / Constraints!R385 * Constraints!A385</f>
        <v>0.19101414846061832</v>
      </c>
    </row>
    <row r="386" spans="1:21" x14ac:dyDescent="0.3">
      <c r="A386" s="51">
        <v>192</v>
      </c>
      <c r="B386" s="50">
        <f>$V$4*Performance!$E$12*(1/A386)+Performance!$E$23*(1/Constraints!$V$4)*Constraints!A386</f>
        <v>0.15552013646905066</v>
      </c>
      <c r="C386" s="50">
        <f>$V$5*Performance!$E$12*(1/A386)+Performance!$E$23*(1/Constraints!$V$5)*Constraints!A386</f>
        <v>0.23578090076974845</v>
      </c>
      <c r="D386" s="52">
        <f t="shared" si="22"/>
        <v>0.35313271351766917</v>
      </c>
      <c r="E386" s="52">
        <f>$V$4*Performance!$E$12*(1/A386)+Performance!$E$23*(1/Constraints!$V$9)*Constraints!A386</f>
        <v>0.15465303371657746</v>
      </c>
      <c r="F386" s="52">
        <f xml:space="preserve"> 1.21 / (9.81 * Constraints!$N$7 * Performance!$E$15 * Constraints!$N$5 ) * Constraints!A386 + 0.605 /Performance!$E$15 * (Performance!$E$16  - Constraints!$N$6 * Performance!$E$14) + Constraints!$N$6</f>
        <v>0.35302613073120881</v>
      </c>
      <c r="G386" s="54" t="s">
        <v>198</v>
      </c>
      <c r="H386" s="55">
        <f>SQRT(2/$V$3 * A386 * SQRT(Performance!$E$23 / (3 * Performance!$E$12)))</f>
        <v>17.085626116598004</v>
      </c>
      <c r="I386" s="55">
        <f>SQRT(2/$V$3 * A386 * (SQRT(Performance!$E$23)/(SQRT(3*Performance!$E$12 + 4* Performance!$E$23 * Performance!$E$11^2) - SQRT(Performance!$E$23)*Performance!$E$11)))</f>
        <v>17.972968765942237</v>
      </c>
      <c r="J386" t="e">
        <f xml:space="preserve"> $AC$3/G386 + $AC$6/A386 * Performance!$E$12 + Performance!$E$23/Constraints!$AC$6 * Constraints!A386</f>
        <v>#VALUE!</v>
      </c>
      <c r="K386">
        <f xml:space="preserve"> $AC$3/H386 + $AC$6/A386 * Performance!$E$12 + Performance!$E$23/Constraints!$AC$6 * Constraints!A386</f>
        <v>0.91599559272316888</v>
      </c>
      <c r="L386">
        <f xml:space="preserve"> $AC$3/I386 + $AC$6/A386 * Performance!$E$12 + Performance!$E$23/Constraints!$AC$6 * Constraints!A386</f>
        <v>0.90131632638867432</v>
      </c>
      <c r="M386">
        <f>SIN($AC$9 * PI()/180) + 1/Performance!$AE$5</f>
        <v>0.24073077270730886</v>
      </c>
      <c r="N386">
        <f>SIN($AC$9 * PI()/180) + 1/Performance!$AE$8</f>
        <v>0.22738716112204788</v>
      </c>
      <c r="O386" s="60">
        <f>$AC$16 * (Performance!$E$12/Constraints!A386 + Performance!$E$23 * (Constraints!$AC$13/Constraints!$AC$17)^2 * Constraints!A386)</f>
        <v>2.1480233921506979E-4</v>
      </c>
      <c r="P386" t="e">
        <f t="shared" si="23"/>
        <v>#VALUE!</v>
      </c>
      <c r="Q386">
        <f t="shared" si="24"/>
        <v>76.648704777006458</v>
      </c>
      <c r="R386">
        <f t="shared" si="25"/>
        <v>84.816952219256336</v>
      </c>
      <c r="S386" t="e">
        <f xml:space="preserve"> 1.667/G386 + P386/A386 * Performance!$E$12 + Performance!$E$23 / Constraints!P386 * Constraints!A386</f>
        <v>#VALUE!</v>
      </c>
      <c r="T386">
        <f xml:space="preserve"> 1.667/H386 + Q386/A386 * Performance!$E$12 + Performance!$E$23 / Constraints!Q386 * Constraints!A386</f>
        <v>0.20348036068470643</v>
      </c>
      <c r="U386">
        <f xml:space="preserve"> 1.667/I386 + R386/A386 * Performance!$E$12 + Performance!$E$23 / Constraints!R386 * Constraints!A386</f>
        <v>0.19089314332416493</v>
      </c>
    </row>
    <row r="387" spans="1:21" x14ac:dyDescent="0.3">
      <c r="A387" s="51">
        <v>192.5</v>
      </c>
      <c r="B387" s="50">
        <f>$V$4*Performance!$E$12*(1/A387)+Performance!$E$23*(1/Constraints!$V$4)*Constraints!A387</f>
        <v>0.15515575059482264</v>
      </c>
      <c r="C387" s="50">
        <f>$V$5*Performance!$E$12*(1/A387)+Performance!$E$23*(1/Constraints!$V$5)*Constraints!A387</f>
        <v>0.23519382559241306</v>
      </c>
      <c r="D387" s="52">
        <f t="shared" si="22"/>
        <v>0.35340499922995477</v>
      </c>
      <c r="E387" s="52">
        <f>$V$4*Performance!$E$12*(1/A387)+Performance!$E$23*(1/Constraints!$V$9)*Constraints!A387</f>
        <v>0.15428638976226489</v>
      </c>
      <c r="F387" s="52">
        <f xml:space="preserve"> 1.21 / (9.81 * Constraints!$N$7 * Performance!$E$15 * Constraints!$N$5 ) * Constraints!A387 + 0.605 /Performance!$E$15 * (Performance!$E$16  - Constraints!$N$6 * Performance!$E$14) + Constraints!$N$6</f>
        <v>0.35329813888415468</v>
      </c>
      <c r="G387" s="54" t="s">
        <v>198</v>
      </c>
      <c r="H387" s="55">
        <f>SQRT(2/$V$3 * A387 * SQRT(Performance!$E$23 / (3 * Performance!$E$12)))</f>
        <v>17.107858560767571</v>
      </c>
      <c r="I387" s="55">
        <f>SQRT(2/$V$3 * A387 * (SQRT(Performance!$E$23)/(SQRT(3*Performance!$E$12 + 4* Performance!$E$23 * Performance!$E$11^2) - SQRT(Performance!$E$23)*Performance!$E$11)))</f>
        <v>17.99635585295464</v>
      </c>
      <c r="J387" t="e">
        <f xml:space="preserve"> $AC$3/G387 + $AC$6/A387 * Performance!$E$12 + Performance!$E$23/Constraints!$AC$6 * Constraints!A387</f>
        <v>#VALUE!</v>
      </c>
      <c r="K387">
        <f xml:space="preserve"> $AC$3/H387 + $AC$6/A387 * Performance!$E$12 + Performance!$E$23/Constraints!$AC$6 * Constraints!A387</f>
        <v>0.91721083617543153</v>
      </c>
      <c r="L387">
        <f xml:space="preserve"> $AC$3/I387 + $AC$6/A387 * Performance!$E$12 + Performance!$E$23/Constraints!$AC$6 * Constraints!A387</f>
        <v>0.90255064621850167</v>
      </c>
      <c r="M387">
        <f>SIN($AC$9 * PI()/180) + 1/Performance!$AE$5</f>
        <v>0.24073077270730886</v>
      </c>
      <c r="N387">
        <f>SIN($AC$9 * PI()/180) + 1/Performance!$AE$8</f>
        <v>0.22738716112204788</v>
      </c>
      <c r="O387" s="60">
        <f>$AC$16 * (Performance!$E$12/Constraints!A387 + Performance!$E$23 * (Constraints!$AC$13/Constraints!$AC$17)^2 * Constraints!A387)</f>
        <v>2.1469599469037715E-4</v>
      </c>
      <c r="P387" t="e">
        <f t="shared" si="23"/>
        <v>#VALUE!</v>
      </c>
      <c r="Q387">
        <f t="shared" si="24"/>
        <v>76.848310779029902</v>
      </c>
      <c r="R387">
        <f t="shared" si="25"/>
        <v>85.037829698994003</v>
      </c>
      <c r="S387" t="e">
        <f xml:space="preserve"> 1.667/G387 + P387/A387 * Performance!$E$12 + Performance!$E$23 / Constraints!P387 * Constraints!A387</f>
        <v>#VALUE!</v>
      </c>
      <c r="T387">
        <f xml:space="preserve"> 1.667/H387 + Q387/A387 * Performance!$E$12 + Performance!$E$23 / Constraints!Q387 * Constraints!A387</f>
        <v>0.20335356739771612</v>
      </c>
      <c r="U387">
        <f xml:space="preserve"> 1.667/I387 + R387/A387 * Performance!$E$12 + Performance!$E$23 / Constraints!R387 * Constraints!A387</f>
        <v>0.19077260994296208</v>
      </c>
    </row>
    <row r="388" spans="1:21" x14ac:dyDescent="0.3">
      <c r="A388" s="51">
        <v>193</v>
      </c>
      <c r="B388" s="50">
        <f>$V$4*Performance!$E$12*(1/A388)+Performance!$E$23*(1/Constraints!$V$4)*Constraints!A388</f>
        <v>0.15479335535719405</v>
      </c>
      <c r="C388" s="50">
        <f>$V$5*Performance!$E$12*(1/A388)+Performance!$E$23*(1/Constraints!$V$5)*Constraints!A388</f>
        <v>0.23460985799553588</v>
      </c>
      <c r="D388" s="52">
        <f t="shared" si="22"/>
        <v>0.35367728494224038</v>
      </c>
      <c r="E388" s="52">
        <f>$V$4*Performance!$E$12*(1/A388)+Performance!$E$23*(1/Constraints!$V$9)*Constraints!A388</f>
        <v>0.1539217364445517</v>
      </c>
      <c r="F388" s="52">
        <f xml:space="preserve"> 1.21 / (9.81 * Constraints!$N$7 * Performance!$E$15 * Constraints!$N$5 ) * Constraints!A388 + 0.605 /Performance!$E$15 * (Performance!$E$16  - Constraints!$N$6 * Performance!$E$14) + Constraints!$N$6</f>
        <v>0.35357014703710049</v>
      </c>
      <c r="G388" s="54" t="s">
        <v>198</v>
      </c>
      <c r="H388" s="55">
        <f>SQRT(2/$V$3 * A388 * SQRT(Performance!$E$23 / (3 * Performance!$E$12)))</f>
        <v>17.130062150333281</v>
      </c>
      <c r="I388" s="55">
        <f>SQRT(2/$V$3 * A388 * (SQRT(Performance!$E$23)/(SQRT(3*Performance!$E$12 + 4* Performance!$E$23 * Performance!$E$11^2) - SQRT(Performance!$E$23)*Performance!$E$11)))</f>
        <v>18.019712586798217</v>
      </c>
      <c r="J388" t="e">
        <f xml:space="preserve"> $AC$3/G388 + $AC$6/A388 * Performance!$E$12 + Performance!$E$23/Constraints!$AC$6 * Constraints!A388</f>
        <v>#VALUE!</v>
      </c>
      <c r="K388">
        <f xml:space="preserve"> $AC$3/H388 + $AC$6/A388 * Performance!$E$12 + Performance!$E$23/Constraints!$AC$6 * Constraints!A388</f>
        <v>0.9184276066573136</v>
      </c>
      <c r="L388">
        <f xml:space="preserve"> $AC$3/I388 + $AC$6/A388 * Performance!$E$12 + Performance!$E$23/Constraints!$AC$6 * Constraints!A388</f>
        <v>0.90378641889885225</v>
      </c>
      <c r="M388">
        <f>SIN($AC$9 * PI()/180) + 1/Performance!$AE$5</f>
        <v>0.24073077270730886</v>
      </c>
      <c r="N388">
        <f>SIN($AC$9 * PI()/180) + 1/Performance!$AE$8</f>
        <v>0.22738716112204788</v>
      </c>
      <c r="O388" s="60">
        <f>$AC$16 * (Performance!$E$12/Constraints!A388 + Performance!$E$23 * (Constraints!$AC$13/Constraints!$AC$17)^2 * Constraints!A388)</f>
        <v>2.1459137260069331E-4</v>
      </c>
      <c r="P388" t="e">
        <f t="shared" si="23"/>
        <v>#VALUE!</v>
      </c>
      <c r="Q388">
        <f t="shared" si="24"/>
        <v>77.047916781053374</v>
      </c>
      <c r="R388">
        <f t="shared" si="25"/>
        <v>85.258707178731626</v>
      </c>
      <c r="S388" t="e">
        <f xml:space="preserve"> 1.667/G388 + P388/A388 * Performance!$E$12 + Performance!$E$23 / Constraints!P388 * Constraints!A388</f>
        <v>#VALUE!</v>
      </c>
      <c r="T388">
        <f xml:space="preserve"> 1.667/H388 + Q388/A388 * Performance!$E$12 + Performance!$E$23 / Constraints!Q388 * Constraints!A388</f>
        <v>0.20322726715042475</v>
      </c>
      <c r="U388">
        <f xml:space="preserve"> 1.667/I388 + R388/A388 * Performance!$E$12 + Performance!$E$23 / Constraints!R388 * Constraints!A388</f>
        <v>0.19065254525961706</v>
      </c>
    </row>
    <row r="389" spans="1:21" x14ac:dyDescent="0.3">
      <c r="A389" s="51">
        <v>193.5</v>
      </c>
      <c r="B389" s="50">
        <f>$V$4*Performance!$E$12*(1/A389)+Performance!$E$23*(1/Constraints!$V$4)*Constraints!A389</f>
        <v>0.15443293532487337</v>
      </c>
      <c r="C389" s="50">
        <f>$V$5*Performance!$E$12*(1/A389)+Performance!$E$23*(1/Constraints!$V$5)*Constraints!A389</f>
        <v>0.2340289738893459</v>
      </c>
      <c r="D389" s="52">
        <f t="shared" si="22"/>
        <v>0.35394957065452598</v>
      </c>
      <c r="E389" s="52">
        <f>$V$4*Performance!$E$12*(1/A389)+Performance!$E$23*(1/Constraints!$V$9)*Constraints!A389</f>
        <v>0.15355905833214648</v>
      </c>
      <c r="F389" s="52">
        <f xml:space="preserve"> 1.21 / (9.81 * Constraints!$N$7 * Performance!$E$15 * Constraints!$N$5 ) * Constraints!A389 + 0.605 /Performance!$E$15 * (Performance!$E$16  - Constraints!$N$6 * Performance!$E$14) + Constraints!$N$6</f>
        <v>0.35384215519004636</v>
      </c>
      <c r="G389" s="54" t="s">
        <v>198</v>
      </c>
      <c r="H389" s="55">
        <f>SQRT(2/$V$3 * A389 * SQRT(Performance!$E$23 / (3 * Performance!$E$12)))</f>
        <v>17.152236997352077</v>
      </c>
      <c r="I389" s="55">
        <f>SQRT(2/$V$3 * A389 * (SQRT(Performance!$E$23)/(SQRT(3*Performance!$E$12 + 4* Performance!$E$23 * Performance!$E$11^2) - SQRT(Performance!$E$23)*Performance!$E$11)))</f>
        <v>18.043039085349605</v>
      </c>
      <c r="J389" t="e">
        <f xml:space="preserve"> $AC$3/G389 + $AC$6/A389 * Performance!$E$12 + Performance!$E$23/Constraints!$AC$6 * Constraints!A389</f>
        <v>#VALUE!</v>
      </c>
      <c r="K389">
        <f xml:space="preserve"> $AC$3/H389 + $AC$6/A389 * Performance!$E$12 + Performance!$E$23/Constraints!$AC$6 * Constraints!A389</f>
        <v>0.91964589426628729</v>
      </c>
      <c r="L389">
        <f xml:space="preserve"> $AC$3/I389 + $AC$6/A389 * Performance!$E$12 + Performance!$E$23/Constraints!$AC$6 * Constraints!A389</f>
        <v>0.90502363500670158</v>
      </c>
      <c r="M389">
        <f>SIN($AC$9 * PI()/180) + 1/Performance!$AE$5</f>
        <v>0.24073077270730886</v>
      </c>
      <c r="N389">
        <f>SIN($AC$9 * PI()/180) + 1/Performance!$AE$8</f>
        <v>0.22738716112204788</v>
      </c>
      <c r="O389" s="60">
        <f>$AC$16 * (Performance!$E$12/Constraints!A389 + Performance!$E$23 * (Constraints!$AC$13/Constraints!$AC$17)^2 * Constraints!A389)</f>
        <v>2.1448845959380885E-4</v>
      </c>
      <c r="P389" t="e">
        <f t="shared" si="23"/>
        <v>#VALUE!</v>
      </c>
      <c r="Q389">
        <f t="shared" si="24"/>
        <v>77.247522783076818</v>
      </c>
      <c r="R389">
        <f t="shared" si="25"/>
        <v>85.479584658469278</v>
      </c>
      <c r="S389" t="e">
        <f xml:space="preserve"> 1.667/G389 + P389/A389 * Performance!$E$12 + Performance!$E$23 / Constraints!P389 * Constraints!A389</f>
        <v>#VALUE!</v>
      </c>
      <c r="T389">
        <f xml:space="preserve"> 1.667/H389 + Q389/A389 * Performance!$E$12 + Performance!$E$23 / Constraints!Q389 * Constraints!A389</f>
        <v>0.20310145675575947</v>
      </c>
      <c r="U389">
        <f xml:space="preserve"> 1.667/I389 + R389/A389 * Performance!$E$12 + Performance!$E$23 / Constraints!R389 * Constraints!A389</f>
        <v>0.19053294624440559</v>
      </c>
    </row>
    <row r="390" spans="1:21" x14ac:dyDescent="0.3">
      <c r="A390" s="51">
        <v>194</v>
      </c>
      <c r="B390" s="50">
        <f>$V$4*Performance!$E$12*(1/A390)+Performance!$E$23*(1/Constraints!$V$4)*Constraints!A390</f>
        <v>0.15407447522565459</v>
      </c>
      <c r="C390" s="50">
        <f>$V$5*Performance!$E$12*(1/A390)+Performance!$E$23*(1/Constraints!$V$5)*Constraints!A390</f>
        <v>0.23345114943242032</v>
      </c>
      <c r="D390" s="52">
        <f t="shared" si="22"/>
        <v>0.35422185636681158</v>
      </c>
      <c r="E390" s="52">
        <f>$V$4*Performance!$E$12*(1/A390)+Performance!$E$23*(1/Constraints!$V$9)*Constraints!A390</f>
        <v>0.15319834015284314</v>
      </c>
      <c r="F390" s="52">
        <f xml:space="preserve"> 1.21 / (9.81 * Constraints!$N$7 * Performance!$E$15 * Constraints!$N$5 ) * Constraints!A390 + 0.605 /Performance!$E$15 * (Performance!$E$16  - Constraints!$N$6 * Performance!$E$14) + Constraints!$N$6</f>
        <v>0.35411416334299223</v>
      </c>
      <c r="G390" s="54" t="s">
        <v>198</v>
      </c>
      <c r="H390" s="55">
        <f>SQRT(2/$V$3 * A390 * SQRT(Performance!$E$23 / (3 * Performance!$E$12)))</f>
        <v>17.174383213157494</v>
      </c>
      <c r="I390" s="55">
        <f>SQRT(2/$V$3 * A390 * (SQRT(Performance!$E$23)/(SQRT(3*Performance!$E$12 + 4* Performance!$E$23 * Performance!$E$11^2) - SQRT(Performance!$E$23)*Performance!$E$11)))</f>
        <v>18.066335465724446</v>
      </c>
      <c r="J390" t="e">
        <f xml:space="preserve"> $AC$3/G390 + $AC$6/A390 * Performance!$E$12 + Performance!$E$23/Constraints!$AC$6 * Constraints!A390</f>
        <v>#VALUE!</v>
      </c>
      <c r="K390">
        <f xml:space="preserve"> $AC$3/H390 + $AC$6/A390 * Performance!$E$12 + Performance!$E$23/Constraints!$AC$6 * Constraints!A390</f>
        <v>0.92086568918945355</v>
      </c>
      <c r="L390">
        <f xml:space="preserve"> $AC$3/I390 + $AC$6/A390 * Performance!$E$12 + Performance!$E$23/Constraints!$AC$6 * Constraints!A390</f>
        <v>0.90626228520432539</v>
      </c>
      <c r="M390">
        <f>SIN($AC$9 * PI()/180) + 1/Performance!$AE$5</f>
        <v>0.24073077270730886</v>
      </c>
      <c r="N390">
        <f>SIN($AC$9 * PI()/180) + 1/Performance!$AE$8</f>
        <v>0.22738716112204788</v>
      </c>
      <c r="O390" s="60">
        <f>$AC$16 * (Performance!$E$12/Constraints!A390 + Performance!$E$23 * (Constraints!$AC$13/Constraints!$AC$17)^2 * Constraints!A390)</f>
        <v>2.143872424551661E-4</v>
      </c>
      <c r="P390" t="e">
        <f t="shared" si="23"/>
        <v>#VALUE!</v>
      </c>
      <c r="Q390">
        <f t="shared" si="24"/>
        <v>77.447128785100276</v>
      </c>
      <c r="R390">
        <f t="shared" si="25"/>
        <v>85.70046213820693</v>
      </c>
      <c r="S390" t="e">
        <f xml:space="preserve"> 1.667/G390 + P390/A390 * Performance!$E$12 + Performance!$E$23 / Constraints!P390 * Constraints!A390</f>
        <v>#VALUE!</v>
      </c>
      <c r="T390">
        <f xml:space="preserve"> 1.667/H390 + Q390/A390 * Performance!$E$12 + Performance!$E$23 / Constraints!Q390 * Constraints!A390</f>
        <v>0.20297613305541526</v>
      </c>
      <c r="U390">
        <f xml:space="preserve"> 1.667/I390 + R390/A390 * Performance!$E$12 + Performance!$E$23 / Constraints!R390 * Constraints!A390</f>
        <v>0.19041380989495132</v>
      </c>
    </row>
    <row r="391" spans="1:21" x14ac:dyDescent="0.3">
      <c r="A391" s="51">
        <v>194.5</v>
      </c>
      <c r="B391" s="50">
        <f>$V$4*Performance!$E$12*(1/A391)+Performance!$E$23*(1/Constraints!$V$4)*Constraints!A391</f>
        <v>0.15371795994437248</v>
      </c>
      <c r="C391" s="50">
        <f>$V$5*Performance!$E$12*(1/A391)+Performance!$E$23*(1/Constraints!$V$5)*Constraints!A391</f>
        <v>0.23287636102849227</v>
      </c>
      <c r="D391" s="52">
        <f t="shared" si="22"/>
        <v>0.35449414207909719</v>
      </c>
      <c r="E391" s="52">
        <f>$V$4*Performance!$E$12*(1/A391)+Performance!$E$23*(1/Constraints!$V$9)*Constraints!A391</f>
        <v>0.15283956679147645</v>
      </c>
      <c r="F391" s="52">
        <f xml:space="preserve"> 1.21 / (9.81 * Constraints!$N$7 * Performance!$E$15 * Constraints!$N$5 ) * Constraints!A391 + 0.605 /Performance!$E$15 * (Performance!$E$16  - Constraints!$N$6 * Performance!$E$14) + Constraints!$N$6</f>
        <v>0.3543861714959381</v>
      </c>
      <c r="G391" s="54" t="s">
        <v>198</v>
      </c>
      <c r="H391" s="55">
        <f>SQRT(2/$V$3 * A391 * SQRT(Performance!$E$23 / (3 * Performance!$E$12)))</f>
        <v>17.196500908366168</v>
      </c>
      <c r="I391" s="55">
        <f>SQRT(2/$V$3 * A391 * (SQRT(Performance!$E$23)/(SQRT(3*Performance!$E$12 + 4* Performance!$E$23 * Performance!$E$11^2) - SQRT(Performance!$E$23)*Performance!$E$11)))</f>
        <v>18.089601844284253</v>
      </c>
      <c r="J391" t="e">
        <f xml:space="preserve"> $AC$3/G391 + $AC$6/A391 * Performance!$E$12 + Performance!$E$23/Constraints!$AC$6 * Constraints!A391</f>
        <v>#VALUE!</v>
      </c>
      <c r="K391">
        <f xml:space="preserve"> $AC$3/H391 + $AC$6/A391 * Performance!$E$12 + Performance!$E$23/Constraints!$AC$6 * Constraints!A391</f>
        <v>0.92208698170250136</v>
      </c>
      <c r="L391">
        <f xml:space="preserve"> $AC$3/I391 + $AC$6/A391 * Performance!$E$12 + Performance!$E$23/Constraints!$AC$6 * Constraints!A391</f>
        <v>0.9075023602383101</v>
      </c>
      <c r="M391">
        <f>SIN($AC$9 * PI()/180) + 1/Performance!$AE$5</f>
        <v>0.24073077270730886</v>
      </c>
      <c r="N391">
        <f>SIN($AC$9 * PI()/180) + 1/Performance!$AE$8</f>
        <v>0.22738716112204788</v>
      </c>
      <c r="O391" s="60">
        <f>$AC$16 * (Performance!$E$12/Constraints!A391 + Performance!$E$23 * (Constraints!$AC$13/Constraints!$AC$17)^2 * Constraints!A391)</f>
        <v>2.1428770810608962E-4</v>
      </c>
      <c r="P391" t="e">
        <f t="shared" si="23"/>
        <v>#VALUE!</v>
      </c>
      <c r="Q391">
        <f t="shared" si="24"/>
        <v>77.646734787123719</v>
      </c>
      <c r="R391">
        <f t="shared" si="25"/>
        <v>85.921339617944554</v>
      </c>
      <c r="S391" t="e">
        <f xml:space="preserve"> 1.667/G391 + P391/A391 * Performance!$E$12 + Performance!$E$23 / Constraints!P391 * Constraints!A391</f>
        <v>#VALUE!</v>
      </c>
      <c r="T391">
        <f xml:space="preserve"> 1.667/H391 + Q391/A391 * Performance!$E$12 + Performance!$E$23 / Constraints!Q391 * Constraints!A391</f>
        <v>0.20285129291952209</v>
      </c>
      <c r="U391">
        <f xml:space="preserve"> 1.667/I391 + R391/A391 * Performance!$E$12 + Performance!$E$23 / Constraints!R391 * Constraints!A391</f>
        <v>0.19029513323590896</v>
      </c>
    </row>
    <row r="392" spans="1:21" x14ac:dyDescent="0.3">
      <c r="A392" s="51">
        <v>195</v>
      </c>
      <c r="B392" s="50">
        <f>$V$4*Performance!$E$12*(1/A392)+Performance!$E$23*(1/Constraints!$V$4)*Constraints!A392</f>
        <v>0.15336337452088902</v>
      </c>
      <c r="C392" s="50">
        <f>$V$5*Performance!$E$12*(1/A392)+Performance!$E$23*(1/Constraints!$V$5)*Constraints!A392</f>
        <v>0.23230458532330797</v>
      </c>
      <c r="D392" s="52">
        <f t="shared" si="22"/>
        <v>0.35476642779138279</v>
      </c>
      <c r="E392" s="52">
        <f>$V$4*Performance!$E$12*(1/A392)+Performance!$E$23*(1/Constraints!$V$9)*Constraints!A392</f>
        <v>0.15248272328790843</v>
      </c>
      <c r="F392" s="52">
        <f xml:space="preserve"> 1.21 / (9.81 * Constraints!$N$7 * Performance!$E$15 * Constraints!$N$5 ) * Constraints!A392 + 0.605 /Performance!$E$15 * (Performance!$E$16  - Constraints!$N$6 * Performance!$E$14) + Constraints!$N$6</f>
        <v>0.35465817964888391</v>
      </c>
      <c r="G392" s="54" t="s">
        <v>198</v>
      </c>
      <c r="H392" s="55">
        <f>SQRT(2/$V$3 * A392 * SQRT(Performance!$E$23 / (3 * Performance!$E$12)))</f>
        <v>17.218590192884289</v>
      </c>
      <c r="I392" s="55">
        <f>SQRT(2/$V$3 * A392 * (SQRT(Performance!$E$23)/(SQRT(3*Performance!$E$12 + 4* Performance!$E$23 * Performance!$E$11^2) - SQRT(Performance!$E$23)*Performance!$E$11)))</f>
        <v>18.112838336643204</v>
      </c>
      <c r="J392" t="e">
        <f xml:space="preserve"> $AC$3/G392 + $AC$6/A392 * Performance!$E$12 + Performance!$E$23/Constraints!$AC$6 * Constraints!A392</f>
        <v>#VALUE!</v>
      </c>
      <c r="K392">
        <f xml:space="preserve"> $AC$3/H392 + $AC$6/A392 * Performance!$E$12 + Performance!$E$23/Constraints!$AC$6 * Constraints!A392</f>
        <v>0.92330976216868366</v>
      </c>
      <c r="L392">
        <f xml:space="preserve"> $AC$3/I392 + $AC$6/A392 * Performance!$E$12 + Performance!$E$23/Constraints!$AC$6 * Constraints!A392</f>
        <v>0.90874385093857679</v>
      </c>
      <c r="M392">
        <f>SIN($AC$9 * PI()/180) + 1/Performance!$AE$5</f>
        <v>0.24073077270730886</v>
      </c>
      <c r="N392">
        <f>SIN($AC$9 * PI()/180) + 1/Performance!$AE$8</f>
        <v>0.22738716112204788</v>
      </c>
      <c r="O392" s="60">
        <f>$AC$16 * (Performance!$E$12/Constraints!A392 + Performance!$E$23 * (Constraints!$AC$13/Constraints!$AC$17)^2 * Constraints!A392)</f>
        <v>2.1418984360204433E-4</v>
      </c>
      <c r="P392" t="e">
        <f t="shared" si="23"/>
        <v>#VALUE!</v>
      </c>
      <c r="Q392">
        <f t="shared" si="24"/>
        <v>77.846340789147177</v>
      </c>
      <c r="R392">
        <f t="shared" si="25"/>
        <v>86.142217097682206</v>
      </c>
      <c r="S392" t="e">
        <f xml:space="preserve"> 1.667/G392 + P392/A392 * Performance!$E$12 + Performance!$E$23 / Constraints!P392 * Constraints!A392</f>
        <v>#VALUE!</v>
      </c>
      <c r="T392">
        <f xml:space="preserve"> 1.667/H392 + Q392/A392 * Performance!$E$12 + Performance!$E$23 / Constraints!Q392 * Constraints!A392</f>
        <v>0.20272693324631655</v>
      </c>
      <c r="U392">
        <f xml:space="preserve"> 1.667/I392 + R392/A392 * Performance!$E$12 + Performance!$E$23 / Constraints!R392 * Constraints!A392</f>
        <v>0.19017691331865194</v>
      </c>
    </row>
    <row r="393" spans="1:21" x14ac:dyDescent="0.3">
      <c r="A393" s="51">
        <v>195.5</v>
      </c>
      <c r="B393" s="50">
        <f>$V$4*Performance!$E$12*(1/A393)+Performance!$E$23*(1/Constraints!$V$4)*Constraints!A393</f>
        <v>0.15301070414811113</v>
      </c>
      <c r="C393" s="50">
        <f>$V$5*Performance!$E$12*(1/A393)+Performance!$E$23*(1/Constraints!$V$5)*Constraints!A393</f>
        <v>0.23173579920153181</v>
      </c>
      <c r="D393" s="52">
        <f t="shared" si="22"/>
        <v>0.35503871350366839</v>
      </c>
      <c r="E393" s="52">
        <f>$V$4*Performance!$E$12*(1/A393)+Performance!$E$23*(1/Constraints!$V$9)*Constraints!A393</f>
        <v>0.15212779483504599</v>
      </c>
      <c r="F393" s="52">
        <f xml:space="preserve"> 1.21 / (9.81 * Constraints!$N$7 * Performance!$E$15 * Constraints!$N$5 ) * Constraints!A393 + 0.605 /Performance!$E$15 * (Performance!$E$16  - Constraints!$N$6 * Performance!$E$14) + Constraints!$N$6</f>
        <v>0.35493018780182978</v>
      </c>
      <c r="G393" s="54" t="s">
        <v>198</v>
      </c>
      <c r="H393" s="55">
        <f>SQRT(2/$V$3 * A393 * SQRT(Performance!$E$23 / (3 * Performance!$E$12)))</f>
        <v>17.240651175913964</v>
      </c>
      <c r="I393" s="55">
        <f>SQRT(2/$V$3 * A393 * (SQRT(Performance!$E$23)/(SQRT(3*Performance!$E$12 + 4* Performance!$E$23 * Performance!$E$11^2) - SQRT(Performance!$E$23)*Performance!$E$11)))</f>
        <v>18.136045057674817</v>
      </c>
      <c r="J393" t="e">
        <f xml:space="preserve"> $AC$3/G393 + $AC$6/A393 * Performance!$E$12 + Performance!$E$23/Constraints!$AC$6 * Constraints!A393</f>
        <v>#VALUE!</v>
      </c>
      <c r="K393">
        <f xml:space="preserve"> $AC$3/H393 + $AC$6/A393 * Performance!$E$12 + Performance!$E$23/Constraints!$AC$6 * Constraints!A393</f>
        <v>0.92453402103780591</v>
      </c>
      <c r="L393">
        <f xml:space="preserve"> $AC$3/I393 + $AC$6/A393 * Performance!$E$12 + Performance!$E$23/Constraints!$AC$6 * Constraints!A393</f>
        <v>0.90998674821741932</v>
      </c>
      <c r="M393">
        <f>SIN($AC$9 * PI()/180) + 1/Performance!$AE$5</f>
        <v>0.24073077270730886</v>
      </c>
      <c r="N393">
        <f>SIN($AC$9 * PI()/180) + 1/Performance!$AE$8</f>
        <v>0.22738716112204788</v>
      </c>
      <c r="O393" s="60">
        <f>$AC$16 * (Performance!$E$12/Constraints!A393 + Performance!$E$23 * (Constraints!$AC$13/Constraints!$AC$17)^2 * Constraints!A393)</f>
        <v>2.1409363613091996E-4</v>
      </c>
      <c r="P393" t="e">
        <f t="shared" si="23"/>
        <v>#VALUE!</v>
      </c>
      <c r="Q393">
        <f t="shared" si="24"/>
        <v>78.045946791170635</v>
      </c>
      <c r="R393">
        <f t="shared" si="25"/>
        <v>86.363094577419858</v>
      </c>
      <c r="S393" t="e">
        <f xml:space="preserve"> 1.667/G393 + P393/A393 * Performance!$E$12 + Performance!$E$23 / Constraints!P393 * Constraints!A393</f>
        <v>#VALUE!</v>
      </c>
      <c r="T393">
        <f xml:space="preserve"> 1.667/H393 + Q393/A393 * Performance!$E$12 + Performance!$E$23 / Constraints!Q393 * Constraints!A393</f>
        <v>0.20260305096181813</v>
      </c>
      <c r="U393">
        <f xml:space="preserve"> 1.667/I393 + R393/A393 * Performance!$E$12 + Performance!$E$23 / Constraints!R393 * Constraints!A393</f>
        <v>0.19005914722096523</v>
      </c>
    </row>
    <row r="394" spans="1:21" x14ac:dyDescent="0.3">
      <c r="A394" s="51">
        <v>196</v>
      </c>
      <c r="B394" s="50">
        <f>$V$4*Performance!$E$12*(1/A394)+Performance!$E$23*(1/Constraints!$V$4)*Constraints!A394</f>
        <v>0.15265993417003845</v>
      </c>
      <c r="C394" s="50">
        <f>$V$5*Performance!$E$12*(1/A394)+Performance!$E$23*(1/Constraints!$V$5)*Constraints!A394</f>
        <v>0.2311699797836988</v>
      </c>
      <c r="D394" s="52">
        <f t="shared" si="22"/>
        <v>0.35531099921595399</v>
      </c>
      <c r="E394" s="52">
        <f>$V$4*Performance!$E$12*(1/A394)+Performance!$E$23*(1/Constraints!$V$9)*Constraints!A394</f>
        <v>0.15177476677688875</v>
      </c>
      <c r="F394" s="52">
        <f xml:space="preserve"> 1.21 / (9.81 * Constraints!$N$7 * Performance!$E$15 * Constraints!$N$5 ) * Constraints!A394 + 0.605 /Performance!$E$15 * (Performance!$E$16  - Constraints!$N$6 * Performance!$E$14) + Constraints!$N$6</f>
        <v>0.35520219595477565</v>
      </c>
      <c r="G394" s="54" t="s">
        <v>198</v>
      </c>
      <c r="H394" s="55">
        <f>SQRT(2/$V$3 * A394 * SQRT(Performance!$E$23 / (3 * Performance!$E$12)))</f>
        <v>17.262683965959525</v>
      </c>
      <c r="I394" s="55">
        <f>SQRT(2/$V$3 * A394 * (SQRT(Performance!$E$23)/(SQRT(3*Performance!$E$12 + 4* Performance!$E$23 * Performance!$E$11^2) - SQRT(Performance!$E$23)*Performance!$E$11)))</f>
        <v>18.159222121518603</v>
      </c>
      <c r="J394" t="e">
        <f xml:space="preserve"> $AC$3/G394 + $AC$6/A394 * Performance!$E$12 + Performance!$E$23/Constraints!$AC$6 * Constraints!A394</f>
        <v>#VALUE!</v>
      </c>
      <c r="K394">
        <f xml:space="preserve"> $AC$3/H394 + $AC$6/A394 * Performance!$E$12 + Performance!$E$23/Constraints!$AC$6 * Constraints!A394</f>
        <v>0.92575974884522949</v>
      </c>
      <c r="L394">
        <f xml:space="preserve"> $AC$3/I394 + $AC$6/A394 * Performance!$E$12 + Performance!$E$23/Constraints!$AC$6 * Constraints!A394</f>
        <v>0.91123104306855507</v>
      </c>
      <c r="M394">
        <f>SIN($AC$9 * PI()/180) + 1/Performance!$AE$5</f>
        <v>0.24073077270730886</v>
      </c>
      <c r="N394">
        <f>SIN($AC$9 * PI()/180) + 1/Performance!$AE$8</f>
        <v>0.22738716112204788</v>
      </c>
      <c r="O394" s="60">
        <f>$AC$16 * (Performance!$E$12/Constraints!A394 + Performance!$E$23 * (Constraints!$AC$13/Constraints!$AC$17)^2 * Constraints!A394)</f>
        <v>2.1399907301134213E-4</v>
      </c>
      <c r="P394" t="e">
        <f t="shared" si="23"/>
        <v>#VALUE!</v>
      </c>
      <c r="Q394">
        <f t="shared" si="24"/>
        <v>78.245552793194079</v>
      </c>
      <c r="R394">
        <f t="shared" si="25"/>
        <v>86.58397205715751</v>
      </c>
      <c r="S394" t="e">
        <f xml:space="preserve"> 1.667/G394 + P394/A394 * Performance!$E$12 + Performance!$E$23 / Constraints!P394 * Constraints!A394</f>
        <v>#VALUE!</v>
      </c>
      <c r="T394">
        <f xml:space="preserve"> 1.667/H394 + Q394/A394 * Performance!$E$12 + Performance!$E$23 / Constraints!Q394 * Constraints!A394</f>
        <v>0.20247964301951019</v>
      </c>
      <c r="U394">
        <f xml:space="preserve"> 1.667/I394 + R394/A394 * Performance!$E$12 + Performance!$E$23 / Constraints!R394 * Constraints!A394</f>
        <v>0.18994183204674159</v>
      </c>
    </row>
    <row r="395" spans="1:21" x14ac:dyDescent="0.3">
      <c r="A395" s="51">
        <v>196.5</v>
      </c>
      <c r="B395" s="50">
        <f>$V$4*Performance!$E$12*(1/A395)+Performance!$E$23*(1/Constraints!$V$4)*Constraints!A395</f>
        <v>0.15231105007984133</v>
      </c>
      <c r="C395" s="50">
        <f>$V$5*Performance!$E$12*(1/A395)+Performance!$E$23*(1/Constraints!$V$5)*Constraints!A395</f>
        <v>0.23060710442321417</v>
      </c>
      <c r="D395" s="52">
        <f t="shared" si="22"/>
        <v>0.35558328492823954</v>
      </c>
      <c r="E395" s="52">
        <f>$V$4*Performance!$E$12*(1/A395)+Performance!$E$23*(1/Constraints!$V$9)*Constraints!A395</f>
        <v>0.15142362460660705</v>
      </c>
      <c r="F395" s="52">
        <f xml:space="preserve"> 1.21 / (9.81 * Constraints!$N$7 * Performance!$E$15 * Constraints!$N$5 ) * Constraints!A395 + 0.605 /Performance!$E$15 * (Performance!$E$16  - Constraints!$N$6 * Performance!$E$14) + Constraints!$N$6</f>
        <v>0.35547420410772151</v>
      </c>
      <c r="G395" s="54" t="s">
        <v>198</v>
      </c>
      <c r="H395" s="55">
        <f>SQRT(2/$V$3 * A395 * SQRT(Performance!$E$23 / (3 * Performance!$E$12)))</f>
        <v>17.284688670833749</v>
      </c>
      <c r="I395" s="55">
        <f>SQRT(2/$V$3 * A395 * (SQRT(Performance!$E$23)/(SQRT(3*Performance!$E$12 + 4* Performance!$E$23 * Performance!$E$11^2) - SQRT(Performance!$E$23)*Performance!$E$11)))</f>
        <v>18.1823696415866</v>
      </c>
      <c r="J395" t="e">
        <f xml:space="preserve"> $AC$3/G395 + $AC$6/A395 * Performance!$E$12 + Performance!$E$23/Constraints!$AC$6 * Constraints!A395</f>
        <v>#VALUE!</v>
      </c>
      <c r="K395">
        <f xml:space="preserve"> $AC$3/H395 + $AC$6/A395 * Performance!$E$12 + Performance!$E$23/Constraints!$AC$6 * Constraints!A395</f>
        <v>0.9269869362108889</v>
      </c>
      <c r="L395">
        <f xml:space="preserve"> $AC$3/I395 + $AC$6/A395 * Performance!$E$12 + Performance!$E$23/Constraints!$AC$6 * Constraints!A395</f>
        <v>0.91247672656619061</v>
      </c>
      <c r="M395">
        <f>SIN($AC$9 * PI()/180) + 1/Performance!$AE$5</f>
        <v>0.24073077270730886</v>
      </c>
      <c r="N395">
        <f>SIN($AC$9 * PI()/180) + 1/Performance!$AE$8</f>
        <v>0.22738716112204788</v>
      </c>
      <c r="O395" s="60">
        <f>$AC$16 * (Performance!$E$12/Constraints!A395 + Performance!$E$23 * (Constraints!$AC$13/Constraints!$AC$17)^2 * Constraints!A395)</f>
        <v>2.13906141691009E-4</v>
      </c>
      <c r="P395" t="e">
        <f t="shared" si="23"/>
        <v>#VALUE!</v>
      </c>
      <c r="Q395">
        <f t="shared" si="24"/>
        <v>78.445158795217509</v>
      </c>
      <c r="R395">
        <f t="shared" si="25"/>
        <v>86.804849536895176</v>
      </c>
      <c r="S395" t="e">
        <f xml:space="preserve"> 1.667/G395 + P395/A395 * Performance!$E$12 + Performance!$E$23 / Constraints!P395 * Constraints!A395</f>
        <v>#VALUE!</v>
      </c>
      <c r="T395">
        <f xml:space="preserve"> 1.667/H395 + Q395/A395 * Performance!$E$12 + Performance!$E$23 / Constraints!Q395 * Constraints!A395</f>
        <v>0.20235670640002523</v>
      </c>
      <c r="U395">
        <f xml:space="preserve"> 1.667/I395 + R395/A395 * Performance!$E$12 + Performance!$E$23 / Constraints!R395 * Constraints!A395</f>
        <v>0.18982496492568257</v>
      </c>
    </row>
    <row r="396" spans="1:21" x14ac:dyDescent="0.3">
      <c r="A396" s="51">
        <v>197</v>
      </c>
      <c r="B396" s="50">
        <f>$V$4*Performance!$E$12*(1/A396)+Performance!$E$23*(1/Constraints!$V$4)*Constraints!A396</f>
        <v>0.15196403751796725</v>
      </c>
      <c r="C396" s="50">
        <f>$V$5*Performance!$E$12*(1/A396)+Performance!$E$23*(1/Constraints!$V$5)*Constraints!A396</f>
        <v>0.23004715070339737</v>
      </c>
      <c r="D396" s="52">
        <f t="shared" si="22"/>
        <v>0.35585557064052514</v>
      </c>
      <c r="E396" s="52">
        <f>$V$4*Performance!$E$12*(1/A396)+Performance!$E$23*(1/Constraints!$V$9)*Constraints!A396</f>
        <v>0.15107435396464838</v>
      </c>
      <c r="F396" s="52">
        <f xml:space="preserve"> 1.21 / (9.81 * Constraints!$N$7 * Performance!$E$15 * Constraints!$N$5 ) * Constraints!A396 + 0.605 /Performance!$E$15 * (Performance!$E$16  - Constraints!$N$6 * Performance!$E$14) + Constraints!$N$6</f>
        <v>0.35574621226066738</v>
      </c>
      <c r="G396" s="54" t="s">
        <v>198</v>
      </c>
      <c r="H396" s="55">
        <f>SQRT(2/$V$3 * A396 * SQRT(Performance!$E$23 / (3 * Performance!$E$12)))</f>
        <v>17.30666539766402</v>
      </c>
      <c r="I396" s="55">
        <f>SQRT(2/$V$3 * A396 * (SQRT(Performance!$E$23)/(SQRT(3*Performance!$E$12 + 4* Performance!$E$23 * Performance!$E$11^2) - SQRT(Performance!$E$23)*Performance!$E$11)))</f>
        <v>18.205487730569853</v>
      </c>
      <c r="J396" t="e">
        <f xml:space="preserve"> $AC$3/G396 + $AC$6/A396 * Performance!$E$12 + Performance!$E$23/Constraints!$AC$6 * Constraints!A396</f>
        <v>#VALUE!</v>
      </c>
      <c r="K396">
        <f xml:space="preserve"> $AC$3/H396 + $AC$6/A396 * Performance!$E$12 + Performance!$E$23/Constraints!$AC$6 * Constraints!A396</f>
        <v>0.92821557383832332</v>
      </c>
      <c r="L396">
        <f xml:space="preserve"> $AC$3/I396 + $AC$6/A396 * Performance!$E$12 + Performance!$E$23/Constraints!$AC$6 * Constraints!A396</f>
        <v>0.91372378986409841</v>
      </c>
      <c r="M396">
        <f>SIN($AC$9 * PI()/180) + 1/Performance!$AE$5</f>
        <v>0.24073077270730886</v>
      </c>
      <c r="N396">
        <f>SIN($AC$9 * PI()/180) + 1/Performance!$AE$8</f>
        <v>0.22738716112204788</v>
      </c>
      <c r="O396" s="60">
        <f>$AC$16 * (Performance!$E$12/Constraints!A396 + Performance!$E$23 * (Constraints!$AC$13/Constraints!$AC$17)^2 * Constraints!A396)</f>
        <v>2.1381482974505318E-4</v>
      </c>
      <c r="P396" t="e">
        <f t="shared" si="23"/>
        <v>#VALUE!</v>
      </c>
      <c r="Q396">
        <f t="shared" si="24"/>
        <v>78.644764797240967</v>
      </c>
      <c r="R396">
        <f t="shared" si="25"/>
        <v>87.025727016632814</v>
      </c>
      <c r="S396" t="e">
        <f xml:space="preserve"> 1.667/G396 + P396/A396 * Performance!$E$12 + Performance!$E$23 / Constraints!P396 * Constraints!A396</f>
        <v>#VALUE!</v>
      </c>
      <c r="T396">
        <f xml:space="preserve"> 1.667/H396 + Q396/A396 * Performance!$E$12 + Performance!$E$23 / Constraints!Q396 * Constraints!A396</f>
        <v>0.20223423811083446</v>
      </c>
      <c r="U396">
        <f xml:space="preserve"> 1.667/I396 + R396/A396 * Performance!$E$12 + Performance!$E$23 / Constraints!R396 * Constraints!A396</f>
        <v>0.18970854301300349</v>
      </c>
    </row>
    <row r="397" spans="1:21" x14ac:dyDescent="0.3">
      <c r="A397" s="51">
        <v>197.5</v>
      </c>
      <c r="B397" s="50">
        <f>$V$4*Performance!$E$12*(1/A397)+Performance!$E$23*(1/Constraints!$V$4)*Constraints!A397</f>
        <v>0.15161888227027714</v>
      </c>
      <c r="C397" s="50">
        <f>$V$5*Performance!$E$12*(1/A397)+Performance!$E$23*(1/Constraints!$V$5)*Constraints!A397</f>
        <v>0.2294900964345726</v>
      </c>
      <c r="D397" s="52">
        <f t="shared" si="22"/>
        <v>0.35612785635281075</v>
      </c>
      <c r="E397" s="52">
        <f>$V$4*Performance!$E$12*(1/A397)+Performance!$E$23*(1/Constraints!$V$9)*Constraints!A397</f>
        <v>0.15072694063687372</v>
      </c>
      <c r="F397" s="52">
        <f xml:space="preserve"> 1.21 / (9.81 * Constraints!$N$7 * Performance!$E$15 * Constraints!$N$5 ) * Constraints!A397 + 0.605 /Performance!$E$15 * (Performance!$E$16  - Constraints!$N$6 * Performance!$E$14) + Constraints!$N$6</f>
        <v>0.3560182204136132</v>
      </c>
      <c r="G397" s="54" t="s">
        <v>198</v>
      </c>
      <c r="H397" s="55">
        <f>SQRT(2/$V$3 * A397 * SQRT(Performance!$E$23 / (3 * Performance!$E$12)))</f>
        <v>17.328614252898404</v>
      </c>
      <c r="I397" s="55">
        <f>SQRT(2/$V$3 * A397 * (SQRT(Performance!$E$23)/(SQRT(3*Performance!$E$12 + 4* Performance!$E$23 * Performance!$E$11^2) - SQRT(Performance!$E$23)*Performance!$E$11)))</f>
        <v>18.228576500444813</v>
      </c>
      <c r="J397" t="e">
        <f xml:space="preserve"> $AC$3/G397 + $AC$6/A397 * Performance!$E$12 + Performance!$E$23/Constraints!$AC$6 * Constraints!A397</f>
        <v>#VALUE!</v>
      </c>
      <c r="K397">
        <f xml:space="preserve"> $AC$3/H397 + $AC$6/A397 * Performance!$E$12 + Performance!$E$23/Constraints!$AC$6 * Constraints!A397</f>
        <v>0.92944565251372091</v>
      </c>
      <c r="L397">
        <f xml:space="preserve"> $AC$3/I397 + $AC$6/A397 * Performance!$E$12 + Performance!$E$23/Constraints!$AC$6 * Constraints!A397</f>
        <v>0.91497222419470858</v>
      </c>
      <c r="M397">
        <f>SIN($AC$9 * PI()/180) + 1/Performance!$AE$5</f>
        <v>0.24073077270730886</v>
      </c>
      <c r="N397">
        <f>SIN($AC$9 * PI()/180) + 1/Performance!$AE$8</f>
        <v>0.22738716112204788</v>
      </c>
      <c r="O397" s="60">
        <f>$AC$16 * (Performance!$E$12/Constraints!A397 + Performance!$E$23 * (Constraints!$AC$13/Constraints!$AC$17)^2 * Constraints!A397)</f>
        <v>2.1372512487442881E-4</v>
      </c>
      <c r="P397" t="e">
        <f t="shared" si="23"/>
        <v>#VALUE!</v>
      </c>
      <c r="Q397">
        <f t="shared" si="24"/>
        <v>78.844370799264453</v>
      </c>
      <c r="R397">
        <f t="shared" si="25"/>
        <v>87.246604496370466</v>
      </c>
      <c r="S397" t="e">
        <f xml:space="preserve"> 1.667/G397 + P397/A397 * Performance!$E$12 + Performance!$E$23 / Constraints!P397 * Constraints!A397</f>
        <v>#VALUE!</v>
      </c>
      <c r="T397">
        <f xml:space="preserve"> 1.667/H397 + Q397/A397 * Performance!$E$12 + Performance!$E$23 / Constraints!Q397 * Constraints!A397</f>
        <v>0.20211223518594212</v>
      </c>
      <c r="U397">
        <f xml:space="preserve"> 1.667/I397 + R397/A397 * Performance!$E$12 + Performance!$E$23 / Constraints!R397 * Constraints!A397</f>
        <v>0.18959256348914255</v>
      </c>
    </row>
    <row r="398" spans="1:21" x14ac:dyDescent="0.3">
      <c r="A398" s="51">
        <v>198</v>
      </c>
      <c r="B398" s="50">
        <f>$V$4*Performance!$E$12*(1/A398)+Performance!$E$23*(1/Constraints!$V$4)*Constraints!A398</f>
        <v>0.15127557026620903</v>
      </c>
      <c r="C398" s="50">
        <f>$V$5*Performance!$E$12*(1/A398)+Performance!$E$23*(1/Constraints!$V$5)*Constraints!A398</f>
        <v>0.22893591965120202</v>
      </c>
      <c r="D398" s="52">
        <f t="shared" si="22"/>
        <v>0.35640014206509635</v>
      </c>
      <c r="E398" s="52">
        <f>$V$4*Performance!$E$12*(1/A398)+Performance!$E$23*(1/Constraints!$V$9)*Constraints!A398</f>
        <v>0.15038137055272102</v>
      </c>
      <c r="F398" s="52">
        <f xml:space="preserve"> 1.21 / (9.81 * Constraints!$N$7 * Performance!$E$15 * Constraints!$N$5 ) * Constraints!A398 + 0.605 /Performance!$E$15 * (Performance!$E$16  - Constraints!$N$6 * Performance!$E$14) + Constraints!$N$6</f>
        <v>0.35629022856655906</v>
      </c>
      <c r="G398" s="54" t="s">
        <v>198</v>
      </c>
      <c r="H398" s="55">
        <f>SQRT(2/$V$3 * A398 * SQRT(Performance!$E$23 / (3 * Performance!$E$12)))</f>
        <v>17.350535342311666</v>
      </c>
      <c r="I398" s="55">
        <f>SQRT(2/$V$3 * A398 * (SQRT(Performance!$E$23)/(SQRT(3*Performance!$E$12 + 4* Performance!$E$23 * Performance!$E$11^2) - SQRT(Performance!$E$23)*Performance!$E$11)))</f>
        <v>18.251636062479665</v>
      </c>
      <c r="J398" t="e">
        <f xml:space="preserve"> $AC$3/G398 + $AC$6/A398 * Performance!$E$12 + Performance!$E$23/Constraints!$AC$6 * Constraints!A398</f>
        <v>#VALUE!</v>
      </c>
      <c r="K398">
        <f xml:space="preserve"> $AC$3/H398 + $AC$6/A398 * Performance!$E$12 + Performance!$E$23/Constraints!$AC$6 * Constraints!A398</f>
        <v>0.93067716310497706</v>
      </c>
      <c r="L398">
        <f xml:space="preserve"> $AC$3/I398 + $AC$6/A398 * Performance!$E$12 + Performance!$E$23/Constraints!$AC$6 * Constraints!A398</f>
        <v>0.9162220208682117</v>
      </c>
      <c r="M398">
        <f>SIN($AC$9 * PI()/180) + 1/Performance!$AE$5</f>
        <v>0.24073077270730886</v>
      </c>
      <c r="N398">
        <f>SIN($AC$9 * PI()/180) + 1/Performance!$AE$8</f>
        <v>0.22738716112204788</v>
      </c>
      <c r="O398" s="60">
        <f>$AC$16 * (Performance!$E$12/Constraints!A398 + Performance!$E$23 * (Constraints!$AC$13/Constraints!$AC$17)^2 * Constraints!A398)</f>
        <v>2.1363701490432276E-4</v>
      </c>
      <c r="P398" t="e">
        <f t="shared" si="23"/>
        <v>#VALUE!</v>
      </c>
      <c r="Q398">
        <f t="shared" si="24"/>
        <v>79.043976801287897</v>
      </c>
      <c r="R398">
        <f t="shared" si="25"/>
        <v>87.467481976108104</v>
      </c>
      <c r="S398" t="e">
        <f xml:space="preserve"> 1.667/G398 + P398/A398 * Performance!$E$12 + Performance!$E$23 / Constraints!P398 * Constraints!A398</f>
        <v>#VALUE!</v>
      </c>
      <c r="T398">
        <f xml:space="preserve"> 1.667/H398 + Q398/A398 * Performance!$E$12 + Performance!$E$23 / Constraints!Q398 * Constraints!A398</f>
        <v>0.20199069468558375</v>
      </c>
      <c r="U398">
        <f xml:space="preserve"> 1.667/I398 + R398/A398 * Performance!$E$12 + Performance!$E$23 / Constraints!R398 * Constraints!A398</f>
        <v>0.18947702355947427</v>
      </c>
    </row>
    <row r="399" spans="1:21" x14ac:dyDescent="0.3">
      <c r="A399" s="51">
        <v>198.5</v>
      </c>
      <c r="B399" s="50">
        <f>$V$4*Performance!$E$12*(1/A399)+Performance!$E$23*(1/Constraints!$V$4)*Constraints!A399</f>
        <v>0.15093408757696966</v>
      </c>
      <c r="C399" s="50">
        <f>$V$5*Performance!$E$12*(1/A399)+Performance!$E$23*(1/Constraints!$V$5)*Constraints!A399</f>
        <v>0.22838459860906296</v>
      </c>
      <c r="D399" s="52">
        <f t="shared" si="22"/>
        <v>0.35667242777738195</v>
      </c>
      <c r="E399" s="52">
        <f>$V$4*Performance!$E$12*(1/A399)+Performance!$E$23*(1/Constraints!$V$9)*Constraints!A399</f>
        <v>0.1500376297833971</v>
      </c>
      <c r="F399" s="52">
        <f xml:space="preserve"> 1.21 / (9.81 * Constraints!$N$7 * Performance!$E$15 * Constraints!$N$5 ) * Constraints!A399 + 0.605 /Performance!$E$15 * (Performance!$E$16  - Constraints!$N$6 * Performance!$E$14) + Constraints!$N$6</f>
        <v>0.35656223671950493</v>
      </c>
      <c r="G399" s="54" t="s">
        <v>198</v>
      </c>
      <c r="H399" s="55">
        <f>SQRT(2/$V$3 * A399 * SQRT(Performance!$E$23 / (3 * Performance!$E$12)))</f>
        <v>17.372428771011229</v>
      </c>
      <c r="I399" s="55">
        <f>SQRT(2/$V$3 * A399 * (SQRT(Performance!$E$23)/(SQRT(3*Performance!$E$12 + 4* Performance!$E$23 * Performance!$E$11^2) - SQRT(Performance!$E$23)*Performance!$E$11)))</f>
        <v>18.274666527240591</v>
      </c>
      <c r="J399" t="e">
        <f xml:space="preserve"> $AC$3/G399 + $AC$6/A399 * Performance!$E$12 + Performance!$E$23/Constraints!$AC$6 * Constraints!A399</f>
        <v>#VALUE!</v>
      </c>
      <c r="K399">
        <f xml:space="preserve"> $AC$3/H399 + $AC$6/A399 * Performance!$E$12 + Performance!$E$23/Constraints!$AC$6 * Constraints!A399</f>
        <v>0.93191009656076496</v>
      </c>
      <c r="L399">
        <f xml:space="preserve"> $AC$3/I399 + $AC$6/A399 * Performance!$E$12 + Performance!$E$23/Constraints!$AC$6 * Constraints!A399</f>
        <v>0.91747317127167416</v>
      </c>
      <c r="M399">
        <f>SIN($AC$9 * PI()/180) + 1/Performance!$AE$5</f>
        <v>0.24073077270730886</v>
      </c>
      <c r="N399">
        <f>SIN($AC$9 * PI()/180) + 1/Performance!$AE$8</f>
        <v>0.22738716112204788</v>
      </c>
      <c r="O399" s="60">
        <f>$AC$16 * (Performance!$E$12/Constraints!A399 + Performance!$E$23 * (Constraints!$AC$13/Constraints!$AC$17)^2 * Constraints!A399)</f>
        <v>2.1355048778259002E-4</v>
      </c>
      <c r="P399" t="e">
        <f t="shared" si="23"/>
        <v>#VALUE!</v>
      </c>
      <c r="Q399">
        <f t="shared" si="24"/>
        <v>79.243582803311341</v>
      </c>
      <c r="R399">
        <f t="shared" si="25"/>
        <v>87.688359455845756</v>
      </c>
      <c r="S399" t="e">
        <f xml:space="preserve"> 1.667/G399 + P399/A399 * Performance!$E$12 + Performance!$E$23 / Constraints!P399 * Constraints!A399</f>
        <v>#VALUE!</v>
      </c>
      <c r="T399">
        <f xml:space="preserve"> 1.667/H399 + Q399/A399 * Performance!$E$12 + Performance!$E$23 / Constraints!Q399 * Constraints!A399</f>
        <v>0.20186961369592837</v>
      </c>
      <c r="U399">
        <f xml:space="preserve"> 1.667/I399 + R399/A399 * Performance!$E$12 + Performance!$E$23 / Constraints!R399 * Constraints!A399</f>
        <v>0.18936192045402625</v>
      </c>
    </row>
    <row r="400" spans="1:21" x14ac:dyDescent="0.3">
      <c r="A400" s="51">
        <v>199</v>
      </c>
      <c r="B400" s="50">
        <f>$V$4*Performance!$E$12*(1/A400)+Performance!$E$23*(1/Constraints!$V$4)*Constraints!A400</f>
        <v>0.15059442041375393</v>
      </c>
      <c r="C400" s="50">
        <f>$V$5*Performance!$E$12*(1/A400)+Performance!$E$23*(1/Constraints!$V$5)*Constraints!A400</f>
        <v>0.22783611178246788</v>
      </c>
      <c r="D400" s="52">
        <f t="shared" si="22"/>
        <v>0.35694471348966755</v>
      </c>
      <c r="E400" s="52">
        <f>$V$4*Performance!$E$12*(1/A400)+Performance!$E$23*(1/Constraints!$V$9)*Constraints!A400</f>
        <v>0.14969570454009681</v>
      </c>
      <c r="F400" s="52">
        <f xml:space="preserve"> 1.21 / (9.81 * Constraints!$N$7 * Performance!$E$15 * Constraints!$N$5 ) * Constraints!A400 + 0.605 /Performance!$E$15 * (Performance!$E$16  - Constraints!$N$6 * Performance!$E$14) + Constraints!$N$6</f>
        <v>0.3568342448724508</v>
      </c>
      <c r="G400" s="54" t="s">
        <v>198</v>
      </c>
      <c r="H400" s="55">
        <f>SQRT(2/$V$3 * A400 * SQRT(Performance!$E$23 / (3 * Performance!$E$12)))</f>
        <v>17.394294643443043</v>
      </c>
      <c r="I400" s="55">
        <f>SQRT(2/$V$3 * A400 * (SQRT(Performance!$E$23)/(SQRT(3*Performance!$E$12 + 4* Performance!$E$23 * Performance!$E$11^2) - SQRT(Performance!$E$23)*Performance!$E$11)))</f>
        <v>18.297668004597938</v>
      </c>
      <c r="J400" t="e">
        <f xml:space="preserve"> $AC$3/G400 + $AC$6/A400 * Performance!$E$12 + Performance!$E$23/Constraints!$AC$6 * Constraints!A400</f>
        <v>#VALUE!</v>
      </c>
      <c r="K400">
        <f xml:space="preserve"> $AC$3/H400 + $AC$6/A400 * Performance!$E$12 + Performance!$E$23/Constraints!$AC$6 * Constraints!A400</f>
        <v>0.93314444390962015</v>
      </c>
      <c r="L400">
        <f xml:space="preserve"> $AC$3/I400 + $AC$6/A400 * Performance!$E$12 + Performance!$E$23/Constraints!$AC$6 * Constraints!A400</f>
        <v>0.91872566686816737</v>
      </c>
      <c r="M400">
        <f>SIN($AC$9 * PI()/180) + 1/Performance!$AE$5</f>
        <v>0.24073077270730886</v>
      </c>
      <c r="N400">
        <f>SIN($AC$9 * PI()/180) + 1/Performance!$AE$8</f>
        <v>0.22738716112204788</v>
      </c>
      <c r="O400" s="60">
        <f>$AC$16 * (Performance!$E$12/Constraints!A400 + Performance!$E$23 * (Constraints!$AC$13/Constraints!$AC$17)^2 * Constraints!A400)</f>
        <v>2.1346553157821271E-4</v>
      </c>
      <c r="P400" t="e">
        <f t="shared" si="23"/>
        <v>#VALUE!</v>
      </c>
      <c r="Q400">
        <f t="shared" si="24"/>
        <v>79.443188805334813</v>
      </c>
      <c r="R400">
        <f t="shared" si="25"/>
        <v>87.909236935583394</v>
      </c>
      <c r="S400" t="e">
        <f xml:space="preserve"> 1.667/G400 + P400/A400 * Performance!$E$12 + Performance!$E$23 / Constraints!P400 * Constraints!A400</f>
        <v>#VALUE!</v>
      </c>
      <c r="T400">
        <f xml:space="preserve"> 1.667/H400 + Q400/A400 * Performance!$E$12 + Performance!$E$23 / Constraints!Q400 * Constraints!A400</f>
        <v>0.20174898932878527</v>
      </c>
      <c r="U400">
        <f xml:space="preserve"> 1.667/I400 + R400/A400 * Performance!$E$12 + Performance!$E$23 / Constraints!R400 * Constraints!A400</f>
        <v>0.18924725142720067</v>
      </c>
    </row>
    <row r="401" spans="1:21" x14ac:dyDescent="0.3">
      <c r="A401" s="51">
        <v>199.5</v>
      </c>
      <c r="B401" s="50">
        <f>$V$4*Performance!$E$12*(1/A401)+Performance!$E$23*(1/Constraints!$V$4)*Constraints!A401</f>
        <v>0.15025655512599018</v>
      </c>
      <c r="C401" s="50">
        <f>$V$5*Performance!$E$12*(1/A401)+Performance!$E$23*(1/Constraints!$V$5)*Constraints!A401</f>
        <v>0.22729043786152536</v>
      </c>
      <c r="D401" s="52">
        <f t="shared" si="22"/>
        <v>0.35721699920195316</v>
      </c>
      <c r="E401" s="52">
        <f>$V$4*Performance!$E$12*(1/A401)+Performance!$E$23*(1/Constraints!$V$9)*Constraints!A401</f>
        <v>0.14935558117224851</v>
      </c>
      <c r="F401" s="52">
        <f xml:space="preserve"> 1.21 / (9.81 * Constraints!$N$7 * Performance!$E$15 * Constraints!$N$5 ) * Constraints!A401 + 0.605 /Performance!$E$15 * (Performance!$E$16  - Constraints!$N$6 * Performance!$E$14) + Constraints!$N$6</f>
        <v>0.35710625302539661</v>
      </c>
      <c r="G401" s="54" t="s">
        <v>198</v>
      </c>
      <c r="H401" s="55">
        <f>SQRT(2/$V$3 * A401 * SQRT(Performance!$E$23 / (3 * Performance!$E$12)))</f>
        <v>17.416133063397393</v>
      </c>
      <c r="I401" s="55">
        <f>SQRT(2/$V$3 * A401 * (SQRT(Performance!$E$23)/(SQRT(3*Performance!$E$12 + 4* Performance!$E$23 * Performance!$E$11^2) - SQRT(Performance!$E$23)*Performance!$E$11)))</f>
        <v>18.32064060373235</v>
      </c>
      <c r="J401" t="e">
        <f xml:space="preserve"> $AC$3/G401 + $AC$6/A401 * Performance!$E$12 + Performance!$E$23/Constraints!$AC$6 * Constraints!A401</f>
        <v>#VALUE!</v>
      </c>
      <c r="K401">
        <f xml:space="preserve"> $AC$3/H401 + $AC$6/A401 * Performance!$E$12 + Performance!$E$23/Constraints!$AC$6 * Constraints!A401</f>
        <v>0.93438019625903634</v>
      </c>
      <c r="L401">
        <f xml:space="preserve"> $AC$3/I401 + $AC$6/A401 * Performance!$E$12 + Performance!$E$23/Constraints!$AC$6 * Constraints!A401</f>
        <v>0.91997949919590682</v>
      </c>
      <c r="M401">
        <f>SIN($AC$9 * PI()/180) + 1/Performance!$AE$5</f>
        <v>0.24073077270730886</v>
      </c>
      <c r="N401">
        <f>SIN($AC$9 * PI()/180) + 1/Performance!$AE$8</f>
        <v>0.22738716112204788</v>
      </c>
      <c r="O401" s="60">
        <f>$AC$16 * (Performance!$E$12/Constraints!A401 + Performance!$E$23 * (Constraints!$AC$13/Constraints!$AC$17)^2 * Constraints!A401)</f>
        <v>2.1338213447978218E-4</v>
      </c>
      <c r="P401" t="e">
        <f t="shared" si="23"/>
        <v>#VALUE!</v>
      </c>
      <c r="Q401">
        <f t="shared" si="24"/>
        <v>79.642794807358257</v>
      </c>
      <c r="R401">
        <f t="shared" si="25"/>
        <v>88.130114415321032</v>
      </c>
      <c r="S401" t="e">
        <f xml:space="preserve"> 1.667/G401 + P401/A401 * Performance!$E$12 + Performance!$E$23 / Constraints!P401 * Constraints!A401</f>
        <v>#VALUE!</v>
      </c>
      <c r="T401">
        <f xml:space="preserve"> 1.667/H401 + Q401/A401 * Performance!$E$12 + Performance!$E$23 / Constraints!Q401 * Constraints!A401</f>
        <v>0.20162881872131494</v>
      </c>
      <c r="U401">
        <f xml:space="preserve"> 1.667/I401 + R401/A401 * Performance!$E$12 + Performance!$E$23 / Constraints!R401 * Constraints!A401</f>
        <v>0.18913301375749897</v>
      </c>
    </row>
    <row r="402" spans="1:21" x14ac:dyDescent="0.3">
      <c r="A402" s="51">
        <v>200</v>
      </c>
      <c r="B402" s="50">
        <f>$V$4*Performance!$E$12*(1/A402)+Performance!$E$23*(1/Constraints!$V$4)*Constraints!A402</f>
        <v>0.14992047819961254</v>
      </c>
      <c r="C402" s="50">
        <f>$V$5*Performance!$E$12*(1/A402)+Performance!$E$23*(1/Constraints!$V$5)*Constraints!A402</f>
        <v>0.22674755574944308</v>
      </c>
      <c r="D402" s="52">
        <f t="shared" si="22"/>
        <v>0.35748928491423876</v>
      </c>
      <c r="E402" s="52">
        <f>$V$4*Performance!$E$12*(1/A402)+Performance!$E$23*(1/Constraints!$V$9)*Constraints!A402</f>
        <v>0.14901724616578629</v>
      </c>
      <c r="F402" s="52">
        <f xml:space="preserve"> 1.21 / (9.81 * Constraints!$N$7 * Performance!$E$15 * Constraints!$N$5 ) * Constraints!A402 + 0.605 /Performance!$E$15 * (Performance!$E$16  - Constraints!$N$6 * Performance!$E$14) + Constraints!$N$6</f>
        <v>0.35737826117834248</v>
      </c>
      <c r="G402" s="54" t="s">
        <v>198</v>
      </c>
      <c r="H402" s="55">
        <f>SQRT(2/$V$3 * A402 * SQRT(Performance!$E$23 / (3 * Performance!$E$12)))</f>
        <v>17.437944134014661</v>
      </c>
      <c r="I402" s="55">
        <f>SQRT(2/$V$3 * A402 * (SQRT(Performance!$E$23)/(SQRT(3*Performance!$E$12 + 4* Performance!$E$23 * Performance!$E$11^2) - SQRT(Performance!$E$23)*Performance!$E$11)))</f>
        <v>18.343584433140812</v>
      </c>
      <c r="J402" t="e">
        <f xml:space="preserve"> $AC$3/G402 + $AC$6/A402 * Performance!$E$12 + Performance!$E$23/Constraints!$AC$6 * Constraints!A402</f>
        <v>#VALUE!</v>
      </c>
      <c r="K402">
        <f xml:space="preserve"> $AC$3/H402 + $AC$6/A402 * Performance!$E$12 + Performance!$E$23/Constraints!$AC$6 * Constraints!A402</f>
        <v>0.9356173447945757</v>
      </c>
      <c r="L402">
        <f xml:space="preserve"> $AC$3/I402 + $AC$6/A402 * Performance!$E$12 + Performance!$E$23/Constraints!$AC$6 * Constraints!A402</f>
        <v>0.92123465986740483</v>
      </c>
      <c r="M402">
        <f>SIN($AC$9 * PI()/180) + 1/Performance!$AE$5</f>
        <v>0.24073077270730886</v>
      </c>
      <c r="N402">
        <f>SIN($AC$9 * PI()/180) + 1/Performance!$AE$8</f>
        <v>0.22738716112204788</v>
      </c>
      <c r="O402" s="60">
        <f>$AC$16 * (Performance!$E$12/Constraints!A402 + Performance!$E$23 * (Constraints!$AC$13/Constraints!$AC$17)^2 * Constraints!A402)</f>
        <v>2.1330028479400376E-4</v>
      </c>
      <c r="P402" t="e">
        <f t="shared" si="23"/>
        <v>#VALUE!</v>
      </c>
      <c r="Q402">
        <f t="shared" si="24"/>
        <v>79.842400809381687</v>
      </c>
      <c r="R402">
        <f t="shared" si="25"/>
        <v>88.350991895058698</v>
      </c>
      <c r="S402" t="e">
        <f xml:space="preserve"> 1.667/G402 + P402/A402 * Performance!$E$12 + Performance!$E$23 / Constraints!P402 * Constraints!A402</f>
        <v>#VALUE!</v>
      </c>
      <c r="T402">
        <f xml:space="preserve"> 1.667/H402 + Q402/A402 * Performance!$E$12 + Performance!$E$23 / Constraints!Q402 * Constraints!A402</f>
        <v>0.2015090990357431</v>
      </c>
      <c r="U402">
        <f xml:space="preserve"> 1.667/I402 + R402/A402 * Performance!$E$12 + Performance!$E$23 / Constraints!R402 * Constraints!A402</f>
        <v>0.18901920474725051</v>
      </c>
    </row>
    <row r="403" spans="1:21" x14ac:dyDescent="0.3">
      <c r="A403" s="51">
        <v>200.5</v>
      </c>
      <c r="B403" s="50">
        <f>$V$4*Performance!$E$12*(1/A403)+Performance!$E$23*(1/Constraints!$V$4)*Constraints!A403</f>
        <v>0.14958617625535875</v>
      </c>
      <c r="C403" s="50">
        <f>$V$5*Performance!$E$12*(1/A403)+Performance!$E$23*(1/Constraints!$V$5)*Constraints!A403</f>
        <v>0.22620744455987044</v>
      </c>
      <c r="D403" s="52">
        <f t="shared" si="22"/>
        <v>0.35776157062652436</v>
      </c>
      <c r="E403" s="52">
        <f>$V$4*Performance!$E$12*(1/A403)+Performance!$E$23*(1/Constraints!$V$9)*Constraints!A403</f>
        <v>0.14868068614144794</v>
      </c>
      <c r="F403" s="52">
        <f xml:space="preserve"> 1.21 / (9.81 * Constraints!$N$7 * Performance!$E$15 * Constraints!$N$5 ) * Constraints!A403 + 0.605 /Performance!$E$15 * (Performance!$E$16  - Constraints!$N$6 * Performance!$E$14) + Constraints!$N$6</f>
        <v>0.35765026933128835</v>
      </c>
      <c r="G403" s="54" t="s">
        <v>198</v>
      </c>
      <c r="H403" s="55">
        <f>SQRT(2/$V$3 * A403 * SQRT(Performance!$E$23 / (3 * Performance!$E$12)))</f>
        <v>17.459727957791007</v>
      </c>
      <c r="I403" s="55">
        <f>SQRT(2/$V$3 * A403 * (SQRT(Performance!$E$23)/(SQRT(3*Performance!$E$12 + 4* Performance!$E$23 * Performance!$E$11^2) - SQRT(Performance!$E$23)*Performance!$E$11)))</f>
        <v>18.366499600642616</v>
      </c>
      <c r="J403" t="e">
        <f xml:space="preserve"> $AC$3/G403 + $AC$6/A403 * Performance!$E$12 + Performance!$E$23/Constraints!$AC$6 * Constraints!A403</f>
        <v>#VALUE!</v>
      </c>
      <c r="K403">
        <f xml:space="preserve"> $AC$3/H403 + $AC$6/A403 * Performance!$E$12 + Performance!$E$23/Constraints!$AC$6 * Constraints!A403</f>
        <v>0.9368558807789884</v>
      </c>
      <c r="L403">
        <f xml:space="preserve"> $AC$3/I403 + $AC$6/A403 * Performance!$E$12 + Performance!$E$23/Constraints!$AC$6 * Constraints!A403</f>
        <v>0.92249114056863335</v>
      </c>
      <c r="M403">
        <f>SIN($AC$9 * PI()/180) + 1/Performance!$AE$5</f>
        <v>0.24073077270730886</v>
      </c>
      <c r="N403">
        <f>SIN($AC$9 * PI()/180) + 1/Performance!$AE$8</f>
        <v>0.22738716112204788</v>
      </c>
      <c r="O403" s="60">
        <f>$AC$16 * (Performance!$E$12/Constraints!A403 + Performance!$E$23 * (Constraints!$AC$13/Constraints!$AC$17)^2 * Constraints!A403)</f>
        <v>2.1321997094422428E-4</v>
      </c>
      <c r="P403" t="e">
        <f t="shared" si="23"/>
        <v>#VALUE!</v>
      </c>
      <c r="Q403">
        <f t="shared" si="24"/>
        <v>80.042006811405159</v>
      </c>
      <c r="R403">
        <f t="shared" si="25"/>
        <v>88.571869374796336</v>
      </c>
      <c r="S403" t="e">
        <f xml:space="preserve"> 1.667/G403 + P403/A403 * Performance!$E$12 + Performance!$E$23 / Constraints!P403 * Constraints!A403</f>
        <v>#VALUE!</v>
      </c>
      <c r="T403">
        <f xml:space="preserve"> 1.667/H403 + Q403/A403 * Performance!$E$12 + Performance!$E$23 / Constraints!Q403 * Constraints!A403</f>
        <v>0.20138982745907963</v>
      </c>
      <c r="U403">
        <f xml:space="preserve"> 1.667/I403 + R403/A403 * Performance!$E$12 + Performance!$E$23 / Constraints!R403 * Constraints!A403</f>
        <v>0.18890582172234535</v>
      </c>
    </row>
    <row r="404" spans="1:21" x14ac:dyDescent="0.3">
      <c r="A404" s="51">
        <v>201</v>
      </c>
      <c r="B404" s="50">
        <f>$V$4*Performance!$E$12*(1/A404)+Performance!$E$23*(1/Constraints!$V$4)*Constraints!A404</f>
        <v>0.14925363604709355</v>
      </c>
      <c r="C404" s="50">
        <f>$V$5*Performance!$E$12*(1/A404)+Performance!$E$23*(1/Constraints!$V$5)*Constraints!A404</f>
        <v>0.2256700836142812</v>
      </c>
      <c r="D404" s="52">
        <f t="shared" si="22"/>
        <v>0.35803385633880996</v>
      </c>
      <c r="E404" s="52">
        <f>$V$4*Performance!$E$12*(1/A404)+Performance!$E$23*(1/Constraints!$V$9)*Constraints!A404</f>
        <v>0.14834588785309819</v>
      </c>
      <c r="F404" s="52">
        <f xml:space="preserve"> 1.21 / (9.81 * Constraints!$N$7 * Performance!$E$15 * Constraints!$N$5 ) * Constraints!A404 + 0.605 /Performance!$E$15 * (Performance!$E$16  - Constraints!$N$6 * Performance!$E$14) + Constraints!$N$6</f>
        <v>0.35792227748423422</v>
      </c>
      <c r="G404" s="54" t="s">
        <v>198</v>
      </c>
      <c r="H404" s="55">
        <f>SQRT(2/$V$3 * A404 * SQRT(Performance!$E$23 / (3 * Performance!$E$12)))</f>
        <v>17.481484636583971</v>
      </c>
      <c r="I404" s="55">
        <f>SQRT(2/$V$3 * A404 * (SQRT(Performance!$E$23)/(SQRT(3*Performance!$E$12 + 4* Performance!$E$23 * Performance!$E$11^2) - SQRT(Performance!$E$23)*Performance!$E$11)))</f>
        <v>18.389386213385283</v>
      </c>
      <c r="J404" t="e">
        <f xml:space="preserve"> $AC$3/G404 + $AC$6/A404 * Performance!$E$12 + Performance!$E$23/Constraints!$AC$6 * Constraints!A404</f>
        <v>#VALUE!</v>
      </c>
      <c r="K404">
        <f xml:space="preserve"> $AC$3/H404 + $AC$6/A404 * Performance!$E$12 + Performance!$E$23/Constraints!$AC$6 * Constraints!A404</f>
        <v>0.93809579555134759</v>
      </c>
      <c r="L404">
        <f xml:space="preserve"> $AC$3/I404 + $AC$6/A404 * Performance!$E$12 + Performance!$E$23/Constraints!$AC$6 * Constraints!A404</f>
        <v>0.92374893305820005</v>
      </c>
      <c r="M404">
        <f>SIN($AC$9 * PI()/180) + 1/Performance!$AE$5</f>
        <v>0.24073077270730886</v>
      </c>
      <c r="N404">
        <f>SIN($AC$9 * PI()/180) + 1/Performance!$AE$8</f>
        <v>0.22738716112204788</v>
      </c>
      <c r="O404" s="60">
        <f>$AC$16 * (Performance!$E$12/Constraints!A404 + Performance!$E$23 * (Constraints!$AC$13/Constraints!$AC$17)^2 * Constraints!A404)</f>
        <v>2.1314118146898101E-4</v>
      </c>
      <c r="P404" t="e">
        <f t="shared" si="23"/>
        <v>#VALUE!</v>
      </c>
      <c r="Q404">
        <f t="shared" si="24"/>
        <v>80.241612813428617</v>
      </c>
      <c r="R404">
        <f t="shared" si="25"/>
        <v>88.792746854533974</v>
      </c>
      <c r="S404" t="e">
        <f xml:space="preserve"> 1.667/G404 + P404/A404 * Performance!$E$12 + Performance!$E$23 / Constraints!P404 * Constraints!A404</f>
        <v>#VALUE!</v>
      </c>
      <c r="T404">
        <f xml:space="preserve"> 1.667/H404 + Q404/A404 * Performance!$E$12 + Performance!$E$23 / Constraints!Q404 * Constraints!A404</f>
        <v>0.20127100120284103</v>
      </c>
      <c r="U404">
        <f xml:space="preserve"> 1.667/I404 + R404/A404 * Performance!$E$12 + Performance!$E$23 / Constraints!R404 * Constraints!A404</f>
        <v>0.18879286203196993</v>
      </c>
    </row>
    <row r="405" spans="1:21" x14ac:dyDescent="0.3">
      <c r="A405" s="51">
        <v>201.5</v>
      </c>
      <c r="B405" s="50">
        <f>$V$4*Performance!$E$12*(1/A405)+Performance!$E$23*(1/Constraints!$V$4)*Constraints!A405</f>
        <v>0.14892284446015702</v>
      </c>
      <c r="C405" s="50">
        <f>$V$5*Performance!$E$12*(1/A405)+Performance!$E$23*(1/Constraints!$V$5)*Constraints!A405</f>
        <v>0.22513545243939517</v>
      </c>
      <c r="D405" s="52">
        <f t="shared" si="22"/>
        <v>0.35830614205109551</v>
      </c>
      <c r="E405" s="52">
        <f>$V$4*Performance!$E$12*(1/A405)+Performance!$E$23*(1/Constraints!$V$9)*Constraints!A405</f>
        <v>0.14801283818607708</v>
      </c>
      <c r="F405" s="52">
        <f xml:space="preserve"> 1.21 / (9.81 * Constraints!$N$7 * Performance!$E$15 * Constraints!$N$5 ) * Constraints!A405 + 0.605 /Performance!$E$15 * (Performance!$E$16  - Constraints!$N$6 * Performance!$E$14) + Constraints!$N$6</f>
        <v>0.35819428563718009</v>
      </c>
      <c r="G405" s="54" t="s">
        <v>198</v>
      </c>
      <c r="H405" s="55">
        <f>SQRT(2/$V$3 * A405 * SQRT(Performance!$E$23 / (3 * Performance!$E$12)))</f>
        <v>17.503214271618056</v>
      </c>
      <c r="I405" s="55">
        <f>SQRT(2/$V$3 * A405 * (SQRT(Performance!$E$23)/(SQRT(3*Performance!$E$12 + 4* Performance!$E$23 * Performance!$E$11^2) - SQRT(Performance!$E$23)*Performance!$E$11)))</f>
        <v>18.412244377850413</v>
      </c>
      <c r="J405" t="e">
        <f xml:space="preserve"> $AC$3/G405 + $AC$6/A405 * Performance!$E$12 + Performance!$E$23/Constraints!$AC$6 * Constraints!A405</f>
        <v>#VALUE!</v>
      </c>
      <c r="K405">
        <f xml:space="preserve"> $AC$3/H405 + $AC$6/A405 * Performance!$E$12 + Performance!$E$23/Constraints!$AC$6 * Constraints!A405</f>
        <v>0.93933708052619336</v>
      </c>
      <c r="L405">
        <f xml:space="preserve"> $AC$3/I405 + $AC$6/A405 * Performance!$E$12 + Performance!$E$23/Constraints!$AC$6 * Constraints!A405</f>
        <v>0.92500802916653391</v>
      </c>
      <c r="M405">
        <f>SIN($AC$9 * PI()/180) + 1/Performance!$AE$5</f>
        <v>0.24073077270730886</v>
      </c>
      <c r="N405">
        <f>SIN($AC$9 * PI()/180) + 1/Performance!$AE$8</f>
        <v>0.22738716112204788</v>
      </c>
      <c r="O405" s="60">
        <f>$AC$16 * (Performance!$E$12/Constraints!A405 + Performance!$E$23 * (Constraints!$AC$13/Constraints!$AC$17)^2 * Constraints!A405)</f>
        <v>2.1306390502057271E-4</v>
      </c>
      <c r="P405" t="e">
        <f t="shared" si="23"/>
        <v>#VALUE!</v>
      </c>
      <c r="Q405">
        <f t="shared" si="24"/>
        <v>80.441218815452075</v>
      </c>
      <c r="R405">
        <f t="shared" si="25"/>
        <v>89.013624334271626</v>
      </c>
      <c r="S405" t="e">
        <f xml:space="preserve"> 1.667/G405 + P405/A405 * Performance!$E$12 + Performance!$E$23 / Constraints!P405 * Constraints!A405</f>
        <v>#VALUE!</v>
      </c>
      <c r="T405">
        <f xml:space="preserve"> 1.667/H405 + Q405/A405 * Performance!$E$12 + Performance!$E$23 / Constraints!Q405 * Constraints!A405</f>
        <v>0.2011526175027763</v>
      </c>
      <c r="U405">
        <f xml:space="preserve"> 1.667/I405 + R405/A405 * Performance!$E$12 + Performance!$E$23 / Constraints!R405 * Constraints!A405</f>
        <v>0.18868032304834703</v>
      </c>
    </row>
    <row r="406" spans="1:21" x14ac:dyDescent="0.3">
      <c r="A406" s="51">
        <v>202</v>
      </c>
      <c r="B406" s="50">
        <f>$V$4*Performance!$E$12*(1/A406)+Performance!$E$23*(1/Constraints!$V$4)*Constraints!A406</f>
        <v>0.14859378850973723</v>
      </c>
      <c r="C406" s="50">
        <f>$V$5*Performance!$E$12*(1/A406)+Performance!$E$23*(1/Constraints!$V$5)*Constraints!A406</f>
        <v>0.22460353076463779</v>
      </c>
      <c r="D406" s="52">
        <f t="shared" si="22"/>
        <v>0.35857842776338111</v>
      </c>
      <c r="E406" s="52">
        <f>$V$4*Performance!$E$12*(1/A406)+Performance!$E$23*(1/Constraints!$V$9)*Constraints!A406</f>
        <v>0.14768152415557273</v>
      </c>
      <c r="F406" s="52">
        <f xml:space="preserve"> 1.21 / (9.81 * Constraints!$N$7 * Performance!$E$15 * Constraints!$N$5 ) * Constraints!A406 + 0.605 /Performance!$E$15 * (Performance!$E$16  - Constraints!$N$6 * Performance!$E$14) + Constraints!$N$6</f>
        <v>0.3584662937901259</v>
      </c>
      <c r="G406" s="54" t="s">
        <v>198</v>
      </c>
      <c r="H406" s="55">
        <f>SQRT(2/$V$3 * A406 * SQRT(Performance!$E$23 / (3 * Performance!$E$12)))</f>
        <v>17.524916963490199</v>
      </c>
      <c r="I406" s="55">
        <f>SQRT(2/$V$3 * A406 * (SQRT(Performance!$E$23)/(SQRT(3*Performance!$E$12 + 4* Performance!$E$23 * Performance!$E$11^2) - SQRT(Performance!$E$23)*Performance!$E$11)))</f>
        <v>18.43507419985945</v>
      </c>
      <c r="J406" t="e">
        <f xml:space="preserve"> $AC$3/G406 + $AC$6/A406 * Performance!$E$12 + Performance!$E$23/Constraints!$AC$6 * Constraints!A406</f>
        <v>#VALUE!</v>
      </c>
      <c r="K406">
        <f xml:space="preserve"> $AC$3/H406 + $AC$6/A406 * Performance!$E$12 + Performance!$E$23/Constraints!$AC$6 * Constraints!A406</f>
        <v>0.9405797271926909</v>
      </c>
      <c r="L406">
        <f xml:space="preserve"> $AC$3/I406 + $AC$6/A406 * Performance!$E$12 + Performance!$E$23/Constraints!$AC$6 * Constraints!A406</f>
        <v>0.9262684207950832</v>
      </c>
      <c r="M406">
        <f>SIN($AC$9 * PI()/180) + 1/Performance!$AE$5</f>
        <v>0.24073077270730886</v>
      </c>
      <c r="N406">
        <f>SIN($AC$9 * PI()/180) + 1/Performance!$AE$8</f>
        <v>0.22738716112204788</v>
      </c>
      <c r="O406" s="60">
        <f>$AC$16 * (Performance!$E$12/Constraints!A406 + Performance!$E$23 * (Constraints!$AC$13/Constraints!$AC$17)^2 * Constraints!A406)</f>
        <v>2.1298813036365157E-4</v>
      </c>
      <c r="P406" t="e">
        <f t="shared" si="23"/>
        <v>#VALUE!</v>
      </c>
      <c r="Q406">
        <f t="shared" si="24"/>
        <v>80.640824817475519</v>
      </c>
      <c r="R406">
        <f t="shared" si="25"/>
        <v>89.234501814009278</v>
      </c>
      <c r="S406" t="e">
        <f xml:space="preserve"> 1.667/G406 + P406/A406 * Performance!$E$12 + Performance!$E$23 / Constraints!P406 * Constraints!A406</f>
        <v>#VALUE!</v>
      </c>
      <c r="T406">
        <f xml:space="preserve"> 1.667/H406 + Q406/A406 * Performance!$E$12 + Performance!$E$23 / Constraints!Q406 * Constraints!A406</f>
        <v>0.20103467361859712</v>
      </c>
      <c r="U406">
        <f xml:space="preserve"> 1.667/I406 + R406/A406 * Performance!$E$12 + Performance!$E$23 / Constraints!R406 * Constraints!A406</f>
        <v>0.1885682021664789</v>
      </c>
    </row>
    <row r="407" spans="1:21" x14ac:dyDescent="0.3">
      <c r="A407" s="51">
        <v>202.5</v>
      </c>
      <c r="B407" s="50">
        <f>$V$4*Performance!$E$12*(1/A407)+Performance!$E$23*(1/Constraints!$V$4)*Constraints!A407</f>
        <v>0.14826645533926747</v>
      </c>
      <c r="C407" s="50">
        <f>$V$5*Performance!$E$12*(1/A407)+Performance!$E$23*(1/Constraints!$V$5)*Constraints!A407</f>
        <v>0.22407429851963767</v>
      </c>
      <c r="D407" s="52">
        <f t="shared" ref="D407:D470" si="26">1.21/(9.8*$N$7*$N$8*$N$5)*A407+0.605/$N$8*($N$11-$N$6*$N$10)+$N$6</f>
        <v>0.35885071347566672</v>
      </c>
      <c r="E407" s="52">
        <f>$V$4*Performance!$E$12*(1/A407)+Performance!$E$23*(1/Constraints!$V$9)*Constraints!A407</f>
        <v>0.14735193290501841</v>
      </c>
      <c r="F407" s="52">
        <f xml:space="preserve"> 1.21 / (9.81 * Constraints!$N$7 * Performance!$E$15 * Constraints!$N$5 ) * Constraints!A407 + 0.605 /Performance!$E$15 * (Performance!$E$16  - Constraints!$N$6 * Performance!$E$14) + Constraints!$N$6</f>
        <v>0.35873830194307177</v>
      </c>
      <c r="G407" s="54" t="s">
        <v>198</v>
      </c>
      <c r="H407" s="55">
        <f>SQRT(2/$V$3 * A407 * SQRT(Performance!$E$23 / (3 * Performance!$E$12)))</f>
        <v>17.54659281217522</v>
      </c>
      <c r="I407" s="55">
        <f>SQRT(2/$V$3 * A407 * (SQRT(Performance!$E$23)/(SQRT(3*Performance!$E$12 + 4* Performance!$E$23 * Performance!$E$11^2) - SQRT(Performance!$E$23)*Performance!$E$11)))</f>
        <v>18.457875784579411</v>
      </c>
      <c r="J407" t="e">
        <f xml:space="preserve"> $AC$3/G407 + $AC$6/A407 * Performance!$E$12 + Performance!$E$23/Constraints!$AC$6 * Constraints!A407</f>
        <v>#VALUE!</v>
      </c>
      <c r="K407">
        <f xml:space="preserve"> $AC$3/H407 + $AC$6/A407 * Performance!$E$12 + Performance!$E$23/Constraints!$AC$6 * Constraints!A407</f>
        <v>0.94182372711379758</v>
      </c>
      <c r="L407">
        <f xml:space="preserve"> $AC$3/I407 + $AC$6/A407 * Performance!$E$12 + Performance!$E$23/Constraints!$AC$6 * Constraints!A407</f>
        <v>0.92753009991552393</v>
      </c>
      <c r="M407">
        <f>SIN($AC$9 * PI()/180) + 1/Performance!$AE$5</f>
        <v>0.24073077270730886</v>
      </c>
      <c r="N407">
        <f>SIN($AC$9 * PI()/180) + 1/Performance!$AE$8</f>
        <v>0.22738716112204788</v>
      </c>
      <c r="O407" s="60">
        <f>$AC$16 * (Performance!$E$12/Constraints!A407 + Performance!$E$23 * (Constraints!$AC$13/Constraints!$AC$17)^2 * Constraints!A407)</f>
        <v>2.1291384637383621E-4</v>
      </c>
      <c r="P407" t="e">
        <f t="shared" ref="P407:P470" si="27" xml:space="preserve"> 0.5 * $AJ$4 * G407^2</f>
        <v>#VALUE!</v>
      </c>
      <c r="Q407">
        <f t="shared" ref="Q407:Q470" si="28" xml:space="preserve"> 0.5 * $AJ$4 * H407^2</f>
        <v>80.840430819498977</v>
      </c>
      <c r="R407">
        <f t="shared" ref="R407:R470" si="29" xml:space="preserve"> 0.5 * $AJ$4 * I407^2</f>
        <v>89.455379293746915</v>
      </c>
      <c r="S407" t="e">
        <f xml:space="preserve"> 1.667/G407 + P407/A407 * Performance!$E$12 + Performance!$E$23 / Constraints!P407 * Constraints!A407</f>
        <v>#VALUE!</v>
      </c>
      <c r="T407">
        <f xml:space="preserve"> 1.667/H407 + Q407/A407 * Performance!$E$12 + Performance!$E$23 / Constraints!Q407 * Constraints!A407</f>
        <v>0.20091716683371119</v>
      </c>
      <c r="U407">
        <f xml:space="preserve"> 1.667/I407 + R407/A407 * Performance!$E$12 + Performance!$E$23 / Constraints!R407 * Constraints!A407</f>
        <v>0.1884564968038942</v>
      </c>
    </row>
    <row r="408" spans="1:21" x14ac:dyDescent="0.3">
      <c r="A408" s="51">
        <v>203</v>
      </c>
      <c r="B408" s="50">
        <f>$V$4*Performance!$E$12*(1/A408)+Performance!$E$23*(1/Constraints!$V$4)*Constraints!A408</f>
        <v>0.14794083221884663</v>
      </c>
      <c r="C408" s="50">
        <f>$V$5*Performance!$E$12*(1/A408)+Performance!$E$23*(1/Constraints!$V$5)*Constraints!A408</f>
        <v>0.22354773583176127</v>
      </c>
      <c r="D408" s="52">
        <f t="shared" si="26"/>
        <v>0.35912299918795232</v>
      </c>
      <c r="E408" s="52">
        <f>$V$4*Performance!$E$12*(1/A408)+Performance!$E$23*(1/Constraints!$V$9)*Constraints!A408</f>
        <v>0.14702405170451299</v>
      </c>
      <c r="F408" s="52">
        <f xml:space="preserve"> 1.21 / (9.81 * Constraints!$N$7 * Performance!$E$15 * Constraints!$N$5 ) * Constraints!A408 + 0.605 /Performance!$E$15 * (Performance!$E$16  - Constraints!$N$6 * Performance!$E$14) + Constraints!$N$6</f>
        <v>0.35901031009601764</v>
      </c>
      <c r="G408" s="54" t="s">
        <v>198</v>
      </c>
      <c r="H408" s="55">
        <f>SQRT(2/$V$3 * A408 * SQRT(Performance!$E$23 / (3 * Performance!$E$12)))</f>
        <v>17.568241917031187</v>
      </c>
      <c r="I408" s="55">
        <f>SQRT(2/$V$3 * A408 * (SQRT(Performance!$E$23)/(SQRT(3*Performance!$E$12 + 4* Performance!$E$23 * Performance!$E$11^2) - SQRT(Performance!$E$23)*Performance!$E$11)))</f>
        <v>18.480649236528524</v>
      </c>
      <c r="J408" t="e">
        <f xml:space="preserve"> $AC$3/G408 + $AC$6/A408 * Performance!$E$12 + Performance!$E$23/Constraints!$AC$6 * Constraints!A408</f>
        <v>#VALUE!</v>
      </c>
      <c r="K408">
        <f xml:space="preserve"> $AC$3/H408 + $AC$6/A408 * Performance!$E$12 + Performance!$E$23/Constraints!$AC$6 * Constraints!A408</f>
        <v>0.9430690719254432</v>
      </c>
      <c r="L408">
        <f xml:space="preserve"> $AC$3/I408 + $AC$6/A408 * Performance!$E$12 + Performance!$E$23/Constraints!$AC$6 * Constraints!A408</f>
        <v>0.92879305856897854</v>
      </c>
      <c r="M408">
        <f>SIN($AC$9 * PI()/180) + 1/Performance!$AE$5</f>
        <v>0.24073077270730886</v>
      </c>
      <c r="N408">
        <f>SIN($AC$9 * PI()/180) + 1/Performance!$AE$8</f>
        <v>0.22738716112204788</v>
      </c>
      <c r="O408" s="60">
        <f>$AC$16 * (Performance!$E$12/Constraints!A408 + Performance!$E$23 * (Constraints!$AC$13/Constraints!$AC$17)^2 * Constraints!A408)</f>
        <v>2.1284104203634507E-4</v>
      </c>
      <c r="P408" t="e">
        <f t="shared" si="27"/>
        <v>#VALUE!</v>
      </c>
      <c r="Q408">
        <f t="shared" si="28"/>
        <v>81.040036821522449</v>
      </c>
      <c r="R408">
        <f t="shared" si="29"/>
        <v>89.676256773484553</v>
      </c>
      <c r="S408" t="e">
        <f xml:space="preserve"> 1.667/G408 + P408/A408 * Performance!$E$12 + Performance!$E$23 / Constraints!P408 * Constraints!A408</f>
        <v>#VALUE!</v>
      </c>
      <c r="T408">
        <f xml:space="preserve"> 1.667/H408 + Q408/A408 * Performance!$E$12 + Performance!$E$23 / Constraints!Q408 * Constraints!A408</f>
        <v>0.20080009445495978</v>
      </c>
      <c r="U408">
        <f xml:space="preserve"> 1.667/I408 + R408/A408 * Performance!$E$12 + Performance!$E$23 / Constraints!R408 * Constraints!A408</f>
        <v>0.18834520440039781</v>
      </c>
    </row>
    <row r="409" spans="1:21" x14ac:dyDescent="0.3">
      <c r="A409" s="51">
        <v>203.5</v>
      </c>
      <c r="B409" s="50">
        <f>$V$4*Performance!$E$12*(1/A409)+Performance!$E$23*(1/Constraints!$V$4)*Constraints!A409</f>
        <v>0.14761690654368312</v>
      </c>
      <c r="C409" s="50">
        <f>$V$5*Performance!$E$12*(1/A409)+Performance!$E$23*(1/Constraints!$V$5)*Constraints!A409</f>
        <v>0.22302382302368323</v>
      </c>
      <c r="D409" s="52">
        <f t="shared" si="26"/>
        <v>0.35939528490023792</v>
      </c>
      <c r="E409" s="52">
        <f>$V$4*Performance!$E$12*(1/A409)+Performance!$E$23*(1/Constraints!$V$9)*Constraints!A409</f>
        <v>0.1466978679492649</v>
      </c>
      <c r="F409" s="52">
        <f xml:space="preserve"> 1.21 / (9.81 * Constraints!$N$7 * Performance!$E$15 * Constraints!$N$5 ) * Constraints!A409 + 0.605 /Performance!$E$15 * (Performance!$E$16  - Constraints!$N$6 * Performance!$E$14) + Constraints!$N$6</f>
        <v>0.35928231824896351</v>
      </c>
      <c r="G409" s="54" t="s">
        <v>198</v>
      </c>
      <c r="H409" s="55">
        <f>SQRT(2/$V$3 * A409 * SQRT(Performance!$E$23 / (3 * Performance!$E$12)))</f>
        <v>17.589864376804734</v>
      </c>
      <c r="I409" s="55">
        <f>SQRT(2/$V$3 * A409 * (SQRT(Performance!$E$23)/(SQRT(3*Performance!$E$12 + 4* Performance!$E$23 * Performance!$E$11^2) - SQRT(Performance!$E$23)*Performance!$E$11)))</f>
        <v>18.50339465958184</v>
      </c>
      <c r="J409" t="e">
        <f xml:space="preserve"> $AC$3/G409 + $AC$6/A409 * Performance!$E$12 + Performance!$E$23/Constraints!$AC$6 * Constraints!A409</f>
        <v>#VALUE!</v>
      </c>
      <c r="K409">
        <f xml:space="preserve"> $AC$3/H409 + $AC$6/A409 * Performance!$E$12 + Performance!$E$23/Constraints!$AC$6 * Constraints!A409</f>
        <v>0.94431575333572093</v>
      </c>
      <c r="L409">
        <f xml:space="preserve"> $AC$3/I409 + $AC$6/A409 * Performance!$E$12 + Performance!$E$23/Constraints!$AC$6 * Constraints!A409</f>
        <v>0.93005728886524619</v>
      </c>
      <c r="M409">
        <f>SIN($AC$9 * PI()/180) + 1/Performance!$AE$5</f>
        <v>0.24073077270730886</v>
      </c>
      <c r="N409">
        <f>SIN($AC$9 * PI()/180) + 1/Performance!$AE$8</f>
        <v>0.22738716112204788</v>
      </c>
      <c r="O409" s="60">
        <f>$AC$16 * (Performance!$E$12/Constraints!A409 + Performance!$E$23 * (Constraints!$AC$13/Constraints!$AC$17)^2 * Constraints!A409)</f>
        <v>2.1276970644464998E-4</v>
      </c>
      <c r="P409" t="e">
        <f t="shared" si="27"/>
        <v>#VALUE!</v>
      </c>
      <c r="Q409">
        <f t="shared" si="28"/>
        <v>81.239642823545893</v>
      </c>
      <c r="R409">
        <f t="shared" si="29"/>
        <v>89.897134253222205</v>
      </c>
      <c r="S409" t="e">
        <f xml:space="preserve"> 1.667/G409 + P409/A409 * Performance!$E$12 + Performance!$E$23 / Constraints!P409 * Constraints!A409</f>
        <v>#VALUE!</v>
      </c>
      <c r="T409">
        <f xml:space="preserve"> 1.667/H409 + Q409/A409 * Performance!$E$12 + Performance!$E$23 / Constraints!Q409 * Constraints!A409</f>
        <v>0.20068345381235808</v>
      </c>
      <c r="U409">
        <f xml:space="preserve"> 1.667/I409 + R409/A409 * Performance!$E$12 + Performance!$E$23 / Constraints!R409 * Constraints!A409</f>
        <v>0.1882343224178247</v>
      </c>
    </row>
    <row r="410" spans="1:21" x14ac:dyDescent="0.3">
      <c r="A410" s="51">
        <v>204</v>
      </c>
      <c r="B410" s="50">
        <f>$V$4*Performance!$E$12*(1/A410)+Performance!$E$23*(1/Constraints!$V$4)*Constraints!A410</f>
        <v>0.14729466583256187</v>
      </c>
      <c r="C410" s="50">
        <f>$V$5*Performance!$E$12*(1/A410)+Performance!$E$23*(1/Constraints!$V$5)*Constraints!A410</f>
        <v>0.22250254061099331</v>
      </c>
      <c r="D410" s="52">
        <f t="shared" si="26"/>
        <v>0.35966757061252352</v>
      </c>
      <c r="E410" s="52">
        <f>$V$4*Performance!$E$12*(1/A410)+Performance!$E$23*(1/Constraints!$V$9)*Constraints!A410</f>
        <v>0.1463733691580591</v>
      </c>
      <c r="F410" s="52">
        <f xml:space="preserve"> 1.21 / (9.81 * Constraints!$N$7 * Performance!$E$15 * Constraints!$N$5 ) * Constraints!A410 + 0.605 /Performance!$E$15 * (Performance!$E$16  - Constraints!$N$6 * Performance!$E$14) + Constraints!$N$6</f>
        <v>0.35955432640190932</v>
      </c>
      <c r="G410" s="54" t="s">
        <v>198</v>
      </c>
      <c r="H410" s="55">
        <f>SQRT(2/$V$3 * A410 * SQRT(Performance!$E$23 / (3 * Performance!$E$12)))</f>
        <v>17.611460289636312</v>
      </c>
      <c r="I410" s="55">
        <f>SQRT(2/$V$3 * A410 * (SQRT(Performance!$E$23)/(SQRT(3*Performance!$E$12 + 4* Performance!$E$23 * Performance!$E$11^2) - SQRT(Performance!$E$23)*Performance!$E$11)))</f>
        <v>18.526112156976737</v>
      </c>
      <c r="J410" t="e">
        <f xml:space="preserve"> $AC$3/G410 + $AC$6/A410 * Performance!$E$12 + Performance!$E$23/Constraints!$AC$6 * Constraints!A410</f>
        <v>#VALUE!</v>
      </c>
      <c r="K410">
        <f xml:space="preserve"> $AC$3/H410 + $AC$6/A410 * Performance!$E$12 + Performance!$E$23/Constraints!$AC$6 * Constraints!A410</f>
        <v>0.94556376312408918</v>
      </c>
      <c r="L410">
        <f xml:space="preserve"> $AC$3/I410 + $AC$6/A410 * Performance!$E$12 + Performance!$E$23/Constraints!$AC$6 * Constraints!A410</f>
        <v>0.9313227829820433</v>
      </c>
      <c r="M410">
        <f>SIN($AC$9 * PI()/180) + 1/Performance!$AE$5</f>
        <v>0.24073077270730886</v>
      </c>
      <c r="N410">
        <f>SIN($AC$9 * PI()/180) + 1/Performance!$AE$8</f>
        <v>0.22738716112204788</v>
      </c>
      <c r="O410" s="60">
        <f>$AC$16 * (Performance!$E$12/Constraints!A410 + Performance!$E$23 * (Constraints!$AC$13/Constraints!$AC$17)^2 * Constraints!A410)</f>
        <v>2.1269982879914943E-4</v>
      </c>
      <c r="P410" t="e">
        <f t="shared" si="27"/>
        <v>#VALUE!</v>
      </c>
      <c r="Q410">
        <f t="shared" si="28"/>
        <v>81.439248825569351</v>
      </c>
      <c r="R410">
        <f t="shared" si="29"/>
        <v>90.118011732959872</v>
      </c>
      <c r="S410" t="e">
        <f xml:space="preserve"> 1.667/G410 + P410/A410 * Performance!$E$12 + Performance!$E$23 / Constraints!P410 * Constraints!A410</f>
        <v>#VALUE!</v>
      </c>
      <c r="T410">
        <f xml:space="preserve"> 1.667/H410 + Q410/A410 * Performance!$E$12 + Performance!$E$23 / Constraints!Q410 * Constraints!A410</f>
        <v>0.20056724225883971</v>
      </c>
      <c r="U410">
        <f xml:space="preserve"> 1.667/I410 + R410/A410 * Performance!$E$12 + Performance!$E$23 / Constraints!R410 * Constraints!A410</f>
        <v>0.18812384833979662</v>
      </c>
    </row>
    <row r="411" spans="1:21" x14ac:dyDescent="0.3">
      <c r="A411" s="51">
        <v>204.5</v>
      </c>
      <c r="B411" s="50">
        <f>$V$4*Performance!$E$12*(1/A411)+Performance!$E$23*(1/Constraints!$V$4)*Constraints!A411</f>
        <v>0.14697409772633346</v>
      </c>
      <c r="C411" s="50">
        <f>$V$5*Performance!$E$12*(1/A411)+Performance!$E$23*(1/Constraints!$V$5)*Constraints!A411</f>
        <v>0.22198386929983785</v>
      </c>
      <c r="D411" s="52">
        <f t="shared" si="26"/>
        <v>0.35993985632480913</v>
      </c>
      <c r="E411" s="52">
        <f>$V$4*Performance!$E$12*(1/A411)+Performance!$E$23*(1/Constraints!$V$9)*Constraints!A411</f>
        <v>0.14605054297174611</v>
      </c>
      <c r="F411" s="52">
        <f xml:space="preserve"> 1.21 / (9.81 * Constraints!$N$7 * Performance!$E$15 * Constraints!$N$5 ) * Constraints!A411 + 0.605 /Performance!$E$15 * (Performance!$E$16  - Constraints!$N$6 * Performance!$E$14) + Constraints!$N$6</f>
        <v>0.35982633455485519</v>
      </c>
      <c r="G411" s="54" t="s">
        <v>198</v>
      </c>
      <c r="H411" s="55">
        <f>SQRT(2/$V$3 * A411 * SQRT(Performance!$E$23 / (3 * Performance!$E$12)))</f>
        <v>17.63302975306539</v>
      </c>
      <c r="I411" s="55">
        <f>SQRT(2/$V$3 * A411 * (SQRT(Performance!$E$23)/(SQRT(3*Performance!$E$12 + 4* Performance!$E$23 * Performance!$E$11^2) - SQRT(Performance!$E$23)*Performance!$E$11)))</f>
        <v>18.548801831318393</v>
      </c>
      <c r="J411" t="e">
        <f xml:space="preserve"> $AC$3/G411 + $AC$6/A411 * Performance!$E$12 + Performance!$E$23/Constraints!$AC$6 * Constraints!A411</f>
        <v>#VALUE!</v>
      </c>
      <c r="K411">
        <f xml:space="preserve"> $AC$3/H411 + $AC$6/A411 * Performance!$E$12 + Performance!$E$23/Constraints!$AC$6 * Constraints!A411</f>
        <v>0.94681309314058293</v>
      </c>
      <c r="L411">
        <f xml:space="preserve"> $AC$3/I411 + $AC$6/A411 * Performance!$E$12 + Performance!$E$23/Constraints!$AC$6 * Constraints!A411</f>
        <v>0.93258953316425286</v>
      </c>
      <c r="M411">
        <f>SIN($AC$9 * PI()/180) + 1/Performance!$AE$5</f>
        <v>0.24073077270730886</v>
      </c>
      <c r="N411">
        <f>SIN($AC$9 * PI()/180) + 1/Performance!$AE$8</f>
        <v>0.22738716112204788</v>
      </c>
      <c r="O411" s="60">
        <f>$AC$16 * (Performance!$E$12/Constraints!A411 + Performance!$E$23 * (Constraints!$AC$13/Constraints!$AC$17)^2 * Constraints!A411)</f>
        <v>2.126313984058616E-4</v>
      </c>
      <c r="P411" t="e">
        <f t="shared" si="27"/>
        <v>#VALUE!</v>
      </c>
      <c r="Q411">
        <f t="shared" si="28"/>
        <v>81.638854827592809</v>
      </c>
      <c r="R411">
        <f t="shared" si="29"/>
        <v>90.338889212697481</v>
      </c>
      <c r="S411" t="e">
        <f xml:space="preserve"> 1.667/G411 + P411/A411 * Performance!$E$12 + Performance!$E$23 / Constraints!P411 * Constraints!A411</f>
        <v>#VALUE!</v>
      </c>
      <c r="T411">
        <f xml:space="preserve"> 1.667/H411 + Q411/A411 * Performance!$E$12 + Performance!$E$23 / Constraints!Q411 * Constraints!A411</f>
        <v>0.20045145717000423</v>
      </c>
      <c r="U411">
        <f xml:space="preserve"> 1.667/I411 + R411/A411 * Performance!$E$12 + Performance!$E$23 / Constraints!R411 * Constraints!A411</f>
        <v>0.18801377967148253</v>
      </c>
    </row>
    <row r="412" spans="1:21" x14ac:dyDescent="0.3">
      <c r="A412" s="51">
        <v>205</v>
      </c>
      <c r="B412" s="50">
        <f>$V$4*Performance!$E$12*(1/A412)+Performance!$E$23*(1/Constraints!$V$4)*Constraints!A412</f>
        <v>0.1466551899864254</v>
      </c>
      <c r="C412" s="50">
        <f>$V$5*Performance!$E$12*(1/A412)+Performance!$E$23*(1/Constraints!$V$5)*Constraints!A412</f>
        <v>0.22146778998459579</v>
      </c>
      <c r="D412" s="52">
        <f t="shared" si="26"/>
        <v>0.36021214203709473</v>
      </c>
      <c r="E412" s="52">
        <f>$V$4*Performance!$E$12*(1/A412)+Performance!$E$23*(1/Constraints!$V$9)*Constraints!A412</f>
        <v>0.14572937715175349</v>
      </c>
      <c r="F412" s="52">
        <f xml:space="preserve"> 1.21 / (9.81 * Constraints!$N$7 * Performance!$E$15 * Constraints!$N$5 ) * Constraints!A412 + 0.605 /Performance!$E$15 * (Performance!$E$16  - Constraints!$N$6 * Performance!$E$14) + Constraints!$N$6</f>
        <v>0.36009834270780106</v>
      </c>
      <c r="G412" s="54" t="s">
        <v>198</v>
      </c>
      <c r="H412" s="55">
        <f>SQRT(2/$V$3 * A412 * SQRT(Performance!$E$23 / (3 * Performance!$E$12)))</f>
        <v>17.65457286403559</v>
      </c>
      <c r="I412" s="55">
        <f>SQRT(2/$V$3 * A412 * (SQRT(Performance!$E$23)/(SQRT(3*Performance!$E$12 + 4* Performance!$E$23 * Performance!$E$11^2) - SQRT(Performance!$E$23)*Performance!$E$11)))</f>
        <v>18.571463784585212</v>
      </c>
      <c r="J412" t="e">
        <f xml:space="preserve"> $AC$3/G412 + $AC$6/A412 * Performance!$E$12 + Performance!$E$23/Constraints!$AC$6 * Constraints!A412</f>
        <v>#VALUE!</v>
      </c>
      <c r="K412">
        <f xml:space="preserve"> $AC$3/H412 + $AC$6/A412 * Performance!$E$12 + Performance!$E$23/Constraints!$AC$6 * Constraints!A412</f>
        <v>0.94806373530503807</v>
      </c>
      <c r="L412">
        <f xml:space="preserve"> $AC$3/I412 + $AC$6/A412 * Performance!$E$12 + Performance!$E$23/Constraints!$AC$6 * Constraints!A412</f>
        <v>0.93385753172318542</v>
      </c>
      <c r="M412">
        <f>SIN($AC$9 * PI()/180) + 1/Performance!$AE$5</f>
        <v>0.24073077270730886</v>
      </c>
      <c r="N412">
        <f>SIN($AC$9 * PI()/180) + 1/Performance!$AE$8</f>
        <v>0.22738716112204788</v>
      </c>
      <c r="O412" s="60">
        <f>$AC$16 * (Performance!$E$12/Constraints!A412 + Performance!$E$23 * (Constraints!$AC$13/Constraints!$AC$17)^2 * Constraints!A412)</f>
        <v>2.1256440467513619E-4</v>
      </c>
      <c r="P412" t="e">
        <f t="shared" si="27"/>
        <v>#VALUE!</v>
      </c>
      <c r="Q412">
        <f t="shared" si="28"/>
        <v>81.838460829616267</v>
      </c>
      <c r="R412">
        <f t="shared" si="29"/>
        <v>90.559766692435161</v>
      </c>
      <c r="S412" t="e">
        <f xml:space="preserve"> 1.667/G412 + P412/A412 * Performance!$E$12 + Performance!$E$23 / Constraints!P412 * Constraints!A412</f>
        <v>#VALUE!</v>
      </c>
      <c r="T412">
        <f xml:space="preserve"> 1.667/H412 + Q412/A412 * Performance!$E$12 + Performance!$E$23 / Constraints!Q412 * Constraints!A412</f>
        <v>0.20033609594386853</v>
      </c>
      <c r="U412">
        <f xml:space="preserve"> 1.667/I412 + R412/A412 * Performance!$E$12 + Performance!$E$23 / Constraints!R412 * Constraints!A412</f>
        <v>0.18790411393936135</v>
      </c>
    </row>
    <row r="413" spans="1:21" x14ac:dyDescent="0.3">
      <c r="A413" s="51">
        <v>205.5</v>
      </c>
      <c r="B413" s="50">
        <f>$V$4*Performance!$E$12*(1/A413)+Performance!$E$23*(1/Constraints!$V$4)*Constraints!A413</f>
        <v>0.1463379304933756</v>
      </c>
      <c r="C413" s="50">
        <f>$V$5*Performance!$E$12*(1/A413)+Performance!$E$23*(1/Constraints!$V$5)*Constraints!A413</f>
        <v>0.22095428374558901</v>
      </c>
      <c r="D413" s="52">
        <f t="shared" si="26"/>
        <v>0.36048442774938033</v>
      </c>
      <c r="E413" s="52">
        <f>$V$4*Performance!$E$12*(1/A413)+Performance!$E$23*(1/Constraints!$V$9)*Constraints!A413</f>
        <v>0.14540985957861913</v>
      </c>
      <c r="F413" s="52">
        <f xml:space="preserve"> 1.21 / (9.81 * Constraints!$N$7 * Performance!$E$15 * Constraints!$N$5 ) * Constraints!A413 + 0.605 /Performance!$E$15 * (Performance!$E$16  - Constraints!$N$6 * Performance!$E$14) + Constraints!$N$6</f>
        <v>0.36037035086074692</v>
      </c>
      <c r="G413" s="54" t="s">
        <v>198</v>
      </c>
      <c r="H413" s="55">
        <f>SQRT(2/$V$3 * A413 * SQRT(Performance!$E$23 / (3 * Performance!$E$12)))</f>
        <v>17.676089718899775</v>
      </c>
      <c r="I413" s="55">
        <f>SQRT(2/$V$3 * A413 * (SQRT(Performance!$E$23)/(SQRT(3*Performance!$E$12 + 4* Performance!$E$23 * Performance!$E$11^2) - SQRT(Performance!$E$23)*Performance!$E$11)))</f>
        <v>18.594098118134138</v>
      </c>
      <c r="J413" t="e">
        <f xml:space="preserve"> $AC$3/G413 + $AC$6/A413 * Performance!$E$12 + Performance!$E$23/Constraints!$AC$6 * Constraints!A413</f>
        <v>#VALUE!</v>
      </c>
      <c r="K413">
        <f xml:space="preserve"> $AC$3/H413 + $AC$6/A413 * Performance!$E$12 + Performance!$E$23/Constraints!$AC$6 * Constraints!A413</f>
        <v>0.94931568160632451</v>
      </c>
      <c r="L413">
        <f xml:space="preserve"> $AC$3/I413 + $AC$6/A413 * Performance!$E$12 + Performance!$E$23/Constraints!$AC$6 * Constraints!A413</f>
        <v>0.93512677103585062</v>
      </c>
      <c r="M413">
        <f>SIN($AC$9 * PI()/180) + 1/Performance!$AE$5</f>
        <v>0.24073077270730886</v>
      </c>
      <c r="N413">
        <f>SIN($AC$9 * PI()/180) + 1/Performance!$AE$8</f>
        <v>0.22738716112204788</v>
      </c>
      <c r="O413" s="60">
        <f>$AC$16 * (Performance!$E$12/Constraints!A413 + Performance!$E$23 * (Constraints!$AC$13/Constraints!$AC$17)^2 * Constraints!A413)</f>
        <v>2.1249883712038512E-4</v>
      </c>
      <c r="P413" t="e">
        <f t="shared" si="27"/>
        <v>#VALUE!</v>
      </c>
      <c r="Q413">
        <f t="shared" si="28"/>
        <v>82.038066831639696</v>
      </c>
      <c r="R413">
        <f t="shared" si="29"/>
        <v>90.780644172172813</v>
      </c>
      <c r="S413" t="e">
        <f xml:space="preserve"> 1.667/G413 + P413/A413 * Performance!$E$12 + Performance!$E$23 / Constraints!P413 * Constraints!A413</f>
        <v>#VALUE!</v>
      </c>
      <c r="T413">
        <f xml:space="preserve"> 1.667/H413 + Q413/A413 * Performance!$E$12 + Performance!$E$23 / Constraints!Q413 * Constraints!A413</f>
        <v>0.20022115600062082</v>
      </c>
      <c r="U413">
        <f xml:space="preserve"> 1.667/I413 + R413/A413 * Performance!$E$12 + Performance!$E$23 / Constraints!R413 * Constraints!A413</f>
        <v>0.18779484869098928</v>
      </c>
    </row>
    <row r="414" spans="1:21" x14ac:dyDescent="0.3">
      <c r="A414" s="51">
        <v>206</v>
      </c>
      <c r="B414" s="50">
        <f>$V$4*Performance!$E$12*(1/A414)+Performance!$E$23*(1/Constraints!$V$4)*Constraints!A414</f>
        <v>0.14602230724538645</v>
      </c>
      <c r="C414" s="50">
        <f>$V$5*Performance!$E$12*(1/A414)+Performance!$E$23*(1/Constraints!$V$5)*Constraints!A414</f>
        <v>0.22044333184682544</v>
      </c>
      <c r="D414" s="52">
        <f t="shared" si="26"/>
        <v>0.36075671346166588</v>
      </c>
      <c r="E414" s="52">
        <f>$V$4*Performance!$E$12*(1/A414)+Performance!$E$23*(1/Constraints!$V$9)*Constraints!A414</f>
        <v>0.14509197825054543</v>
      </c>
      <c r="F414" s="52">
        <f xml:space="preserve"> 1.21 / (9.81 * Constraints!$N$7 * Performance!$E$15 * Constraints!$N$5 ) * Constraints!A414 + 0.605 /Performance!$E$15 * (Performance!$E$16  - Constraints!$N$6 * Performance!$E$14) + Constraints!$N$6</f>
        <v>0.36064235901369279</v>
      </c>
      <c r="G414" s="54" t="s">
        <v>198</v>
      </c>
      <c r="H414" s="55">
        <f>SQRT(2/$V$3 * A414 * SQRT(Performance!$E$23 / (3 * Performance!$E$12)))</f>
        <v>17.697580413425076</v>
      </c>
      <c r="I414" s="55">
        <f>SQRT(2/$V$3 * A414 * (SQRT(Performance!$E$23)/(SQRT(3*Performance!$E$12 + 4* Performance!$E$23 * Performance!$E$11^2) - SQRT(Performance!$E$23)*Performance!$E$11)))</f>
        <v>18.616704932705971</v>
      </c>
      <c r="J414" t="e">
        <f xml:space="preserve"> $AC$3/G414 + $AC$6/A414 * Performance!$E$12 + Performance!$E$23/Constraints!$AC$6 * Constraints!A414</f>
        <v>#VALUE!</v>
      </c>
      <c r="K414">
        <f xml:space="preserve"> $AC$3/H414 + $AC$6/A414 * Performance!$E$12 + Performance!$E$23/Constraints!$AC$6 * Constraints!A414</f>
        <v>0.95056892410158977</v>
      </c>
      <c r="L414">
        <f xml:space="preserve"> $AC$3/I414 + $AC$6/A414 * Performance!$E$12 + Performance!$E$23/Constraints!$AC$6 * Constraints!A414</f>
        <v>0.93639724354423604</v>
      </c>
      <c r="M414">
        <f>SIN($AC$9 * PI()/180) + 1/Performance!$AE$5</f>
        <v>0.24073077270730886</v>
      </c>
      <c r="N414">
        <f>SIN($AC$9 * PI()/180) + 1/Performance!$AE$8</f>
        <v>0.22738716112204788</v>
      </c>
      <c r="O414" s="60">
        <f>$AC$16 * (Performance!$E$12/Constraints!A414 + Performance!$E$23 * (Constraints!$AC$13/Constraints!$AC$17)^2 * Constraints!A414)</f>
        <v>2.1243468535683187E-4</v>
      </c>
      <c r="P414" t="e">
        <f t="shared" si="27"/>
        <v>#VALUE!</v>
      </c>
      <c r="Q414">
        <f t="shared" si="28"/>
        <v>82.237672833663154</v>
      </c>
      <c r="R414">
        <f t="shared" si="29"/>
        <v>91.001521651910437</v>
      </c>
      <c r="S414" t="e">
        <f xml:space="preserve"> 1.667/G414 + P414/A414 * Performance!$E$12 + Performance!$E$23 / Constraints!P414 * Constraints!A414</f>
        <v>#VALUE!</v>
      </c>
      <c r="T414">
        <f xml:space="preserve"> 1.667/H414 + Q414/A414 * Performance!$E$12 + Performance!$E$23 / Constraints!Q414 * Constraints!A414</f>
        <v>0.20010663478237856</v>
      </c>
      <c r="U414">
        <f xml:space="preserve"> 1.667/I414 + R414/A414 * Performance!$E$12 + Performance!$E$23 / Constraints!R414 * Constraints!A414</f>
        <v>0.18768598149476889</v>
      </c>
    </row>
    <row r="415" spans="1:21" x14ac:dyDescent="0.3">
      <c r="A415" s="51">
        <v>206.5</v>
      </c>
      <c r="B415" s="50">
        <f>$V$4*Performance!$E$12*(1/A415)+Performance!$E$23*(1/Constraints!$V$4)*Constraints!A415</f>
        <v>0.14570830835690074</v>
      </c>
      <c r="C415" s="50">
        <f>$V$5*Performance!$E$12*(1/A415)+Performance!$E$23*(1/Constraints!$V$5)*Constraints!A415</f>
        <v>0.21993491573377552</v>
      </c>
      <c r="D415" s="52">
        <f t="shared" si="26"/>
        <v>0.36102899917395148</v>
      </c>
      <c r="E415" s="52">
        <f>$V$4*Performance!$E$12*(1/A415)+Performance!$E$23*(1/Constraints!$V$9)*Constraints!A415</f>
        <v>0.14477572128197513</v>
      </c>
      <c r="F415" s="52">
        <f xml:space="preserve"> 1.21 / (9.81 * Constraints!$N$7 * Performance!$E$15 * Constraints!$N$5 ) * Constraints!A415 + 0.605 /Performance!$E$15 * (Performance!$E$16  - Constraints!$N$6 * Performance!$E$14) + Constraints!$N$6</f>
        <v>0.36091436716663861</v>
      </c>
      <c r="G415" s="54" t="s">
        <v>198</v>
      </c>
      <c r="H415" s="55">
        <f>SQRT(2/$V$3 * A415 * SQRT(Performance!$E$23 / (3 * Performance!$E$12)))</f>
        <v>17.719045042797863</v>
      </c>
      <c r="I415" s="55">
        <f>SQRT(2/$V$3 * A415 * (SQRT(Performance!$E$23)/(SQRT(3*Performance!$E$12 + 4* Performance!$E$23 * Performance!$E$11^2) - SQRT(Performance!$E$23)*Performance!$E$11)))</f>
        <v>18.639284328430591</v>
      </c>
      <c r="J415" t="e">
        <f xml:space="preserve"> $AC$3/G415 + $AC$6/A415 * Performance!$E$12 + Performance!$E$23/Constraints!$AC$6 * Constraints!A415</f>
        <v>#VALUE!</v>
      </c>
      <c r="K415">
        <f xml:space="preserve"> $AC$3/H415 + $AC$6/A415 * Performance!$E$12 + Performance!$E$23/Constraints!$AC$6 * Constraints!A415</f>
        <v>0.95182345491551268</v>
      </c>
      <c r="L415">
        <f xml:space="preserve"> $AC$3/I415 + $AC$6/A415 * Performance!$E$12 + Performance!$E$23/Constraints!$AC$6 * Constraints!A415</f>
        <v>0.93766894175459703</v>
      </c>
      <c r="M415">
        <f>SIN($AC$9 * PI()/180) + 1/Performance!$AE$5</f>
        <v>0.24073077270730886</v>
      </c>
      <c r="N415">
        <f>SIN($AC$9 * PI()/180) + 1/Performance!$AE$8</f>
        <v>0.22738716112204788</v>
      </c>
      <c r="O415" s="60">
        <f>$AC$16 * (Performance!$E$12/Constraints!A415 + Performance!$E$23 * (Constraints!$AC$13/Constraints!$AC$17)^2 * Constraints!A415)</f>
        <v>2.1237193910027884E-4</v>
      </c>
      <c r="P415" t="e">
        <f t="shared" si="27"/>
        <v>#VALUE!</v>
      </c>
      <c r="Q415">
        <f t="shared" si="28"/>
        <v>82.437278835686641</v>
      </c>
      <c r="R415">
        <f t="shared" si="29"/>
        <v>91.222399131648075</v>
      </c>
      <c r="S415" t="e">
        <f xml:space="preserve"> 1.667/G415 + P415/A415 * Performance!$E$12 + Performance!$E$23 / Constraints!P415 * Constraints!A415</f>
        <v>#VALUE!</v>
      </c>
      <c r="T415">
        <f xml:space="preserve"> 1.667/H415 + Q415/A415 * Performance!$E$12 + Performance!$E$23 / Constraints!Q415 * Constraints!A415</f>
        <v>0.19999252975294929</v>
      </c>
      <c r="U415">
        <f xml:space="preserve"> 1.667/I415 + R415/A415 * Performance!$E$12 + Performance!$E$23 / Constraints!R415 * Constraints!A415</f>
        <v>0.18757750993972203</v>
      </c>
    </row>
    <row r="416" spans="1:21" x14ac:dyDescent="0.3">
      <c r="A416" s="51">
        <v>207</v>
      </c>
      <c r="B416" s="50">
        <f>$V$4*Performance!$E$12*(1/A416)+Performance!$E$23*(1/Constraints!$V$4)*Constraints!A416</f>
        <v>0.14539592205719729</v>
      </c>
      <c r="C416" s="50">
        <f>$V$5*Performance!$E$12*(1/A416)+Performance!$E$23*(1/Constraints!$V$5)*Constraints!A416</f>
        <v>0.2194290170311804</v>
      </c>
      <c r="D416" s="52">
        <f t="shared" si="26"/>
        <v>0.36130128488623708</v>
      </c>
      <c r="E416" s="52">
        <f>$V$4*Performance!$E$12*(1/A416)+Performance!$E$23*(1/Constraints!$V$9)*Constraints!A416</f>
        <v>0.14446107690218712</v>
      </c>
      <c r="F416" s="52">
        <f xml:space="preserve"> 1.21 / (9.81 * Constraints!$N$7 * Performance!$E$15 * Constraints!$N$5 ) * Constraints!A416 + 0.605 /Performance!$E$15 * (Performance!$E$16  - Constraints!$N$6 * Performance!$E$14) + Constraints!$N$6</f>
        <v>0.36118637531958447</v>
      </c>
      <c r="G416" s="54" t="s">
        <v>198</v>
      </c>
      <c r="H416" s="55">
        <f>SQRT(2/$V$3 * A416 * SQRT(Performance!$E$23 / (3 * Performance!$E$12)))</f>
        <v>17.740483701628655</v>
      </c>
      <c r="I416" s="55">
        <f>SQRT(2/$V$3 * A416 * (SQRT(Performance!$E$23)/(SQRT(3*Performance!$E$12 + 4* Performance!$E$23 * Performance!$E$11^2) - SQRT(Performance!$E$23)*Performance!$E$11)))</f>
        <v>18.661836404832126</v>
      </c>
      <c r="J416" t="e">
        <f xml:space="preserve"> $AC$3/G416 + $AC$6/A416 * Performance!$E$12 + Performance!$E$23/Constraints!$AC$6 * Constraints!A416</f>
        <v>#VALUE!</v>
      </c>
      <c r="K416">
        <f xml:space="preserve"> $AC$3/H416 + $AC$6/A416 * Performance!$E$12 + Performance!$E$23/Constraints!$AC$6 * Constraints!A416</f>
        <v>0.95307926623956774</v>
      </c>
      <c r="L416">
        <f xml:space="preserve"> $AC$3/I416 + $AC$6/A416 * Performance!$E$12 + Performance!$E$23/Constraints!$AC$6 * Constraints!A416</f>
        <v>0.9389418582367568</v>
      </c>
      <c r="M416">
        <f>SIN($AC$9 * PI()/180) + 1/Performance!$AE$5</f>
        <v>0.24073077270730886</v>
      </c>
      <c r="N416">
        <f>SIN($AC$9 * PI()/180) + 1/Performance!$AE$8</f>
        <v>0.22738716112204788</v>
      </c>
      <c r="O416" s="60">
        <f>$AC$16 * (Performance!$E$12/Constraints!A416 + Performance!$E$23 * (Constraints!$AC$13/Constraints!$AC$17)^2 * Constraints!A416)</f>
        <v>2.1231058816589279E-4</v>
      </c>
      <c r="P416" t="e">
        <f t="shared" si="27"/>
        <v>#VALUE!</v>
      </c>
      <c r="Q416">
        <f t="shared" si="28"/>
        <v>82.63688483771007</v>
      </c>
      <c r="R416">
        <f t="shared" si="29"/>
        <v>91.443276611385727</v>
      </c>
      <c r="S416" t="e">
        <f xml:space="preserve"> 1.667/G416 + P416/A416 * Performance!$E$12 + Performance!$E$23 / Constraints!P416 * Constraints!A416</f>
        <v>#VALUE!</v>
      </c>
      <c r="T416">
        <f xml:space="preserve"> 1.667/H416 + Q416/A416 * Performance!$E$12 + Performance!$E$23 / Constraints!Q416 * Constraints!A416</f>
        <v>0.19987883839759496</v>
      </c>
      <c r="U416">
        <f xml:space="preserve"> 1.667/I416 + R416/A416 * Performance!$E$12 + Performance!$E$23 / Constraints!R416 * Constraints!A416</f>
        <v>0.18746943163526547</v>
      </c>
    </row>
    <row r="417" spans="1:21" x14ac:dyDescent="0.3">
      <c r="A417" s="51">
        <v>207.5</v>
      </c>
      <c r="B417" s="50">
        <f>$V$4*Performance!$E$12*(1/A417)+Performance!$E$23*(1/Constraints!$V$4)*Constraints!A417</f>
        <v>0.14508513668900791</v>
      </c>
      <c r="C417" s="50">
        <f>$V$5*Performance!$E$12*(1/A417)+Performance!$E$23*(1/Constraints!$V$5)*Constraints!A417</f>
        <v>0.21892561754089224</v>
      </c>
      <c r="D417" s="52">
        <f t="shared" si="26"/>
        <v>0.36157357059852269</v>
      </c>
      <c r="E417" s="52">
        <f>$V$4*Performance!$E$12*(1/A417)+Performance!$E$23*(1/Constraints!$V$9)*Constraints!A417</f>
        <v>0.14414803345391319</v>
      </c>
      <c r="F417" s="52">
        <f xml:space="preserve"> 1.21 / (9.81 * Constraints!$N$7 * Performance!$E$15 * Constraints!$N$5 ) * Constraints!A417 + 0.605 /Performance!$E$15 * (Performance!$E$16  - Constraints!$N$6 * Performance!$E$14) + Constraints!$N$6</f>
        <v>0.36145838347253034</v>
      </c>
      <c r="G417" s="54" t="s">
        <v>198</v>
      </c>
      <c r="H417" s="55">
        <f>SQRT(2/$V$3 * A417 * SQRT(Performance!$E$23 / (3 * Performance!$E$12)))</f>
        <v>17.761896483957013</v>
      </c>
      <c r="I417" s="55">
        <f>SQRT(2/$V$3 * A417 * (SQRT(Performance!$E$23)/(SQRT(3*Performance!$E$12 + 4* Performance!$E$23 * Performance!$E$11^2) - SQRT(Performance!$E$23)*Performance!$E$11)))</f>
        <v>18.684361260834077</v>
      </c>
      <c r="J417" t="e">
        <f xml:space="preserve"> $AC$3/G417 + $AC$6/A417 * Performance!$E$12 + Performance!$E$23/Constraints!$AC$6 * Constraints!A417</f>
        <v>#VALUE!</v>
      </c>
      <c r="K417">
        <f xml:space="preserve"> $AC$3/H417 + $AC$6/A417 * Performance!$E$12 + Performance!$E$23/Constraints!$AC$6 * Constraints!A417</f>
        <v>0.95433635033129804</v>
      </c>
      <c r="L417">
        <f xml:space="preserve"> $AC$3/I417 + $AC$6/A417 * Performance!$E$12 + Performance!$E$23/Constraints!$AC$6 * Constraints!A417</f>
        <v>0.94021598562341491</v>
      </c>
      <c r="M417">
        <f>SIN($AC$9 * PI()/180) + 1/Performance!$AE$5</f>
        <v>0.24073077270730886</v>
      </c>
      <c r="N417">
        <f>SIN($AC$9 * PI()/180) + 1/Performance!$AE$8</f>
        <v>0.22738716112204788</v>
      </c>
      <c r="O417" s="60">
        <f>$AC$16 * (Performance!$E$12/Constraints!A417 + Performance!$E$23 * (Constraints!$AC$13/Constraints!$AC$17)^2 * Constraints!A417)</f>
        <v>2.1225062246700736E-4</v>
      </c>
      <c r="P417" t="e">
        <f t="shared" si="27"/>
        <v>#VALUE!</v>
      </c>
      <c r="Q417">
        <f t="shared" si="28"/>
        <v>82.836490839733528</v>
      </c>
      <c r="R417">
        <f t="shared" si="29"/>
        <v>91.664154091123407</v>
      </c>
      <c r="S417" t="e">
        <f xml:space="preserve"> 1.667/G417 + P417/A417 * Performance!$E$12 + Performance!$E$23 / Constraints!P417 * Constraints!A417</f>
        <v>#VALUE!</v>
      </c>
      <c r="T417">
        <f xml:space="preserve"> 1.667/H417 + Q417/A417 * Performance!$E$12 + Performance!$E$23 / Constraints!Q417 * Constraints!A417</f>
        <v>0.19976555822279873</v>
      </c>
      <c r="U417">
        <f xml:space="preserve"> 1.667/I417 + R417/A417 * Performance!$E$12 + Performance!$E$23 / Constraints!R417 * Constraints!A417</f>
        <v>0.18736174421098978</v>
      </c>
    </row>
    <row r="418" spans="1:21" x14ac:dyDescent="0.3">
      <c r="A418" s="51">
        <v>208</v>
      </c>
      <c r="B418" s="50">
        <f>$V$4*Performance!$E$12*(1/A418)+Performance!$E$23*(1/Constraints!$V$4)*Constraints!A418</f>
        <v>0.14477594070715336</v>
      </c>
      <c r="C418" s="50">
        <f>$V$5*Performance!$E$12*(1/A418)+Performance!$E$23*(1/Constraints!$V$5)*Constraints!A418</f>
        <v>0.21842469923974539</v>
      </c>
      <c r="D418" s="52">
        <f t="shared" si="26"/>
        <v>0.36184585631080829</v>
      </c>
      <c r="E418" s="52">
        <f>$V$4*Performance!$E$12*(1/A418)+Performance!$E$23*(1/Constraints!$V$9)*Constraints!A418</f>
        <v>0.14383657939197406</v>
      </c>
      <c r="F418" s="52">
        <f xml:space="preserve"> 1.21 / (9.81 * Constraints!$N$7 * Performance!$E$15 * Constraints!$N$5 ) * Constraints!A418 + 0.605 /Performance!$E$15 * (Performance!$E$16  - Constraints!$N$6 * Performance!$E$14) + Constraints!$N$6</f>
        <v>0.36173039162547621</v>
      </c>
      <c r="G418" s="54" t="s">
        <v>198</v>
      </c>
      <c r="H418" s="55">
        <f>SQRT(2/$V$3 * A418 * SQRT(Performance!$E$23 / (3 * Performance!$E$12)))</f>
        <v>17.783283483256319</v>
      </c>
      <c r="I418" s="55">
        <f>SQRT(2/$V$3 * A418 * (SQRT(Performance!$E$23)/(SQRT(3*Performance!$E$12 + 4* Performance!$E$23 * Performance!$E$11^2) - SQRT(Performance!$E$23)*Performance!$E$11)))</f>
        <v>18.706858994764367</v>
      </c>
      <c r="J418" t="e">
        <f xml:space="preserve"> $AC$3/G418 + $AC$6/A418 * Performance!$E$12 + Performance!$E$23/Constraints!$AC$6 * Constraints!A418</f>
        <v>#VALUE!</v>
      </c>
      <c r="K418">
        <f xml:space="preserve"> $AC$3/H418 + $AC$6/A418 * Performance!$E$12 + Performance!$E$23/Constraints!$AC$6 * Constraints!A418</f>
        <v>0.95559469951359943</v>
      </c>
      <c r="L418">
        <f xml:space="preserve"> $AC$3/I418 + $AC$6/A418 * Performance!$E$12 + Performance!$E$23/Constraints!$AC$6 * Constraints!A418</f>
        <v>0.94149131660946461</v>
      </c>
      <c r="M418">
        <f>SIN($AC$9 * PI()/180) + 1/Performance!$AE$5</f>
        <v>0.24073077270730886</v>
      </c>
      <c r="N418">
        <f>SIN($AC$9 * PI()/180) + 1/Performance!$AE$8</f>
        <v>0.22738716112204788</v>
      </c>
      <c r="O418" s="60">
        <f>$AC$16 * (Performance!$E$12/Constraints!A418 + Performance!$E$23 * (Constraints!$AC$13/Constraints!$AC$17)^2 * Constraints!A418)</f>
        <v>2.1219203201394349E-4</v>
      </c>
      <c r="P418" t="e">
        <f t="shared" si="27"/>
        <v>#VALUE!</v>
      </c>
      <c r="Q418">
        <f t="shared" si="28"/>
        <v>83.036096841756972</v>
      </c>
      <c r="R418">
        <f t="shared" si="29"/>
        <v>91.885031570861017</v>
      </c>
      <c r="S418" t="e">
        <f xml:space="preserve"> 1.667/G418 + P418/A418 * Performance!$E$12 + Performance!$E$23 / Constraints!P418 * Constraints!A418</f>
        <v>#VALUE!</v>
      </c>
      <c r="T418">
        <f xml:space="preserve"> 1.667/H418 + Q418/A418 * Performance!$E$12 + Performance!$E$23 / Constraints!Q418 * Constraints!A418</f>
        <v>0.1996526867560357</v>
      </c>
      <c r="U418">
        <f xml:space="preserve"> 1.667/I418 + R418/A418 * Performance!$E$12 + Performance!$E$23 / Constraints!R418 * Constraints!A418</f>
        <v>0.18725444531644103</v>
      </c>
    </row>
    <row r="419" spans="1:21" x14ac:dyDescent="0.3">
      <c r="A419" s="51">
        <v>208.5</v>
      </c>
      <c r="B419" s="50">
        <f>$V$4*Performance!$E$12*(1/A419)+Performance!$E$23*(1/Constraints!$V$4)*Constraints!A419</f>
        <v>0.1444683226771995</v>
      </c>
      <c r="C419" s="50">
        <f>$V$5*Performance!$E$12*(1/A419)+Performance!$E$23*(1/Constraints!$V$5)*Constraints!A419</f>
        <v>0.21792624427745821</v>
      </c>
      <c r="D419" s="52">
        <f t="shared" si="26"/>
        <v>0.36211814202309389</v>
      </c>
      <c r="E419" s="52">
        <f>$V$4*Performance!$E$12*(1/A419)+Performance!$E$23*(1/Constraints!$V$9)*Constraints!A419</f>
        <v>0.14352670328193565</v>
      </c>
      <c r="F419" s="52">
        <f xml:space="preserve"> 1.21 / (9.81 * Constraints!$N$7 * Performance!$E$15 * Constraints!$N$5 ) * Constraints!A419 + 0.605 /Performance!$E$15 * (Performance!$E$16  - Constraints!$N$6 * Performance!$E$14) + Constraints!$N$6</f>
        <v>0.36200239977842202</v>
      </c>
      <c r="G419" s="54" t="s">
        <v>198</v>
      </c>
      <c r="H419" s="55">
        <f>SQRT(2/$V$3 * A419 * SQRT(Performance!$E$23 / (3 * Performance!$E$12)))</f>
        <v>17.804644792438562</v>
      </c>
      <c r="I419" s="55">
        <f>SQRT(2/$V$3 * A419 * (SQRT(Performance!$E$23)/(SQRT(3*Performance!$E$12 + 4* Performance!$E$23 * Performance!$E$11^2) - SQRT(Performance!$E$23)*Performance!$E$11)))</f>
        <v>18.729329704360378</v>
      </c>
      <c r="J419" t="e">
        <f xml:space="preserve"> $AC$3/G419 + $AC$6/A419 * Performance!$E$12 + Performance!$E$23/Constraints!$AC$6 * Constraints!A419</f>
        <v>#VALUE!</v>
      </c>
      <c r="K419">
        <f xml:space="preserve"> $AC$3/H419 + $AC$6/A419 * Performance!$E$12 + Performance!$E$23/Constraints!$AC$6 * Constraints!A419</f>
        <v>0.9568543061740119</v>
      </c>
      <c r="L419">
        <f xml:space="preserve"> $AC$3/I419 + $AC$6/A419 * Performance!$E$12 + Performance!$E$23/Constraints!$AC$6 * Constraints!A419</f>
        <v>0.94276784395131963</v>
      </c>
      <c r="M419">
        <f>SIN($AC$9 * PI()/180) + 1/Performance!$AE$5</f>
        <v>0.24073077270730886</v>
      </c>
      <c r="N419">
        <f>SIN($AC$9 * PI()/180) + 1/Performance!$AE$8</f>
        <v>0.22738716112204788</v>
      </c>
      <c r="O419" s="60">
        <f>$AC$16 * (Performance!$E$12/Constraints!A419 + Performance!$E$23 * (Constraints!$AC$13/Constraints!$AC$17)^2 * Constraints!A419)</f>
        <v>2.1213480691284638E-4</v>
      </c>
      <c r="P419" t="e">
        <f t="shared" si="27"/>
        <v>#VALUE!</v>
      </c>
      <c r="Q419">
        <f t="shared" si="28"/>
        <v>83.235702843780444</v>
      </c>
      <c r="R419">
        <f t="shared" si="29"/>
        <v>92.105909050598697</v>
      </c>
      <c r="S419" t="e">
        <f xml:space="preserve"> 1.667/G419 + P419/A419 * Performance!$E$12 + Performance!$E$23 / Constraints!P419 * Constraints!A419</f>
        <v>#VALUE!</v>
      </c>
      <c r="T419">
        <f xml:space="preserve"> 1.667/H419 + Q419/A419 * Performance!$E$12 + Performance!$E$23 / Constraints!Q419 * Constraints!A419</f>
        <v>0.19954022154554585</v>
      </c>
      <c r="U419">
        <f xml:space="preserve"> 1.667/I419 + R419/A419 * Performance!$E$12 + Performance!$E$23 / Constraints!R419 * Constraints!A419</f>
        <v>0.18714753262090483</v>
      </c>
    </row>
    <row r="420" spans="1:21" x14ac:dyDescent="0.3">
      <c r="A420" s="51">
        <v>209</v>
      </c>
      <c r="B420" s="50">
        <f>$V$4*Performance!$E$12*(1/A420)+Performance!$E$23*(1/Constraints!$V$4)*Constraints!A420</f>
        <v>0.14416227127413284</v>
      </c>
      <c r="C420" s="50">
        <f>$V$5*Performance!$E$12*(1/A420)+Performance!$E$23*(1/Constraints!$V$5)*Constraints!A420</f>
        <v>0.21743023497456523</v>
      </c>
      <c r="D420" s="52">
        <f t="shared" si="26"/>
        <v>0.36239042773537949</v>
      </c>
      <c r="E420" s="52">
        <f>$V$4*Performance!$E$12*(1/A420)+Performance!$E$23*(1/Constraints!$V$9)*Constraints!A420</f>
        <v>0.14321839379878443</v>
      </c>
      <c r="F420" s="52">
        <f xml:space="preserve"> 1.21 / (9.81 * Constraints!$N$7 * Performance!$E$15 * Constraints!$N$5 ) * Constraints!A420 + 0.605 /Performance!$E$15 * (Performance!$E$16  - Constraints!$N$6 * Performance!$E$14) + Constraints!$N$6</f>
        <v>0.36227440793136789</v>
      </c>
      <c r="G420" s="54" t="s">
        <v>198</v>
      </c>
      <c r="H420" s="55">
        <f>SQRT(2/$V$3 * A420 * SQRT(Performance!$E$23 / (3 * Performance!$E$12)))</f>
        <v>17.825980503859025</v>
      </c>
      <c r="I420" s="55">
        <f>SQRT(2/$V$3 * A420 * (SQRT(Performance!$E$23)/(SQRT(3*Performance!$E$12 + 4* Performance!$E$23 * Performance!$E$11^2) - SQRT(Performance!$E$23)*Performance!$E$11)))</f>
        <v>18.751773486773867</v>
      </c>
      <c r="J420" t="e">
        <f xml:space="preserve"> $AC$3/G420 + $AC$6/A420 * Performance!$E$12 + Performance!$E$23/Constraints!$AC$6 * Constraints!A420</f>
        <v>#VALUE!</v>
      </c>
      <c r="K420">
        <f xml:space="preserve"> $AC$3/H420 + $AC$6/A420 * Performance!$E$12 + Performance!$E$23/Constraints!$AC$6 * Constraints!A420</f>
        <v>0.95811516276402264</v>
      </c>
      <c r="L420">
        <f xml:space="preserve"> $AC$3/I420 + $AC$6/A420 * Performance!$E$12 + Performance!$E$23/Constraints!$AC$6 * Constraints!A420</f>
        <v>0.94404556046625021</v>
      </c>
      <c r="M420">
        <f>SIN($AC$9 * PI()/180) + 1/Performance!$AE$5</f>
        <v>0.24073077270730886</v>
      </c>
      <c r="N420">
        <f>SIN($AC$9 * PI()/180) + 1/Performance!$AE$8</f>
        <v>0.22738716112204788</v>
      </c>
      <c r="O420" s="60">
        <f>$AC$16 * (Performance!$E$12/Constraints!A420 + Performance!$E$23 * (Constraints!$AC$13/Constraints!$AC$17)^2 * Constraints!A420)</f>
        <v>2.1207893736453922E-4</v>
      </c>
      <c r="P420" t="e">
        <f t="shared" si="27"/>
        <v>#VALUE!</v>
      </c>
      <c r="Q420">
        <f t="shared" si="28"/>
        <v>83.435308845803874</v>
      </c>
      <c r="R420">
        <f t="shared" si="29"/>
        <v>92.326786530336335</v>
      </c>
      <c r="S420" t="e">
        <f xml:space="preserve"> 1.667/G420 + P420/A420 * Performance!$E$12 + Performance!$E$23 / Constraints!P420 * Constraints!A420</f>
        <v>#VALUE!</v>
      </c>
      <c r="T420">
        <f xml:space="preserve"> 1.667/H420 + Q420/A420 * Performance!$E$12 + Performance!$E$23 / Constraints!Q420 * Constraints!A420</f>
        <v>0.19942816016011078</v>
      </c>
      <c r="U420">
        <f xml:space="preserve"> 1.667/I420 + R420/A420 * Performance!$E$12 + Performance!$E$23 / Constraints!R420 * Constraints!A420</f>
        <v>0.18704100381319444</v>
      </c>
    </row>
    <row r="421" spans="1:21" x14ac:dyDescent="0.3">
      <c r="A421" s="51">
        <v>209.5</v>
      </c>
      <c r="B421" s="50">
        <f>$V$4*Performance!$E$12*(1/A421)+Performance!$E$23*(1/Constraints!$V$4)*Constraints!A421</f>
        <v>0.14385777528105431</v>
      </c>
      <c r="C421" s="50">
        <f>$V$5*Performance!$E$12*(1/A421)+Performance!$E$23*(1/Constraints!$V$5)*Constraints!A421</f>
        <v>0.21693665382037869</v>
      </c>
      <c r="D421" s="52">
        <f t="shared" si="26"/>
        <v>0.3626627134476651</v>
      </c>
      <c r="E421" s="52">
        <f>$V$4*Performance!$E$12*(1/A421)+Performance!$E$23*(1/Constraints!$V$9)*Constraints!A421</f>
        <v>0.14291163972562132</v>
      </c>
      <c r="F421" s="52">
        <f xml:space="preserve"> 1.21 / (9.81 * Constraints!$N$7 * Performance!$E$15 * Constraints!$N$5 ) * Constraints!A421 + 0.605 /Performance!$E$15 * (Performance!$E$16  - Constraints!$N$6 * Performance!$E$14) + Constraints!$N$6</f>
        <v>0.36254641608431376</v>
      </c>
      <c r="G421" s="54" t="s">
        <v>198</v>
      </c>
      <c r="H421" s="55">
        <f>SQRT(2/$V$3 * A421 * SQRT(Performance!$E$23 / (3 * Performance!$E$12)))</f>
        <v>17.847290709320973</v>
      </c>
      <c r="I421" s="55">
        <f>SQRT(2/$V$3 * A421 * (SQRT(Performance!$E$23)/(SQRT(3*Performance!$E$12 + 4* Performance!$E$23 * Performance!$E$11^2) - SQRT(Performance!$E$23)*Performance!$E$11)))</f>
        <v>18.7741904385759</v>
      </c>
      <c r="J421" t="e">
        <f xml:space="preserve"> $AC$3/G421 + $AC$6/A421 * Performance!$E$12 + Performance!$E$23/Constraints!$AC$6 * Constraints!A421</f>
        <v>#VALUE!</v>
      </c>
      <c r="K421">
        <f xml:space="preserve"> $AC$3/H421 + $AC$6/A421 * Performance!$E$12 + Performance!$E$23/Constraints!$AC$6 * Constraints!A421</f>
        <v>0.95937726179837668</v>
      </c>
      <c r="L421">
        <f xml:space="preserve"> $AC$3/I421 + $AC$6/A421 * Performance!$E$12 + Performance!$E$23/Constraints!$AC$6 * Constraints!A421</f>
        <v>0.94532445903172735</v>
      </c>
      <c r="M421">
        <f>SIN($AC$9 * PI()/180) + 1/Performance!$AE$5</f>
        <v>0.24073077270730886</v>
      </c>
      <c r="N421">
        <f>SIN($AC$9 * PI()/180) + 1/Performance!$AE$8</f>
        <v>0.22738716112204788</v>
      </c>
      <c r="O421" s="60">
        <f>$AC$16 * (Performance!$E$12/Constraints!A421 + Performance!$E$23 * (Constraints!$AC$13/Constraints!$AC$17)^2 * Constraints!A421)</f>
        <v>2.1202441366339342E-4</v>
      </c>
      <c r="P421" t="e">
        <f t="shared" si="27"/>
        <v>#VALUE!</v>
      </c>
      <c r="Q421">
        <f t="shared" si="28"/>
        <v>83.634914847827346</v>
      </c>
      <c r="R421">
        <f t="shared" si="29"/>
        <v>92.547664010073973</v>
      </c>
      <c r="S421" t="e">
        <f xml:space="preserve"> 1.667/G421 + P421/A421 * Performance!$E$12 + Performance!$E$23 / Constraints!P421 * Constraints!A421</f>
        <v>#VALUE!</v>
      </c>
      <c r="T421">
        <f xml:space="preserve"> 1.667/H421 + Q421/A421 * Performance!$E$12 + Performance!$E$23 / Constraints!Q421 * Constraints!A421</f>
        <v>0.19931650018883251</v>
      </c>
      <c r="U421">
        <f xml:space="preserve"> 1.667/I421 + R421/A421 * Performance!$E$12 + Performance!$E$23 / Constraints!R421 * Constraints!A421</f>
        <v>0.18693485660144027</v>
      </c>
    </row>
    <row r="422" spans="1:21" x14ac:dyDescent="0.3">
      <c r="A422" s="51">
        <v>210</v>
      </c>
      <c r="B422" s="50">
        <f>$V$4*Performance!$E$12*(1/A422)+Performance!$E$23*(1/Constraints!$V$4)*Constraints!A422</f>
        <v>0.14355482358789268</v>
      </c>
      <c r="C422" s="50">
        <f>$V$5*Performance!$E$12*(1/A422)+Performance!$E$23*(1/Constraints!$V$5)*Constraints!A422</f>
        <v>0.21644548347097919</v>
      </c>
      <c r="D422" s="52">
        <f t="shared" si="26"/>
        <v>0.36293499915995064</v>
      </c>
      <c r="E422" s="52">
        <f>$V$4*Performance!$E$12*(1/A422)+Performance!$E$23*(1/Constraints!$V$9)*Constraints!A422</f>
        <v>0.1426064299523751</v>
      </c>
      <c r="F422" s="52">
        <f xml:space="preserve"> 1.21 / (9.81 * Constraints!$N$7 * Performance!$E$15 * Constraints!$N$5 ) * Constraints!A422 + 0.605 /Performance!$E$15 * (Performance!$E$16  - Constraints!$N$6 * Performance!$E$14) + Constraints!$N$6</f>
        <v>0.36281842423725963</v>
      </c>
      <c r="G422" s="54" t="s">
        <v>198</v>
      </c>
      <c r="H422" s="55">
        <f>SQRT(2/$V$3 * A422 * SQRT(Performance!$E$23 / (3 * Performance!$E$12)))</f>
        <v>17.868575500080222</v>
      </c>
      <c r="I422" s="55">
        <f>SQRT(2/$V$3 * A422 * (SQRT(Performance!$E$23)/(SQRT(3*Performance!$E$12 + 4* Performance!$E$23 * Performance!$E$11^2) - SQRT(Performance!$E$23)*Performance!$E$11)))</f>
        <v>18.79658065576168</v>
      </c>
      <c r="J422" t="e">
        <f xml:space="preserve"> $AC$3/G422 + $AC$6/A422 * Performance!$E$12 + Performance!$E$23/Constraints!$AC$6 * Constraints!A422</f>
        <v>#VALUE!</v>
      </c>
      <c r="K422">
        <f xml:space="preserve"> $AC$3/H422 + $AC$6/A422 * Performance!$E$12 + Performance!$E$23/Constraints!$AC$6 * Constraints!A422</f>
        <v>0.96064059585439776</v>
      </c>
      <c r="L422">
        <f xml:space="preserve"> $AC$3/I422 + $AC$6/A422 * Performance!$E$12 + Performance!$E$23/Constraints!$AC$6 * Constraints!A422</f>
        <v>0.94660453258477584</v>
      </c>
      <c r="M422">
        <f>SIN($AC$9 * PI()/180) + 1/Performance!$AE$5</f>
        <v>0.24073077270730886</v>
      </c>
      <c r="N422">
        <f>SIN($AC$9 * PI()/180) + 1/Performance!$AE$8</f>
        <v>0.22738716112204788</v>
      </c>
      <c r="O422" s="60">
        <f>$AC$16 * (Performance!$E$12/Constraints!A422 + Performance!$E$23 * (Constraints!$AC$13/Constraints!$AC$17)^2 * Constraints!A422)</f>
        <v>2.1197122619621498E-4</v>
      </c>
      <c r="P422" t="e">
        <f t="shared" si="27"/>
        <v>#VALUE!</v>
      </c>
      <c r="Q422">
        <f t="shared" si="28"/>
        <v>83.83452084985079</v>
      </c>
      <c r="R422">
        <f t="shared" si="29"/>
        <v>92.768541489811611</v>
      </c>
      <c r="S422" t="e">
        <f xml:space="preserve"> 1.667/G422 + P422/A422 * Performance!$E$12 + Performance!$E$23 / Constraints!P422 * Constraints!A422</f>
        <v>#VALUE!</v>
      </c>
      <c r="T422">
        <f xml:space="preserve"> 1.667/H422 + Q422/A422 * Performance!$E$12 + Performance!$E$23 / Constraints!Q422 * Constraints!A422</f>
        <v>0.1992052392409161</v>
      </c>
      <c r="U422">
        <f xml:space="preserve"> 1.667/I422 + R422/A422 * Performance!$E$12 + Performance!$E$23 / Constraints!R422 * Constraints!A422</f>
        <v>0.18682908871288306</v>
      </c>
    </row>
    <row r="423" spans="1:21" x14ac:dyDescent="0.3">
      <c r="A423" s="51">
        <v>210.5</v>
      </c>
      <c r="B423" s="50">
        <f>$V$4*Performance!$E$12*(1/A423)+Performance!$E$23*(1/Constraints!$V$4)*Constraints!A423</f>
        <v>0.14325340519013532</v>
      </c>
      <c r="C423" s="50">
        <f>$V$5*Performance!$E$12*(1/A423)+Performance!$E$23*(1/Constraints!$V$5)*Constraints!A423</f>
        <v>0.21595670674723527</v>
      </c>
      <c r="D423" s="52">
        <f t="shared" si="26"/>
        <v>0.3632072848722363</v>
      </c>
      <c r="E423" s="52">
        <f>$V$4*Performance!$E$12*(1/A423)+Performance!$E$23*(1/Constraints!$V$9)*Constraints!A423</f>
        <v>0.14230275347453319</v>
      </c>
      <c r="F423" s="52">
        <f xml:space="preserve"> 1.21 / (9.81 * Constraints!$N$7 * Performance!$E$15 * Constraints!$N$5 ) * Constraints!A423 + 0.605 /Performance!$E$15 * (Performance!$E$16  - Constraints!$N$6 * Performance!$E$14) + Constraints!$N$6</f>
        <v>0.36309043239020544</v>
      </c>
      <c r="G423" s="54" t="s">
        <v>198</v>
      </c>
      <c r="H423" s="55">
        <f>SQRT(2/$V$3 * A423 * SQRT(Performance!$E$23 / (3 * Performance!$E$12)))</f>
        <v>17.88983496684974</v>
      </c>
      <c r="I423" s="55">
        <f>SQRT(2/$V$3 * A423 * (SQRT(Performance!$E$23)/(SQRT(3*Performance!$E$12 + 4* Performance!$E$23 * Performance!$E$11^2) - SQRT(Performance!$E$23)*Performance!$E$11)))</f>
        <v>18.818944233755346</v>
      </c>
      <c r="J423" t="e">
        <f xml:space="preserve"> $AC$3/G423 + $AC$6/A423 * Performance!$E$12 + Performance!$E$23/Constraints!$AC$6 * Constraints!A423</f>
        <v>#VALUE!</v>
      </c>
      <c r="K423">
        <f xml:space="preserve"> $AC$3/H423 + $AC$6/A423 * Performance!$E$12 + Performance!$E$23/Constraints!$AC$6 * Constraints!A423</f>
        <v>0.96190515757131667</v>
      </c>
      <c r="L423">
        <f xml:space="preserve"> $AC$3/I423 + $AC$6/A423 * Performance!$E$12 + Performance!$E$23/Constraints!$AC$6 * Constraints!A423</f>
        <v>0.94788577412133579</v>
      </c>
      <c r="M423">
        <f>SIN($AC$9 * PI()/180) + 1/Performance!$AE$5</f>
        <v>0.24073077270730886</v>
      </c>
      <c r="N423">
        <f>SIN($AC$9 * PI()/180) + 1/Performance!$AE$8</f>
        <v>0.22738716112204788</v>
      </c>
      <c r="O423" s="60">
        <f>$AC$16 * (Performance!$E$12/Constraints!A423 + Performance!$E$23 * (Constraints!$AC$13/Constraints!$AC$17)^2 * Constraints!A423)</f>
        <v>2.1191936544114664E-4</v>
      </c>
      <c r="P423" t="e">
        <f t="shared" si="27"/>
        <v>#VALUE!</v>
      </c>
      <c r="Q423">
        <f t="shared" si="28"/>
        <v>84.034126851874234</v>
      </c>
      <c r="R423">
        <f t="shared" si="29"/>
        <v>92.989418969549263</v>
      </c>
      <c r="S423" t="e">
        <f xml:space="preserve"> 1.667/G423 + P423/A423 * Performance!$E$12 + Performance!$E$23 / Constraints!P423 * Constraints!A423</f>
        <v>#VALUE!</v>
      </c>
      <c r="T423">
        <f xml:space="preserve"> 1.667/H423 + Q423/A423 * Performance!$E$12 + Performance!$E$23 / Constraints!Q423 * Constraints!A423</f>
        <v>0.19909437494545423</v>
      </c>
      <c r="U423">
        <f xml:space="preserve"> 1.667/I423 + R423/A423 * Performance!$E$12 + Performance!$E$23 / Constraints!R423 * Constraints!A423</f>
        <v>0.18672369789366955</v>
      </c>
    </row>
    <row r="424" spans="1:21" x14ac:dyDescent="0.3">
      <c r="A424" s="51">
        <v>211</v>
      </c>
      <c r="B424" s="50">
        <f>$V$4*Performance!$E$12*(1/A424)+Performance!$E$23*(1/Constraints!$V$4)*Constraints!A424</f>
        <v>0.14295350918757807</v>
      </c>
      <c r="C424" s="50">
        <f>$V$5*Performance!$E$12*(1/A424)+Performance!$E$23*(1/Constraints!$V$5)*Constraints!A424</f>
        <v>0.21547030663285083</v>
      </c>
      <c r="D424" s="52">
        <f t="shared" si="26"/>
        <v>0.36347957058452185</v>
      </c>
      <c r="E424" s="52">
        <f>$V$4*Performance!$E$12*(1/A424)+Performance!$E$23*(1/Constraints!$V$9)*Constraints!A424</f>
        <v>0.14200059939189139</v>
      </c>
      <c r="F424" s="52">
        <f xml:space="preserve"> 1.21 / (9.81 * Constraints!$N$7 * Performance!$E$15 * Constraints!$N$5 ) * Constraints!A424 + 0.605 /Performance!$E$15 * (Performance!$E$16  - Constraints!$N$6 * Performance!$E$14) + Constraints!$N$6</f>
        <v>0.36336244054315137</v>
      </c>
      <c r="G424" s="54" t="s">
        <v>198</v>
      </c>
      <c r="H424" s="55">
        <f>SQRT(2/$V$3 * A424 * SQRT(Performance!$E$23 / (3 * Performance!$E$12)))</f>
        <v>17.911069199804135</v>
      </c>
      <c r="I424" s="55">
        <f>SQRT(2/$V$3 * A424 * (SQRT(Performance!$E$23)/(SQRT(3*Performance!$E$12 + 4* Performance!$E$23 * Performance!$E$11^2) - SQRT(Performance!$E$23)*Performance!$E$11)))</f>
        <v>18.841281267414725</v>
      </c>
      <c r="J424" t="e">
        <f xml:space="preserve"> $AC$3/G424 + $AC$6/A424 * Performance!$E$12 + Performance!$E$23/Constraints!$AC$6 * Constraints!A424</f>
        <v>#VALUE!</v>
      </c>
      <c r="K424">
        <f xml:space="preserve"> $AC$3/H424 + $AC$6/A424 * Performance!$E$12 + Performance!$E$23/Constraints!$AC$6 * Constraints!A424</f>
        <v>0.96317093964960954</v>
      </c>
      <c r="L424">
        <f xml:space="preserve"> $AC$3/I424 + $AC$6/A424 * Performance!$E$12 + Performance!$E$23/Constraints!$AC$6 * Constraints!A424</f>
        <v>0.94916817669563214</v>
      </c>
      <c r="M424">
        <f>SIN($AC$9 * PI()/180) + 1/Performance!$AE$5</f>
        <v>0.24073077270730886</v>
      </c>
      <c r="N424">
        <f>SIN($AC$9 * PI()/180) + 1/Performance!$AE$8</f>
        <v>0.22738716112204788</v>
      </c>
      <c r="O424" s="60">
        <f>$AC$16 * (Performance!$E$12/Constraints!A424 + Performance!$E$23 * (Constraints!$AC$13/Constraints!$AC$17)^2 * Constraints!A424)</f>
        <v>2.1186882196658574E-4</v>
      </c>
      <c r="P424" t="e">
        <f t="shared" si="27"/>
        <v>#VALUE!</v>
      </c>
      <c r="Q424">
        <f t="shared" si="28"/>
        <v>84.23373285389772</v>
      </c>
      <c r="R424">
        <f t="shared" si="29"/>
        <v>93.210296449286915</v>
      </c>
      <c r="S424" t="e">
        <f xml:space="preserve"> 1.667/G424 + P424/A424 * Performance!$E$12 + Performance!$E$23 / Constraints!P424 * Constraints!A424</f>
        <v>#VALUE!</v>
      </c>
      <c r="T424">
        <f xml:space="preserve"> 1.667/H424 + Q424/A424 * Performance!$E$12 + Performance!$E$23 / Constraints!Q424 * Constraints!A424</f>
        <v>0.19898390495121521</v>
      </c>
      <c r="U424">
        <f xml:space="preserve"> 1.667/I424 + R424/A424 * Performance!$E$12 + Performance!$E$23 / Constraints!R424 * Constraints!A424</f>
        <v>0.18661868190865058</v>
      </c>
    </row>
    <row r="425" spans="1:21" x14ac:dyDescent="0.3">
      <c r="A425" s="51">
        <v>211.5</v>
      </c>
      <c r="B425" s="50">
        <f>$V$4*Performance!$E$12*(1/A425)+Performance!$E$23*(1/Constraints!$V$4)*Constraints!A425</f>
        <v>0.14265512478309178</v>
      </c>
      <c r="C425" s="50">
        <f>$V$5*Performance!$E$12*(1/A425)+Performance!$E$23*(1/Constraints!$V$5)*Constraints!A425</f>
        <v>0.21498626627244027</v>
      </c>
      <c r="D425" s="52">
        <f t="shared" si="26"/>
        <v>0.36375185629680751</v>
      </c>
      <c r="E425" s="52">
        <f>$V$4*Performance!$E$12*(1/A425)+Performance!$E$23*(1/Constraints!$V$9)*Constraints!A425</f>
        <v>0.14169995690732051</v>
      </c>
      <c r="F425" s="52">
        <f xml:space="preserve"> 1.21 / (9.81 * Constraints!$N$7 * Performance!$E$15 * Constraints!$N$5 ) * Constraints!A425 + 0.605 /Performance!$E$15 * (Performance!$E$16  - Constraints!$N$6 * Performance!$E$14) + Constraints!$N$6</f>
        <v>0.36363444869609718</v>
      </c>
      <c r="G425" s="54" t="s">
        <v>198</v>
      </c>
      <c r="H425" s="55">
        <f>SQRT(2/$V$3 * A425 * SQRT(Performance!$E$23 / (3 * Performance!$E$12)))</f>
        <v>17.932278288584104</v>
      </c>
      <c r="I425" s="55">
        <f>SQRT(2/$V$3 * A425 * (SQRT(Performance!$E$23)/(SQRT(3*Performance!$E$12 + 4* Performance!$E$23 * Performance!$E$11^2) - SQRT(Performance!$E$23)*Performance!$E$11)))</f>
        <v>18.863591851036016</v>
      </c>
      <c r="J425" t="e">
        <f xml:space="preserve"> $AC$3/G425 + $AC$6/A425 * Performance!$E$12 + Performance!$E$23/Constraints!$AC$6 * Constraints!A425</f>
        <v>#VALUE!</v>
      </c>
      <c r="K425">
        <f xml:space="preserve"> $AC$3/H425 + $AC$6/A425 * Performance!$E$12 + Performance!$E$23/Constraints!$AC$6 * Constraints!A425</f>
        <v>0.96443793485034468</v>
      </c>
      <c r="L425">
        <f xml:space="preserve"> $AC$3/I425 + $AC$6/A425 * Performance!$E$12 + Performance!$E$23/Constraints!$AC$6 * Constraints!A425</f>
        <v>0.95045173341955358</v>
      </c>
      <c r="M425">
        <f>SIN($AC$9 * PI()/180) + 1/Performance!$AE$5</f>
        <v>0.24073077270730886</v>
      </c>
      <c r="N425">
        <f>SIN($AC$9 * PI()/180) + 1/Performance!$AE$8</f>
        <v>0.22738716112204788</v>
      </c>
      <c r="O425" s="60">
        <f>$AC$16 * (Performance!$E$12/Constraints!A425 + Performance!$E$23 * (Constraints!$AC$13/Constraints!$AC$17)^2 * Constraints!A425)</f>
        <v>2.1181958643011733E-4</v>
      </c>
      <c r="P425" t="e">
        <f t="shared" si="27"/>
        <v>#VALUE!</v>
      </c>
      <c r="Q425">
        <f t="shared" si="28"/>
        <v>84.433338855921164</v>
      </c>
      <c r="R425">
        <f t="shared" si="29"/>
        <v>93.431173929024538</v>
      </c>
      <c r="S425" t="e">
        <f xml:space="preserve"> 1.667/G425 + P425/A425 * Performance!$E$12 + Performance!$E$23 / Constraints!P425 * Constraints!A425</f>
        <v>#VALUE!</v>
      </c>
      <c r="T425">
        <f xml:space="preserve"> 1.667/H425 + Q425/A425 * Performance!$E$12 + Performance!$E$23 / Constraints!Q425 * Constraints!A425</f>
        <v>0.1988738269264336</v>
      </c>
      <c r="U425">
        <f xml:space="preserve"> 1.667/I425 + R425/A425 * Performance!$E$12 + Performance!$E$23 / Constraints!R425 * Constraints!A425</f>
        <v>0.18651403854118223</v>
      </c>
    </row>
    <row r="426" spans="1:21" x14ac:dyDescent="0.3">
      <c r="A426" s="51">
        <v>212</v>
      </c>
      <c r="B426" s="50">
        <f>$V$4*Performance!$E$12*(1/A426)+Performance!$E$23*(1/Constraints!$V$4)*Constraints!A426</f>
        <v>0.14235824128140712</v>
      </c>
      <c r="C426" s="50">
        <f>$V$5*Performance!$E$12*(1/A426)+Performance!$E$23*(1/Constraints!$V$5)*Constraints!A426</f>
        <v>0.21450456896963119</v>
      </c>
      <c r="D426" s="52">
        <f t="shared" si="26"/>
        <v>0.36402414200909305</v>
      </c>
      <c r="E426" s="52">
        <f>$V$4*Performance!$E$12*(1/A426)+Performance!$E$23*(1/Constraints!$V$9)*Constraints!A426</f>
        <v>0.14140081532555129</v>
      </c>
      <c r="F426" s="52">
        <f xml:space="preserve"> 1.21 / (9.81 * Constraints!$N$7 * Performance!$E$15 * Constraints!$N$5 ) * Constraints!A426 + 0.605 /Performance!$E$15 * (Performance!$E$16  - Constraints!$N$6 * Performance!$E$14) + Constraints!$N$6</f>
        <v>0.36390645684904305</v>
      </c>
      <c r="G426" s="54" t="s">
        <v>198</v>
      </c>
      <c r="H426" s="55">
        <f>SQRT(2/$V$3 * A426 * SQRT(Performance!$E$23 / (3 * Performance!$E$12)))</f>
        <v>17.953462322300883</v>
      </c>
      <c r="I426" s="55">
        <f>SQRT(2/$V$3 * A426 * (SQRT(Performance!$E$23)/(SQRT(3*Performance!$E$12 + 4* Performance!$E$23 * Performance!$E$11^2) - SQRT(Performance!$E$23)*Performance!$E$11)))</f>
        <v>18.885876078358447</v>
      </c>
      <c r="J426" t="e">
        <f xml:space="preserve"> $AC$3/G426 + $AC$6/A426 * Performance!$E$12 + Performance!$E$23/Constraints!$AC$6 * Constraints!A426</f>
        <v>#VALUE!</v>
      </c>
      <c r="K426">
        <f xml:space="preserve"> $AC$3/H426 + $AC$6/A426 * Performance!$E$12 + Performance!$E$23/Constraints!$AC$6 * Constraints!A426</f>
        <v>0.96570613599453781</v>
      </c>
      <c r="L426">
        <f xml:space="preserve"> $AC$3/I426 + $AC$6/A426 * Performance!$E$12 + Performance!$E$23/Constraints!$AC$6 * Constraints!A426</f>
        <v>0.95173643746203784</v>
      </c>
      <c r="M426">
        <f>SIN($AC$9 * PI()/180) + 1/Performance!$AE$5</f>
        <v>0.24073077270730886</v>
      </c>
      <c r="N426">
        <f>SIN($AC$9 * PI()/180) + 1/Performance!$AE$8</f>
        <v>0.22738716112204788</v>
      </c>
      <c r="O426" s="60">
        <f>$AC$16 * (Performance!$E$12/Constraints!A426 + Performance!$E$23 * (Constraints!$AC$13/Constraints!$AC$17)^2 * Constraints!A426)</f>
        <v>2.1177164957746251E-4</v>
      </c>
      <c r="P426" t="e">
        <f t="shared" si="27"/>
        <v>#VALUE!</v>
      </c>
      <c r="Q426">
        <f t="shared" si="28"/>
        <v>84.632944857944622</v>
      </c>
      <c r="R426">
        <f t="shared" si="29"/>
        <v>93.65205140876219</v>
      </c>
      <c r="S426" t="e">
        <f xml:space="preserve"> 1.667/G426 + P426/A426 * Performance!$E$12 + Performance!$E$23 / Constraints!P426 * Constraints!A426</f>
        <v>#VALUE!</v>
      </c>
      <c r="T426">
        <f xml:space="preserve"> 1.667/H426 + Q426/A426 * Performance!$E$12 + Performance!$E$23 / Constraints!Q426 * Constraints!A426</f>
        <v>0.19876413855860334</v>
      </c>
      <c r="U426">
        <f xml:space="preserve"> 1.667/I426 + R426/A426 * Performance!$E$12 + Performance!$E$23 / Constraints!R426 * Constraints!A426</f>
        <v>0.18640976559292902</v>
      </c>
    </row>
    <row r="427" spans="1:21" x14ac:dyDescent="0.3">
      <c r="A427" s="51">
        <v>212.5</v>
      </c>
      <c r="B427" s="50">
        <f>$V$4*Performance!$E$12*(1/A427)+Performance!$E$23*(1/Constraints!$V$4)*Constraints!A427</f>
        <v>0.14206284808791603</v>
      </c>
      <c r="C427" s="50">
        <f>$V$5*Performance!$E$12*(1/A427)+Performance!$E$23*(1/Constraints!$V$5)*Constraints!A427</f>
        <v>0.21402519818519342</v>
      </c>
      <c r="D427" s="52">
        <f t="shared" si="26"/>
        <v>0.36429642772137866</v>
      </c>
      <c r="E427" s="52">
        <f>$V$4*Performance!$E$12*(1/A427)+Performance!$E$23*(1/Constraints!$V$9)*Constraints!A427</f>
        <v>0.14110316405197565</v>
      </c>
      <c r="F427" s="52">
        <f xml:space="preserve"> 1.21 / (9.81 * Constraints!$N$7 * Performance!$E$15 * Constraints!$N$5 ) * Constraints!A427 + 0.605 /Performance!$E$15 * (Performance!$E$16  - Constraints!$N$6 * Performance!$E$14) + Constraints!$N$6</f>
        <v>0.36417846500198892</v>
      </c>
      <c r="G427" s="54" t="s">
        <v>198</v>
      </c>
      <c r="H427" s="55">
        <f>SQRT(2/$V$3 * A427 * SQRT(Performance!$E$23 / (3 * Performance!$E$12)))</f>
        <v>17.974621389540584</v>
      </c>
      <c r="I427" s="55">
        <f>SQRT(2/$V$3 * A427 * (SQRT(Performance!$E$23)/(SQRT(3*Performance!$E$12 + 4* Performance!$E$23 * Performance!$E$11^2) - SQRT(Performance!$E$23)*Performance!$E$11)))</f>
        <v>18.908134042568857</v>
      </c>
      <c r="J427" t="e">
        <f xml:space="preserve"> $AC$3/G427 + $AC$6/A427 * Performance!$E$12 + Performance!$E$23/Constraints!$AC$6 * Constraints!A427</f>
        <v>#VALUE!</v>
      </c>
      <c r="K427">
        <f xml:space="preserve"> $AC$3/H427 + $AC$6/A427 * Performance!$E$12 + Performance!$E$23/Constraints!$AC$6 * Constraints!A427</f>
        <v>0.96697553596251429</v>
      </c>
      <c r="L427">
        <f xml:space="preserve"> $AC$3/I427 + $AC$6/A427 * Performance!$E$12 + Performance!$E$23/Constraints!$AC$6 * Constraints!A427</f>
        <v>0.95302228204846606</v>
      </c>
      <c r="M427">
        <f>SIN($AC$9 * PI()/180) + 1/Performance!$AE$5</f>
        <v>0.24073077270730886</v>
      </c>
      <c r="N427">
        <f>SIN($AC$9 * PI()/180) + 1/Performance!$AE$8</f>
        <v>0.22738716112204788</v>
      </c>
      <c r="O427" s="60">
        <f>$AC$16 * (Performance!$E$12/Constraints!A427 + Performance!$E$23 * (Constraints!$AC$13/Constraints!$AC$17)^2 * Constraints!A427)</f>
        <v>2.1172500224144125E-4</v>
      </c>
      <c r="P427" t="e">
        <f t="shared" si="27"/>
        <v>#VALUE!</v>
      </c>
      <c r="Q427">
        <f t="shared" si="28"/>
        <v>84.832550859968052</v>
      </c>
      <c r="R427">
        <f t="shared" si="29"/>
        <v>93.872928888499871</v>
      </c>
      <c r="S427" t="e">
        <f xml:space="preserve"> 1.667/G427 + P427/A427 * Performance!$E$12 + Performance!$E$23 / Constraints!P427 * Constraints!A427</f>
        <v>#VALUE!</v>
      </c>
      <c r="T427">
        <f xml:space="preserve"> 1.667/H427 + Q427/A427 * Performance!$E$12 + Performance!$E$23 / Constraints!Q427 * Constraints!A427</f>
        <v>0.19865483755427377</v>
      </c>
      <c r="U427">
        <f xml:space="preserve"> 1.667/I427 + R427/A427 * Performance!$E$12 + Performance!$E$23 / Constraints!R427 * Constraints!A427</f>
        <v>0.1863058608836701</v>
      </c>
    </row>
    <row r="428" spans="1:21" x14ac:dyDescent="0.3">
      <c r="A428" s="51">
        <v>213</v>
      </c>
      <c r="B428" s="50">
        <f>$V$4*Performance!$E$12*(1/A428)+Performance!$E$23*(1/Constraints!$V$4)*Constraints!A428</f>
        <v>0.14176893470749047</v>
      </c>
      <c r="C428" s="50">
        <f>$V$5*Performance!$E$12*(1/A428)+Performance!$E$23*(1/Constraints!$V$5)*Constraints!A428</f>
        <v>0.21354813753519486</v>
      </c>
      <c r="D428" s="52">
        <f t="shared" si="26"/>
        <v>0.36456871343366426</v>
      </c>
      <c r="E428" s="52">
        <f>$V$4*Performance!$E$12*(1/A428)+Performance!$E$23*(1/Constraints!$V$9)*Constraints!A428</f>
        <v>0.14080699259146551</v>
      </c>
      <c r="F428" s="52">
        <f xml:space="preserve"> 1.21 / (9.81 * Constraints!$N$7 * Performance!$E$15 * Constraints!$N$5 ) * Constraints!A428 + 0.605 /Performance!$E$15 * (Performance!$E$16  - Constraints!$N$6 * Performance!$E$14) + Constraints!$N$6</f>
        <v>0.36445047315493473</v>
      </c>
      <c r="G428" s="54" t="s">
        <v>198</v>
      </c>
      <c r="H428" s="55">
        <f>SQRT(2/$V$3 * A428 * SQRT(Performance!$E$23 / (3 * Performance!$E$12)))</f>
        <v>17.995755578368541</v>
      </c>
      <c r="I428" s="55">
        <f>SQRT(2/$V$3 * A428 * (SQRT(Performance!$E$23)/(SQRT(3*Performance!$E$12 + 4* Performance!$E$23 * Performance!$E$11^2) - SQRT(Performance!$E$23)*Performance!$E$11)))</f>
        <v>18.930365836306247</v>
      </c>
      <c r="J428" t="e">
        <f xml:space="preserve"> $AC$3/G428 + $AC$6/A428 * Performance!$E$12 + Performance!$E$23/Constraints!$AC$6 * Constraints!A428</f>
        <v>#VALUE!</v>
      </c>
      <c r="K428">
        <f xml:space="preserve"> $AC$3/H428 + $AC$6/A428 * Performance!$E$12 + Performance!$E$23/Constraints!$AC$6 * Constraints!A428</f>
        <v>0.96824612769328156</v>
      </c>
      <c r="L428">
        <f xml:space="preserve"> $AC$3/I428 + $AC$6/A428 * Performance!$E$12 + Performance!$E$23/Constraints!$AC$6 * Constraints!A428</f>
        <v>0.95430926046006481</v>
      </c>
      <c r="M428">
        <f>SIN($AC$9 * PI()/180) + 1/Performance!$AE$5</f>
        <v>0.24073077270730886</v>
      </c>
      <c r="N428">
        <f>SIN($AC$9 * PI()/180) + 1/Performance!$AE$8</f>
        <v>0.22738716112204788</v>
      </c>
      <c r="O428" s="60">
        <f>$AC$16 * (Performance!$E$12/Constraints!A428 + Performance!$E$23 * (Constraints!$AC$13/Constraints!$AC$17)^2 * Constraints!A428)</f>
        <v>2.1167963534095074E-4</v>
      </c>
      <c r="P428" t="e">
        <f t="shared" si="27"/>
        <v>#VALUE!</v>
      </c>
      <c r="Q428">
        <f t="shared" si="28"/>
        <v>85.032156861991524</v>
      </c>
      <c r="R428">
        <f t="shared" si="29"/>
        <v>94.093806368237523</v>
      </c>
      <c r="S428" t="e">
        <f xml:space="preserve"> 1.667/G428 + P428/A428 * Performance!$E$12 + Performance!$E$23 / Constraints!P428 * Constraints!A428</f>
        <v>#VALUE!</v>
      </c>
      <c r="T428">
        <f xml:space="preserve"> 1.667/H428 + Q428/A428 * Performance!$E$12 + Performance!$E$23 / Constraints!Q428 * Constraints!A428</f>
        <v>0.19854592163884816</v>
      </c>
      <c r="U428">
        <f xml:space="preserve"> 1.667/I428 + R428/A428 * Performance!$E$12 + Performance!$E$23 / Constraints!R428 * Constraints!A428</f>
        <v>0.18620232225110789</v>
      </c>
    </row>
    <row r="429" spans="1:21" x14ac:dyDescent="0.3">
      <c r="A429" s="51">
        <v>213.5</v>
      </c>
      <c r="B429" s="50">
        <f>$V$4*Performance!$E$12*(1/A429)+Performance!$E$23*(1/Constraints!$V$4)*Constraints!A429</f>
        <v>0.14147649074331725</v>
      </c>
      <c r="C429" s="50">
        <f>$V$5*Performance!$E$12*(1/A429)+Performance!$E$23*(1/Constraints!$V$5)*Constraints!A429</f>
        <v>0.21307337078918268</v>
      </c>
      <c r="D429" s="52">
        <f t="shared" si="26"/>
        <v>0.36484099914594986</v>
      </c>
      <c r="E429" s="52">
        <f>$V$4*Performance!$E$12*(1/A429)+Performance!$E$23*(1/Constraints!$V$9)*Constraints!A429</f>
        <v>0.14051229054720774</v>
      </c>
      <c r="F429" s="52">
        <f xml:space="preserve"> 1.21 / (9.81 * Constraints!$N$7 * Performance!$E$15 * Constraints!$N$5 ) * Constraints!A429 + 0.605 /Performance!$E$15 * (Performance!$E$16  - Constraints!$N$6 * Performance!$E$14) + Constraints!$N$6</f>
        <v>0.36472248130788065</v>
      </c>
      <c r="G429" s="54" t="s">
        <v>198</v>
      </c>
      <c r="H429" s="55">
        <f>SQRT(2/$V$3 * A429 * SQRT(Performance!$E$23 / (3 * Performance!$E$12)))</f>
        <v>18.016864976333562</v>
      </c>
      <c r="I429" s="55">
        <f>SQRT(2/$V$3 * A429 * (SQRT(Performance!$E$23)/(SQRT(3*Performance!$E$12 + 4* Performance!$E$23 * Performance!$E$11^2) - SQRT(Performance!$E$23)*Performance!$E$11)))</f>
        <v>18.952571551666285</v>
      </c>
      <c r="J429" t="e">
        <f xml:space="preserve"> $AC$3/G429 + $AC$6/A429 * Performance!$E$12 + Performance!$E$23/Constraints!$AC$6 * Constraints!A429</f>
        <v>#VALUE!</v>
      </c>
      <c r="K429">
        <f xml:space="preserve"> $AC$3/H429 + $AC$6/A429 * Performance!$E$12 + Performance!$E$23/Constraints!$AC$6 * Constraints!A429</f>
        <v>0.9695179041839096</v>
      </c>
      <c r="L429">
        <f xml:space="preserve"> $AC$3/I429 + $AC$6/A429 * Performance!$E$12 + Performance!$E$23/Constraints!$AC$6 * Constraints!A429</f>
        <v>0.95559736603331613</v>
      </c>
      <c r="M429">
        <f>SIN($AC$9 * PI()/180) + 1/Performance!$AE$5</f>
        <v>0.24073077270730886</v>
      </c>
      <c r="N429">
        <f>SIN($AC$9 * PI()/180) + 1/Performance!$AE$8</f>
        <v>0.22738716112204788</v>
      </c>
      <c r="O429" s="60">
        <f>$AC$16 * (Performance!$E$12/Constraints!A429 + Performance!$E$23 * (Constraints!$AC$13/Constraints!$AC$17)^2 * Constraints!A429)</f>
        <v>2.1163553987995658E-4</v>
      </c>
      <c r="P429" t="e">
        <f t="shared" si="27"/>
        <v>#VALUE!</v>
      </c>
      <c r="Q429">
        <f t="shared" si="28"/>
        <v>85.231762864014968</v>
      </c>
      <c r="R429">
        <f t="shared" si="29"/>
        <v>94.314683847975175</v>
      </c>
      <c r="S429" t="e">
        <f xml:space="preserve"> 1.667/G429 + P429/A429 * Performance!$E$12 + Performance!$E$23 / Constraints!P429 * Constraints!A429</f>
        <v>#VALUE!</v>
      </c>
      <c r="T429">
        <f xml:space="preserve"> 1.667/H429 + Q429/A429 * Performance!$E$12 + Performance!$E$23 / Constraints!Q429 * Constraints!A429</f>
        <v>0.1984373885563851</v>
      </c>
      <c r="U429">
        <f xml:space="preserve"> 1.667/I429 + R429/A429 * Performance!$E$12 + Performance!$E$23 / Constraints!R429 * Constraints!A429</f>
        <v>0.18609914755067886</v>
      </c>
    </row>
    <row r="430" spans="1:21" x14ac:dyDescent="0.3">
      <c r="A430" s="51">
        <v>214</v>
      </c>
      <c r="B430" s="50">
        <f>$V$4*Performance!$E$12*(1/A430)+Performance!$E$23*(1/Constraints!$V$4)*Constraints!A430</f>
        <v>0.14118550589574974</v>
      </c>
      <c r="C430" s="50">
        <f>$V$5*Performance!$E$12*(1/A430)+Performance!$E$23*(1/Constraints!$V$5)*Constraints!A430</f>
        <v>0.2126008818683906</v>
      </c>
      <c r="D430" s="52">
        <f t="shared" si="26"/>
        <v>0.36511328485823547</v>
      </c>
      <c r="E430" s="52">
        <f>$V$4*Performance!$E$12*(1/A430)+Performance!$E$23*(1/Constraints!$V$9)*Constraints!A430</f>
        <v>0.14021904761955567</v>
      </c>
      <c r="F430" s="52">
        <f xml:space="preserve"> 1.21 / (9.81 * Constraints!$N$7 * Performance!$E$15 * Constraints!$N$5 ) * Constraints!A430 + 0.605 /Performance!$E$15 * (Performance!$E$16  - Constraints!$N$6 * Performance!$E$14) + Constraints!$N$6</f>
        <v>0.36499448946082647</v>
      </c>
      <c r="G430" s="54" t="s">
        <v>198</v>
      </c>
      <c r="H430" s="55">
        <f>SQRT(2/$V$3 * A430 * SQRT(Performance!$E$23 / (3 * Performance!$E$12)))</f>
        <v>18.037949670472184</v>
      </c>
      <c r="I430" s="55">
        <f>SQRT(2/$V$3 * A430 * (SQRT(Performance!$E$23)/(SQRT(3*Performance!$E$12 + 4* Performance!$E$23 * Performance!$E$11^2) - SQRT(Performance!$E$23)*Performance!$E$11)))</f>
        <v>18.974751280205744</v>
      </c>
      <c r="J430" t="e">
        <f xml:space="preserve"> $AC$3/G430 + $AC$6/A430 * Performance!$E$12 + Performance!$E$23/Constraints!$AC$6 * Constraints!A430</f>
        <v>#VALUE!</v>
      </c>
      <c r="K430">
        <f xml:space="preserve"> $AC$3/H430 + $AC$6/A430 * Performance!$E$12 + Performance!$E$23/Constraints!$AC$6 * Constraints!A430</f>
        <v>0.97079085848891755</v>
      </c>
      <c r="L430">
        <f xml:space="preserve"> $AC$3/I430 + $AC$6/A430 * Performance!$E$12 + Performance!$E$23/Constraints!$AC$6 * Constraints!A430</f>
        <v>0.95688659215937433</v>
      </c>
      <c r="M430">
        <f>SIN($AC$9 * PI()/180) + 1/Performance!$AE$5</f>
        <v>0.24073077270730886</v>
      </c>
      <c r="N430">
        <f>SIN($AC$9 * PI()/180) + 1/Performance!$AE$8</f>
        <v>0.22738716112204788</v>
      </c>
      <c r="O430" s="60">
        <f>$AC$16 * (Performance!$E$12/Constraints!A430 + Performance!$E$23 * (Constraints!$AC$13/Constraints!$AC$17)^2 * Constraints!A430)</f>
        <v>2.1159270694649982E-4</v>
      </c>
      <c r="P430" t="e">
        <f t="shared" si="27"/>
        <v>#VALUE!</v>
      </c>
      <c r="Q430">
        <f t="shared" si="28"/>
        <v>85.43136886603844</v>
      </c>
      <c r="R430">
        <f t="shared" si="29"/>
        <v>94.535561327712799</v>
      </c>
      <c r="S430" t="e">
        <f xml:space="preserve"> 1.667/G430 + P430/A430 * Performance!$E$12 + Performance!$E$23 / Constraints!P430 * Constraints!A430</f>
        <v>#VALUE!</v>
      </c>
      <c r="T430">
        <f xml:space="preserve"> 1.667/H430 + Q430/A430 * Performance!$E$12 + Performance!$E$23 / Constraints!Q430 * Constraints!A430</f>
        <v>0.19832923606940192</v>
      </c>
      <c r="U430">
        <f xml:space="preserve"> 1.667/I430 + R430/A430 * Performance!$E$12 + Performance!$E$23 / Constraints!R430 * Constraints!A430</f>
        <v>0.18599633465536713</v>
      </c>
    </row>
    <row r="431" spans="1:21" x14ac:dyDescent="0.3">
      <c r="A431" s="51">
        <v>214.5</v>
      </c>
      <c r="B431" s="50">
        <f>$V$4*Performance!$E$12*(1/A431)+Performance!$E$23*(1/Constraints!$V$4)*Constraints!A431</f>
        <v>0.14089596996117537</v>
      </c>
      <c r="C431" s="50">
        <f>$V$5*Performance!$E$12*(1/A431)+Performance!$E$23*(1/Constraints!$V$5)*Constraints!A431</f>
        <v>0.21213065484397103</v>
      </c>
      <c r="D431" s="52">
        <f t="shared" si="26"/>
        <v>0.36538557057052101</v>
      </c>
      <c r="E431" s="52">
        <f>$V$4*Performance!$E$12*(1/A431)+Performance!$E$23*(1/Constraints!$V$9)*Constraints!A431</f>
        <v>0.13992725360489675</v>
      </c>
      <c r="F431" s="52">
        <f xml:space="preserve"> 1.21 / (9.81 * Constraints!$N$7 * Performance!$E$15 * Constraints!$N$5 ) * Constraints!A431 + 0.605 /Performance!$E$15 * (Performance!$E$16  - Constraints!$N$6 * Performance!$E$14) + Constraints!$N$6</f>
        <v>0.36526649761377233</v>
      </c>
      <c r="G431" s="54" t="s">
        <v>198</v>
      </c>
      <c r="H431" s="55">
        <f>SQRT(2/$V$3 * A431 * SQRT(Performance!$E$23 / (3 * Performance!$E$12)))</f>
        <v>18.059009747312839</v>
      </c>
      <c r="I431" s="55">
        <f>SQRT(2/$V$3 * A431 * (SQRT(Performance!$E$23)/(SQRT(3*Performance!$E$12 + 4* Performance!$E$23 * Performance!$E$11^2) - SQRT(Performance!$E$23)*Performance!$E$11)))</f>
        <v>18.996905112946923</v>
      </c>
      <c r="J431" t="e">
        <f xml:space="preserve"> $AC$3/G431 + $AC$6/A431 * Performance!$E$12 + Performance!$E$23/Constraints!$AC$6 * Constraints!A431</f>
        <v>#VALUE!</v>
      </c>
      <c r="K431">
        <f xml:space="preserve"> $AC$3/H431 + $AC$6/A431 * Performance!$E$12 + Performance!$E$23/Constraints!$AC$6 * Constraints!A431</f>
        <v>0.97206498371967009</v>
      </c>
      <c r="L431">
        <f xml:space="preserve"> $AC$3/I431 + $AC$6/A431 * Performance!$E$12 + Performance!$E$23/Constraints!$AC$6 * Constraints!A431</f>
        <v>0.95817693228349099</v>
      </c>
      <c r="M431">
        <f>SIN($AC$9 * PI()/180) + 1/Performance!$AE$5</f>
        <v>0.24073077270730886</v>
      </c>
      <c r="N431">
        <f>SIN($AC$9 * PI()/180) + 1/Performance!$AE$8</f>
        <v>0.22738716112204788</v>
      </c>
      <c r="O431" s="60">
        <f>$AC$16 * (Performance!$E$12/Constraints!A431 + Performance!$E$23 * (Constraints!$AC$13/Constraints!$AC$17)^2 * Constraints!A431)</f>
        <v>2.1155112771171648E-4</v>
      </c>
      <c r="P431" t="e">
        <f t="shared" si="27"/>
        <v>#VALUE!</v>
      </c>
      <c r="Q431">
        <f t="shared" si="28"/>
        <v>85.630974868061898</v>
      </c>
      <c r="R431">
        <f t="shared" si="29"/>
        <v>94.756438807450451</v>
      </c>
      <c r="S431" t="e">
        <f xml:space="preserve"> 1.667/G431 + P431/A431 * Performance!$E$12 + Performance!$E$23 / Constraints!P431 * Constraints!A431</f>
        <v>#VALUE!</v>
      </c>
      <c r="T431">
        <f xml:space="preserve"> 1.667/H431 + Q431/A431 * Performance!$E$12 + Performance!$E$23 / Constraints!Q431 * Constraints!A431</f>
        <v>0.19822146195868132</v>
      </c>
      <c r="U431">
        <f xml:space="preserve"> 1.667/I431 + R431/A431 * Performance!$E$12 + Performance!$E$23 / Constraints!R431 * Constraints!A431</f>
        <v>0.18589388145552013</v>
      </c>
    </row>
    <row r="432" spans="1:21" x14ac:dyDescent="0.3">
      <c r="A432" s="51">
        <v>215</v>
      </c>
      <c r="B432" s="50">
        <f>$V$4*Performance!$E$12*(1/A432)+Performance!$E$23*(1/Constraints!$V$4)*Constraints!A432</f>
        <v>0.14060787283089884</v>
      </c>
      <c r="C432" s="50">
        <f>$V$5*Performance!$E$12*(1/A432)+Performance!$E$23*(1/Constraints!$V$5)*Constraints!A432</f>
        <v>0.21166267393525151</v>
      </c>
      <c r="D432" s="52">
        <f t="shared" si="26"/>
        <v>0.36565785628280667</v>
      </c>
      <c r="E432" s="52">
        <f>$V$4*Performance!$E$12*(1/A432)+Performance!$E$23*(1/Constraints!$V$9)*Constraints!A432</f>
        <v>0.13963689839453564</v>
      </c>
      <c r="F432" s="52">
        <f xml:space="preserve"> 1.21 / (9.81 * Constraints!$N$7 * Performance!$E$15 * Constraints!$N$5 ) * Constraints!A432 + 0.605 /Performance!$E$15 * (Performance!$E$16  - Constraints!$N$6 * Performance!$E$14) + Constraints!$N$6</f>
        <v>0.3655385057667182</v>
      </c>
      <c r="G432" s="54" t="s">
        <v>198</v>
      </c>
      <c r="H432" s="55">
        <f>SQRT(2/$V$3 * A432 * SQRT(Performance!$E$23 / (3 * Performance!$E$12)))</f>
        <v>18.080045292880012</v>
      </c>
      <c r="I432" s="55">
        <f>SQRT(2/$V$3 * A432 * (SQRT(Performance!$E$23)/(SQRT(3*Performance!$E$12 + 4* Performance!$E$23 * Performance!$E$11^2) - SQRT(Performance!$E$23)*Performance!$E$11)))</f>
        <v>19.019033140381989</v>
      </c>
      <c r="J432" t="e">
        <f xml:space="preserve"> $AC$3/G432 + $AC$6/A432 * Performance!$E$12 + Performance!$E$23/Constraints!$AC$6 * Constraints!A432</f>
        <v>#VALUE!</v>
      </c>
      <c r="K432">
        <f xml:space="preserve"> $AC$3/H432 + $AC$6/A432 * Performance!$E$12 + Performance!$E$23/Constraints!$AC$6 * Constraints!A432</f>
        <v>0.97334027304378012</v>
      </c>
      <c r="L432">
        <f xml:space="preserve"> $AC$3/I432 + $AC$6/A432 * Performance!$E$12 + Performance!$E$23/Constraints!$AC$6 * Constraints!A432</f>
        <v>0.95946837990444656</v>
      </c>
      <c r="M432">
        <f>SIN($AC$9 * PI()/180) + 1/Performance!$AE$5</f>
        <v>0.24073077270730886</v>
      </c>
      <c r="N432">
        <f>SIN($AC$9 * PI()/180) + 1/Performance!$AE$8</f>
        <v>0.22738716112204788</v>
      </c>
      <c r="O432" s="60">
        <f>$AC$16 * (Performance!$E$12/Constraints!A432 + Performance!$E$23 * (Constraints!$AC$13/Constraints!$AC$17)^2 * Constraints!A432)</f>
        <v>2.1151079342887172E-4</v>
      </c>
      <c r="P432" t="e">
        <f t="shared" si="27"/>
        <v>#VALUE!</v>
      </c>
      <c r="Q432">
        <f t="shared" si="28"/>
        <v>85.830580870085356</v>
      </c>
      <c r="R432">
        <f t="shared" si="29"/>
        <v>94.977316287188103</v>
      </c>
      <c r="S432" t="e">
        <f xml:space="preserve"> 1.667/G432 + P432/A432 * Performance!$E$12 + Performance!$E$23 / Constraints!P432 * Constraints!A432</f>
        <v>#VALUE!</v>
      </c>
      <c r="T432">
        <f xml:space="preserve"> 1.667/H432 + Q432/A432 * Performance!$E$12 + Performance!$E$23 / Constraints!Q432 * Constraints!A432</f>
        <v>0.19811406402307977</v>
      </c>
      <c r="U432">
        <f xml:space="preserve"> 1.667/I432 + R432/A432 * Performance!$E$12 + Performance!$E$23 / Constraints!R432 * Constraints!A432</f>
        <v>0.18579178585866696</v>
      </c>
    </row>
    <row r="433" spans="1:21" x14ac:dyDescent="0.3">
      <c r="A433" s="51">
        <v>215.5</v>
      </c>
      <c r="B433" s="50">
        <f>$V$4*Performance!$E$12*(1/A433)+Performance!$E$23*(1/Constraints!$V$4)*Constraints!A433</f>
        <v>0.14032120449004098</v>
      </c>
      <c r="C433" s="50">
        <f>$V$5*Performance!$E$12*(1/A433)+Performance!$E$23*(1/Constraints!$V$5)*Constraints!A433</f>
        <v>0.21119692350801611</v>
      </c>
      <c r="D433" s="52">
        <f t="shared" si="26"/>
        <v>0.36593014199509222</v>
      </c>
      <c r="E433" s="52">
        <f>$V$4*Performance!$E$12*(1/A433)+Performance!$E$23*(1/Constraints!$V$9)*Constraints!A433</f>
        <v>0.13934797197359322</v>
      </c>
      <c r="F433" s="52">
        <f xml:space="preserve"> 1.21 / (9.81 * Constraints!$N$7 * Performance!$E$15 * Constraints!$N$5 ) * Constraints!A433 + 0.605 /Performance!$E$15 * (Performance!$E$16  - Constraints!$N$6 * Performance!$E$14) + Constraints!$N$6</f>
        <v>0.36581051391966402</v>
      </c>
      <c r="G433" s="54" t="s">
        <v>198</v>
      </c>
      <c r="H433" s="55">
        <f>SQRT(2/$V$3 * A433 * SQRT(Performance!$E$23 / (3 * Performance!$E$12)))</f>
        <v>18.101056392698332</v>
      </c>
      <c r="I433" s="55">
        <f>SQRT(2/$V$3 * A433 * (SQRT(Performance!$E$23)/(SQRT(3*Performance!$E$12 + 4* Performance!$E$23 * Performance!$E$11^2) - SQRT(Performance!$E$23)*Performance!$E$11)))</f>
        <v>19.041135452477295</v>
      </c>
      <c r="J433" t="e">
        <f xml:space="preserve"> $AC$3/G433 + $AC$6/A433 * Performance!$E$12 + Performance!$E$23/Constraints!$AC$6 * Constraints!A433</f>
        <v>#VALUE!</v>
      </c>
      <c r="K433">
        <f xml:space="preserve"> $AC$3/H433 + $AC$6/A433 * Performance!$E$12 + Performance!$E$23/Constraints!$AC$6 * Constraints!A433</f>
        <v>0.97461671968452057</v>
      </c>
      <c r="L433">
        <f xml:space="preserve"> $AC$3/I433 + $AC$6/A433 * Performance!$E$12 + Performance!$E$23/Constraints!$AC$6 * Constraints!A433</f>
        <v>0.96076092857399131</v>
      </c>
      <c r="M433">
        <f>SIN($AC$9 * PI()/180) + 1/Performance!$AE$5</f>
        <v>0.24073077270730886</v>
      </c>
      <c r="N433">
        <f>SIN($AC$9 * PI()/180) + 1/Performance!$AE$8</f>
        <v>0.22738716112204788</v>
      </c>
      <c r="O433" s="60">
        <f>$AC$16 * (Performance!$E$12/Constraints!A433 + Performance!$E$23 * (Constraints!$AC$13/Constraints!$AC$17)^2 * Constraints!A433)</f>
        <v>2.1147169543240675E-4</v>
      </c>
      <c r="P433" t="e">
        <f t="shared" si="27"/>
        <v>#VALUE!</v>
      </c>
      <c r="Q433">
        <f t="shared" si="28"/>
        <v>86.0301868721088</v>
      </c>
      <c r="R433">
        <f t="shared" si="29"/>
        <v>95.198193766925726</v>
      </c>
      <c r="S433" t="e">
        <f xml:space="preserve"> 1.667/G433 + P433/A433 * Performance!$E$12 + Performance!$E$23 / Constraints!P433 * Constraints!A433</f>
        <v>#VALUE!</v>
      </c>
      <c r="T433">
        <f xml:space="preserve"> 1.667/H433 + Q433/A433 * Performance!$E$12 + Performance!$E$23 / Constraints!Q433 * Constraints!A433</f>
        <v>0.19800704007933895</v>
      </c>
      <c r="U433">
        <f xml:space="preserve"> 1.667/I433 + R433/A433 * Performance!$E$12 + Performance!$E$23 / Constraints!R433 * Constraints!A433</f>
        <v>0.18569004578933884</v>
      </c>
    </row>
    <row r="434" spans="1:21" x14ac:dyDescent="0.3">
      <c r="A434" s="51">
        <v>216</v>
      </c>
      <c r="B434" s="50">
        <f>$V$4*Performance!$E$12*(1/A434)+Performance!$E$23*(1/Constraints!$V$4)*Constraints!A434</f>
        <v>0.14003595501645311</v>
      </c>
      <c r="C434" s="50">
        <f>$V$5*Performance!$E$12*(1/A434)+Performance!$E$23*(1/Constraints!$V$5)*Constraints!A434</f>
        <v>0.21073338807281003</v>
      </c>
      <c r="D434" s="52">
        <f t="shared" si="26"/>
        <v>0.36620242770737788</v>
      </c>
      <c r="E434" s="52">
        <f>$V$4*Performance!$E$12*(1/A434)+Performance!$E$23*(1/Constraints!$V$9)*Constraints!A434</f>
        <v>0.13906046441992076</v>
      </c>
      <c r="F434" s="52">
        <f xml:space="preserve"> 1.21 / (9.81 * Constraints!$N$7 * Performance!$E$15 * Constraints!$N$5 ) * Constraints!A434 + 0.605 /Performance!$E$15 * (Performance!$E$16  - Constraints!$N$6 * Performance!$E$14) + Constraints!$N$6</f>
        <v>0.36608252207260988</v>
      </c>
      <c r="G434" s="54" t="s">
        <v>198</v>
      </c>
      <c r="H434" s="55">
        <f>SQRT(2/$V$3 * A434 * SQRT(Performance!$E$23 / (3 * Performance!$E$12)))</f>
        <v>18.122043131796637</v>
      </c>
      <c r="I434" s="55">
        <f>SQRT(2/$V$3 * A434 * (SQRT(Performance!$E$23)/(SQRT(3*Performance!$E$12 + 4* Performance!$E$23 * Performance!$E$11^2) - SQRT(Performance!$E$23)*Performance!$E$11)))</f>
        <v>19.063212138677656</v>
      </c>
      <c r="J434" t="e">
        <f xml:space="preserve"> $AC$3/G434 + $AC$6/A434 * Performance!$E$12 + Performance!$E$23/Constraints!$AC$6 * Constraints!A434</f>
        <v>#VALUE!</v>
      </c>
      <c r="K434">
        <f xml:space="preserve"> $AC$3/H434 + $AC$6/A434 * Performance!$E$12 + Performance!$E$23/Constraints!$AC$6 * Constraints!A434</f>
        <v>0.97589431692024287</v>
      </c>
      <c r="L434">
        <f xml:space="preserve"> $AC$3/I434 + $AC$6/A434 * Performance!$E$12 + Performance!$E$23/Constraints!$AC$6 * Constraints!A434</f>
        <v>0.96205457189629007</v>
      </c>
      <c r="M434">
        <f>SIN($AC$9 * PI()/180) + 1/Performance!$AE$5</f>
        <v>0.24073077270730886</v>
      </c>
      <c r="N434">
        <f>SIN($AC$9 * PI()/180) + 1/Performance!$AE$8</f>
        <v>0.22738716112204788</v>
      </c>
      <c r="O434" s="60">
        <f>$AC$16 * (Performance!$E$12/Constraints!A434 + Performance!$E$23 * (Constraints!$AC$13/Constraints!$AC$17)^2 * Constraints!A434)</f>
        <v>2.1143382513699944E-4</v>
      </c>
      <c r="P434" t="e">
        <f t="shared" si="27"/>
        <v>#VALUE!</v>
      </c>
      <c r="Q434">
        <f t="shared" si="28"/>
        <v>86.229792874132229</v>
      </c>
      <c r="R434">
        <f t="shared" si="29"/>
        <v>95.419071246663364</v>
      </c>
      <c r="S434" t="e">
        <f xml:space="preserve"> 1.667/G434 + P434/A434 * Performance!$E$12 + Performance!$E$23 / Constraints!P434 * Constraints!A434</f>
        <v>#VALUE!</v>
      </c>
      <c r="T434">
        <f xml:space="preserve"> 1.667/H434 + Q434/A434 * Performance!$E$12 + Performance!$E$23 / Constraints!Q434 * Constraints!A434</f>
        <v>0.19790038796189918</v>
      </c>
      <c r="U434">
        <f xml:space="preserve"> 1.667/I434 + R434/A434 * Performance!$E$12 + Performance!$E$23 / Constraints!R434 * Constraints!A434</f>
        <v>0.18558865918889181</v>
      </c>
    </row>
    <row r="435" spans="1:21" x14ac:dyDescent="0.3">
      <c r="A435" s="51">
        <v>216.5</v>
      </c>
      <c r="B435" s="50">
        <f>$V$4*Performance!$E$12*(1/A435)+Performance!$E$23*(1/Constraints!$V$4)*Constraints!A435</f>
        <v>0.13975211457964606</v>
      </c>
      <c r="C435" s="50">
        <f>$V$5*Performance!$E$12*(1/A435)+Performance!$E$23*(1/Constraints!$V$5)*Constraints!A435</f>
        <v>0.21027205228326815</v>
      </c>
      <c r="D435" s="52">
        <f t="shared" si="26"/>
        <v>0.36647471341966342</v>
      </c>
      <c r="E435" s="52">
        <f>$V$4*Performance!$E$12*(1/A435)+Performance!$E$23*(1/Constraints!$V$9)*Constraints!A435</f>
        <v>0.13877436590302913</v>
      </c>
      <c r="F435" s="52">
        <f xml:space="preserve"> 1.21 / (9.81 * Constraints!$N$7 * Performance!$E$15 * Constraints!$N$5 ) * Constraints!A435 + 0.605 /Performance!$E$15 * (Performance!$E$16  - Constraints!$N$6 * Performance!$E$14) + Constraints!$N$6</f>
        <v>0.36635453022555575</v>
      </c>
      <c r="G435" s="54" t="s">
        <v>198</v>
      </c>
      <c r="H435" s="55">
        <f>SQRT(2/$V$3 * A435 * SQRT(Performance!$E$23 / (3 * Performance!$E$12)))</f>
        <v>18.14300559471198</v>
      </c>
      <c r="I435" s="55">
        <f>SQRT(2/$V$3 * A435 * (SQRT(Performance!$E$23)/(SQRT(3*Performance!$E$12 + 4* Performance!$E$23 * Performance!$E$11^2) - SQRT(Performance!$E$23)*Performance!$E$11)))</f>
        <v>19.085263287910561</v>
      </c>
      <c r="J435" t="e">
        <f xml:space="preserve"> $AC$3/G435 + $AC$6/A435 * Performance!$E$12 + Performance!$E$23/Constraints!$AC$6 * Constraints!A435</f>
        <v>#VALUE!</v>
      </c>
      <c r="K435">
        <f xml:space="preserve"> $AC$3/H435 + $AC$6/A435 * Performance!$E$12 + Performance!$E$23/Constraints!$AC$6 * Constraints!A435</f>
        <v>0.97717305808380184</v>
      </c>
      <c r="L435">
        <f xml:space="preserve"> $AC$3/I435 + $AC$6/A435 * Performance!$E$12 + Performance!$E$23/Constraints!$AC$6 * Constraints!A435</f>
        <v>0.96334930352737702</v>
      </c>
      <c r="M435">
        <f>SIN($AC$9 * PI()/180) + 1/Performance!$AE$5</f>
        <v>0.24073077270730886</v>
      </c>
      <c r="N435">
        <f>SIN($AC$9 * PI()/180) + 1/Performance!$AE$8</f>
        <v>0.22738716112204788</v>
      </c>
      <c r="O435" s="60">
        <f>$AC$16 * (Performance!$E$12/Constraints!A435 + Performance!$E$23 * (Constraints!$AC$13/Constraints!$AC$17)^2 * Constraints!A435)</f>
        <v>2.1139717403663791E-4</v>
      </c>
      <c r="P435" t="e">
        <f t="shared" si="27"/>
        <v>#VALUE!</v>
      </c>
      <c r="Q435">
        <f t="shared" si="28"/>
        <v>86.429398876155688</v>
      </c>
      <c r="R435">
        <f t="shared" si="29"/>
        <v>95.639948726401045</v>
      </c>
      <c r="S435" t="e">
        <f xml:space="preserve"> 1.667/G435 + P435/A435 * Performance!$E$12 + Performance!$E$23 / Constraints!P435 * Constraints!A435</f>
        <v>#VALUE!</v>
      </c>
      <c r="T435">
        <f xml:space="preserve"> 1.667/H435 + Q435/A435 * Performance!$E$12 + Performance!$E$23 / Constraints!Q435 * Constraints!A435</f>
        <v>0.19779410552271542</v>
      </c>
      <c r="U435">
        <f xml:space="preserve"> 1.667/I435 + R435/A435 * Performance!$E$12 + Performance!$E$23 / Constraints!R435 * Constraints!A435</f>
        <v>0.18548762401533186</v>
      </c>
    </row>
    <row r="436" spans="1:21" x14ac:dyDescent="0.3">
      <c r="A436" s="51">
        <v>217</v>
      </c>
      <c r="B436" s="50">
        <f>$V$4*Performance!$E$12*(1/A436)+Performance!$E$23*(1/Constraints!$V$4)*Constraints!A436</f>
        <v>0.13946967343973421</v>
      </c>
      <c r="C436" s="50">
        <f>$V$5*Performance!$E$12*(1/A436)+Performance!$E$23*(1/Constraints!$V$5)*Constraints!A436</f>
        <v>0.20981290093446658</v>
      </c>
      <c r="D436" s="52">
        <f t="shared" si="26"/>
        <v>0.36674699913194903</v>
      </c>
      <c r="E436" s="52">
        <f>$V$4*Performance!$E$12*(1/A436)+Performance!$E$23*(1/Constraints!$V$9)*Constraints!A436</f>
        <v>0.13848966668303272</v>
      </c>
      <c r="F436" s="52">
        <f xml:space="preserve"> 1.21 / (9.81 * Constraints!$N$7 * Performance!$E$15 * Constraints!$N$5 ) * Constraints!A436 + 0.605 /Performance!$E$15 * (Performance!$E$16  - Constraints!$N$6 * Performance!$E$14) + Constraints!$N$6</f>
        <v>0.36662653837850162</v>
      </c>
      <c r="G436" s="54" t="s">
        <v>198</v>
      </c>
      <c r="H436" s="55">
        <f>SQRT(2/$V$3 * A436 * SQRT(Performance!$E$23 / (3 * Performance!$E$12)))</f>
        <v>18.163943865493607</v>
      </c>
      <c r="I436" s="55">
        <f>SQRT(2/$V$3 * A436 * (SQRT(Performance!$E$23)/(SQRT(3*Performance!$E$12 + 4* Performance!$E$23 * Performance!$E$11^2) - SQRT(Performance!$E$23)*Performance!$E$11)))</f>
        <v>19.107288988590348</v>
      </c>
      <c r="J436" t="e">
        <f xml:space="preserve"> $AC$3/G436 + $AC$6/A436 * Performance!$E$12 + Performance!$E$23/Constraints!$AC$6 * Constraints!A436</f>
        <v>#VALUE!</v>
      </c>
      <c r="K436">
        <f xml:space="preserve"> $AC$3/H436 + $AC$6/A436 * Performance!$E$12 + Performance!$E$23/Constraints!$AC$6 * Constraints!A436</f>
        <v>0.97845293656199028</v>
      </c>
      <c r="L436">
        <f xml:space="preserve"> $AC$3/I436 + $AC$6/A436 * Performance!$E$12 + Performance!$E$23/Constraints!$AC$6 * Constraints!A436</f>
        <v>0.9646451171746161</v>
      </c>
      <c r="M436">
        <f>SIN($AC$9 * PI()/180) + 1/Performance!$AE$5</f>
        <v>0.24073077270730886</v>
      </c>
      <c r="N436">
        <f>SIN($AC$9 * PI()/180) + 1/Performance!$AE$8</f>
        <v>0.22738716112204788</v>
      </c>
      <c r="O436" s="60">
        <f>$AC$16 * (Performance!$E$12/Constraints!A436 + Performance!$E$23 * (Constraints!$AC$13/Constraints!$AC$17)^2 * Constraints!A436)</f>
        <v>2.1136173370370665E-4</v>
      </c>
      <c r="P436" t="e">
        <f t="shared" si="27"/>
        <v>#VALUE!</v>
      </c>
      <c r="Q436">
        <f t="shared" si="28"/>
        <v>86.629004878179174</v>
      </c>
      <c r="R436">
        <f t="shared" si="29"/>
        <v>95.860826206138668</v>
      </c>
      <c r="S436" t="e">
        <f xml:space="preserve"> 1.667/G436 + P436/A436 * Performance!$E$12 + Performance!$E$23 / Constraints!P436 * Constraints!A436</f>
        <v>#VALUE!</v>
      </c>
      <c r="T436">
        <f xml:space="preserve"> 1.667/H436 + Q436/A436 * Performance!$E$12 + Performance!$E$23 / Constraints!Q436 * Constraints!A436</f>
        <v>0.19768819063107562</v>
      </c>
      <c r="U436">
        <f xml:space="preserve"> 1.667/I436 + R436/A436 * Performance!$E$12 + Performance!$E$23 / Constraints!R436 * Constraints!A436</f>
        <v>0.1853869382431424</v>
      </c>
    </row>
    <row r="437" spans="1:21" x14ac:dyDescent="0.3">
      <c r="A437" s="51">
        <v>217.5</v>
      </c>
      <c r="B437" s="50">
        <f>$V$4*Performance!$E$12*(1/A437)+Performance!$E$23*(1/Constraints!$V$4)*Constraints!A437</f>
        <v>0.13918862194639414</v>
      </c>
      <c r="C437" s="50">
        <f>$V$5*Performance!$E$12*(1/A437)+Performance!$E$23*(1/Constraints!$V$5)*Constraints!A437</f>
        <v>0.20935591896129677</v>
      </c>
      <c r="D437" s="52">
        <f t="shared" si="26"/>
        <v>0.36701928484423463</v>
      </c>
      <c r="E437" s="52">
        <f>$V$4*Performance!$E$12*(1/A437)+Performance!$E$23*(1/Constraints!$V$9)*Constraints!A437</f>
        <v>0.1382063571096081</v>
      </c>
      <c r="F437" s="52">
        <f xml:space="preserve"> 1.21 / (9.81 * Constraints!$N$7 * Performance!$E$15 * Constraints!$N$5 ) * Constraints!A437 + 0.605 /Performance!$E$15 * (Performance!$E$16  - Constraints!$N$6 * Performance!$E$14) + Constraints!$N$6</f>
        <v>0.36689854653144749</v>
      </c>
      <c r="G437" s="54" t="s">
        <v>198</v>
      </c>
      <c r="H437" s="55">
        <f>SQRT(2/$V$3 * A437 * SQRT(Performance!$E$23 / (3 * Performance!$E$12)))</f>
        <v>18.184858027706881</v>
      </c>
      <c r="I437" s="55">
        <f>SQRT(2/$V$3 * A437 * (SQRT(Performance!$E$23)/(SQRT(3*Performance!$E$12 + 4* Performance!$E$23 * Performance!$E$11^2) - SQRT(Performance!$E$23)*Performance!$E$11)))</f>
        <v>19.129289328622363</v>
      </c>
      <c r="J437" t="e">
        <f xml:space="preserve"> $AC$3/G437 + $AC$6/A437 * Performance!$E$12 + Performance!$E$23/Constraints!$AC$6 * Constraints!A437</f>
        <v>#VALUE!</v>
      </c>
      <c r="K437">
        <f xml:space="preserve"> $AC$3/H437 + $AC$6/A437 * Performance!$E$12 + Performance!$E$23/Constraints!$AC$6 * Constraints!A437</f>
        <v>0.97973394579497886</v>
      </c>
      <c r="L437">
        <f xml:space="preserve"> $AC$3/I437 + $AC$6/A437 * Performance!$E$12 + Performance!$E$23/Constraints!$AC$6 * Constraints!A437</f>
        <v>0.96594200659616802</v>
      </c>
      <c r="M437">
        <f>SIN($AC$9 * PI()/180) + 1/Performance!$AE$5</f>
        <v>0.24073077270730886</v>
      </c>
      <c r="N437">
        <f>SIN($AC$9 * PI()/180) + 1/Performance!$AE$8</f>
        <v>0.22738716112204788</v>
      </c>
      <c r="O437" s="60">
        <f>$AC$16 * (Performance!$E$12/Constraints!A437 + Performance!$E$23 * (Constraints!$AC$13/Constraints!$AC$17)^2 * Constraints!A437)</f>
        <v>2.113274957880854E-4</v>
      </c>
      <c r="P437" t="e">
        <f t="shared" si="27"/>
        <v>#VALUE!</v>
      </c>
      <c r="Q437">
        <f t="shared" si="28"/>
        <v>86.828610880202632</v>
      </c>
      <c r="R437">
        <f t="shared" si="29"/>
        <v>96.08170368587632</v>
      </c>
      <c r="S437" t="e">
        <f xml:space="preserve"> 1.667/G437 + P437/A437 * Performance!$E$12 + Performance!$E$23 / Constraints!P437 * Constraints!A437</f>
        <v>#VALUE!</v>
      </c>
      <c r="T437">
        <f xml:space="preserve"> 1.667/H437 + Q437/A437 * Performance!$E$12 + Performance!$E$23 / Constraints!Q437 * Constraints!A437</f>
        <v>0.19758264117342128</v>
      </c>
      <c r="U437">
        <f xml:space="preserve"> 1.667/I437 + R437/A437 * Performance!$E$12 + Performance!$E$23 / Constraints!R437 * Constraints!A437</f>
        <v>0.18528659986311308</v>
      </c>
    </row>
    <row r="438" spans="1:21" x14ac:dyDescent="0.3">
      <c r="A438" s="51">
        <v>218</v>
      </c>
      <c r="B438" s="50">
        <f>$V$4*Performance!$E$12*(1/A438)+Performance!$E$23*(1/Constraints!$V$4)*Constraints!A438</f>
        <v>0.13890895053783761</v>
      </c>
      <c r="C438" s="50">
        <f>$V$5*Performance!$E$12*(1/A438)+Performance!$E$23*(1/Constraints!$V$5)*Constraints!A438</f>
        <v>0.20890109143686209</v>
      </c>
      <c r="D438" s="52">
        <f t="shared" si="26"/>
        <v>0.36729157055652023</v>
      </c>
      <c r="E438" s="52">
        <f>$V$4*Performance!$E$12*(1/A438)+Performance!$E$23*(1/Constraints!$V$9)*Constraints!A438</f>
        <v>0.13792442762096699</v>
      </c>
      <c r="F438" s="52">
        <f xml:space="preserve"> 1.21 / (9.81 * Constraints!$N$7 * Performance!$E$15 * Constraints!$N$5 ) * Constraints!A438 + 0.605 /Performance!$E$15 * (Performance!$E$16  - Constraints!$N$6 * Performance!$E$14) + Constraints!$N$6</f>
        <v>0.3671705546843933</v>
      </c>
      <c r="G438" s="54" t="s">
        <v>198</v>
      </c>
      <c r="H438" s="55">
        <f>SQRT(2/$V$3 * A438 * SQRT(Performance!$E$23 / (3 * Performance!$E$12)))</f>
        <v>18.205748164437182</v>
      </c>
      <c r="I438" s="55">
        <f>SQRT(2/$V$3 * A438 * (SQRT(Performance!$E$23)/(SQRT(3*Performance!$E$12 + 4* Performance!$E$23 * Performance!$E$11^2) - SQRT(Performance!$E$23)*Performance!$E$11)))</f>
        <v>19.151264395407026</v>
      </c>
      <c r="J438" t="e">
        <f xml:space="preserve"> $AC$3/G438 + $AC$6/A438 * Performance!$E$12 + Performance!$E$23/Constraints!$AC$6 * Constraints!A438</f>
        <v>#VALUE!</v>
      </c>
      <c r="K438">
        <f xml:space="preserve"> $AC$3/H438 + $AC$6/A438 * Performance!$E$12 + Performance!$E$23/Constraints!$AC$6 * Constraints!A438</f>
        <v>0.98101607927576362</v>
      </c>
      <c r="L438">
        <f xml:space="preserve"> $AC$3/I438 + $AC$6/A438 * Performance!$E$12 + Performance!$E$23/Constraints!$AC$6 * Constraints!A438</f>
        <v>0.9672399656004651</v>
      </c>
      <c r="M438">
        <f>SIN($AC$9 * PI()/180) + 1/Performance!$AE$5</f>
        <v>0.24073077270730886</v>
      </c>
      <c r="N438">
        <f>SIN($AC$9 * PI()/180) + 1/Performance!$AE$8</f>
        <v>0.22738716112204788</v>
      </c>
      <c r="O438" s="60">
        <f>$AC$16 * (Performance!$E$12/Constraints!A438 + Performance!$E$23 * (Constraints!$AC$13/Constraints!$AC$17)^2 * Constraints!A438)</f>
        <v>2.1129445201626058E-4</v>
      </c>
      <c r="P438" t="e">
        <f t="shared" si="27"/>
        <v>#VALUE!</v>
      </c>
      <c r="Q438">
        <f t="shared" si="28"/>
        <v>87.028216882226047</v>
      </c>
      <c r="R438">
        <f t="shared" si="29"/>
        <v>96.302581165613972</v>
      </c>
      <c r="S438" t="e">
        <f xml:space="preserve"> 1.667/G438 + P438/A438 * Performance!$E$12 + Performance!$E$23 / Constraints!P438 * Constraints!A438</f>
        <v>#VALUE!</v>
      </c>
      <c r="T438">
        <f xml:space="preserve"> 1.667/H438 + Q438/A438 * Performance!$E$12 + Performance!$E$23 / Constraints!Q438 * Constraints!A438</f>
        <v>0.1974774550531703</v>
      </c>
      <c r="U438">
        <f xml:space="preserve"> 1.667/I438 + R438/A438 * Performance!$E$12 + Performance!$E$23 / Constraints!R438 * Constraints!A438</f>
        <v>0.18518660688217214</v>
      </c>
    </row>
    <row r="439" spans="1:21" x14ac:dyDescent="0.3">
      <c r="A439" s="51">
        <v>218.5</v>
      </c>
      <c r="B439" s="50">
        <f>$V$4*Performance!$E$12*(1/A439)+Performance!$E$23*(1/Constraints!$V$4)*Constraints!A439</f>
        <v>0.13863064973979822</v>
      </c>
      <c r="C439" s="50">
        <f>$V$5*Performance!$E$12*(1/A439)+Performance!$E$23*(1/Constraints!$V$5)*Constraints!A439</f>
        <v>0.2084484035708967</v>
      </c>
      <c r="D439" s="52">
        <f t="shared" si="26"/>
        <v>0.36756385626880583</v>
      </c>
      <c r="E439" s="52">
        <f>$V$4*Performance!$E$12*(1/A439)+Performance!$E$23*(1/Constraints!$V$9)*Constraints!A439</f>
        <v>0.13764386874284304</v>
      </c>
      <c r="F439" s="52">
        <f xml:space="preserve"> 1.21 / (9.81 * Constraints!$N$7 * Performance!$E$15 * Constraints!$N$5 ) * Constraints!A439 + 0.605 /Performance!$E$15 * (Performance!$E$16  - Constraints!$N$6 * Performance!$E$14) + Constraints!$N$6</f>
        <v>0.36744256283733917</v>
      </c>
      <c r="G439" s="54" t="s">
        <v>198</v>
      </c>
      <c r="H439" s="55">
        <f>SQRT(2/$V$3 * A439 * SQRT(Performance!$E$23 / (3 * Performance!$E$12)))</f>
        <v>18.226614358293766</v>
      </c>
      <c r="I439" s="55">
        <f>SQRT(2/$V$3 * A439 * (SQRT(Performance!$E$23)/(SQRT(3*Performance!$E$12 + 4* Performance!$E$23 * Performance!$E$11^2) - SQRT(Performance!$E$23)*Performance!$E$11)))</f>
        <v>19.173214275843897</v>
      </c>
      <c r="J439" t="e">
        <f xml:space="preserve"> $AC$3/G439 + $AC$6/A439 * Performance!$E$12 + Performance!$E$23/Constraints!$AC$6 * Constraints!A439</f>
        <v>#VALUE!</v>
      </c>
      <c r="K439">
        <f xml:space="preserve"> $AC$3/H439 + $AC$6/A439 * Performance!$E$12 + Performance!$E$23/Constraints!$AC$6 * Constraints!A439</f>
        <v>0.98229933054961993</v>
      </c>
      <c r="L439">
        <f xml:space="preserve"> $AC$3/I439 + $AC$6/A439 * Performance!$E$12 + Performance!$E$23/Constraints!$AC$6 * Constraints!A439</f>
        <v>0.96853898804569161</v>
      </c>
      <c r="M439">
        <f>SIN($AC$9 * PI()/180) + 1/Performance!$AE$5</f>
        <v>0.24073077270730886</v>
      </c>
      <c r="N439">
        <f>SIN($AC$9 * PI()/180) + 1/Performance!$AE$8</f>
        <v>0.22738716112204788</v>
      </c>
      <c r="O439" s="60">
        <f>$AC$16 * (Performance!$E$12/Constraints!A439 + Performance!$E$23 * (Constraints!$AC$13/Constraints!$AC$17)^2 * Constraints!A439)</f>
        <v>2.1126259419044867E-4</v>
      </c>
      <c r="P439" t="e">
        <f t="shared" si="27"/>
        <v>#VALUE!</v>
      </c>
      <c r="Q439">
        <f t="shared" si="28"/>
        <v>87.227822884249534</v>
      </c>
      <c r="R439">
        <f t="shared" si="29"/>
        <v>96.52345864535161</v>
      </c>
      <c r="S439" t="e">
        <f xml:space="preserve"> 1.667/G439 + P439/A439 * Performance!$E$12 + Performance!$E$23 / Constraints!P439 * Constraints!A439</f>
        <v>#VALUE!</v>
      </c>
      <c r="T439">
        <f xml:space="preserve"> 1.667/H439 + Q439/A439 * Performance!$E$12 + Performance!$E$23 / Constraints!Q439 * Constraints!A439</f>
        <v>0.19737263019054185</v>
      </c>
      <c r="U439">
        <f xml:space="preserve"> 1.667/I439 + R439/A439 * Performance!$E$12 + Performance!$E$23 / Constraints!R439 * Constraints!A439</f>
        <v>0.18508695732321967</v>
      </c>
    </row>
    <row r="440" spans="1:21" x14ac:dyDescent="0.3">
      <c r="A440" s="51">
        <v>219</v>
      </c>
      <c r="B440" s="50">
        <f>$V$4*Performance!$E$12*(1/A440)+Performance!$E$23*(1/Constraints!$V$4)*Constraints!A440</f>
        <v>0.13835371016453279</v>
      </c>
      <c r="C440" s="50">
        <f>$V$5*Performance!$E$12*(1/A440)+Performance!$E$23*(1/Constraints!$V$5)*Constraints!A440</f>
        <v>0.20799784070820551</v>
      </c>
      <c r="D440" s="52">
        <f t="shared" si="26"/>
        <v>0.36783614198109144</v>
      </c>
      <c r="E440" s="52">
        <f>$V$4*Performance!$E$12*(1/A440)+Performance!$E$23*(1/Constraints!$V$9)*Constraints!A440</f>
        <v>0.13736467108749306</v>
      </c>
      <c r="F440" s="52">
        <f xml:space="preserve"> 1.21 / (9.81 * Constraints!$N$7 * Performance!$E$15 * Constraints!$N$5 ) * Constraints!A440 + 0.605 /Performance!$E$15 * (Performance!$E$16  - Constraints!$N$6 * Performance!$E$14) + Constraints!$N$6</f>
        <v>0.36771457099028504</v>
      </c>
      <c r="G440" s="54" t="s">
        <v>198</v>
      </c>
      <c r="H440" s="55">
        <f>SQRT(2/$V$3 * A440 * SQRT(Performance!$E$23 / (3 * Performance!$E$12)))</f>
        <v>18.247456691413547</v>
      </c>
      <c r="I440" s="55">
        <f>SQRT(2/$V$3 * A440 * (SQRT(Performance!$E$23)/(SQRT(3*Performance!$E$12 + 4* Performance!$E$23 * Performance!$E$11^2) - SQRT(Performance!$E$23)*Performance!$E$11)))</f>
        <v>19.195139056335687</v>
      </c>
      <c r="J440" t="e">
        <f xml:space="preserve"> $AC$3/G440 + $AC$6/A440 * Performance!$E$12 + Performance!$E$23/Constraints!$AC$6 * Constraints!A440</f>
        <v>#VALUE!</v>
      </c>
      <c r="K440">
        <f xml:space="preserve"> $AC$3/H440 + $AC$6/A440 * Performance!$E$12 + Performance!$E$23/Constraints!$AC$6 * Constraints!A440</f>
        <v>0.98358369321356476</v>
      </c>
      <c r="L440">
        <f xml:space="preserve"> $AC$3/I440 + $AC$6/A440 * Performance!$E$12 + Performance!$E$23/Constraints!$AC$6 * Constraints!A440</f>
        <v>0.96983906783927032</v>
      </c>
      <c r="M440">
        <f>SIN($AC$9 * PI()/180) + 1/Performance!$AE$5</f>
        <v>0.24073077270730886</v>
      </c>
      <c r="N440">
        <f>SIN($AC$9 * PI()/180) + 1/Performance!$AE$8</f>
        <v>0.22738716112204788</v>
      </c>
      <c r="O440" s="60">
        <f>$AC$16 * (Performance!$E$12/Constraints!A440 + Performance!$E$23 * (Constraints!$AC$13/Constraints!$AC$17)^2 * Constraints!A440)</f>
        <v>2.1123191418773185E-4</v>
      </c>
      <c r="P440" t="e">
        <f t="shared" si="27"/>
        <v>#VALUE!</v>
      </c>
      <c r="Q440">
        <f t="shared" si="28"/>
        <v>87.427428886272992</v>
      </c>
      <c r="R440">
        <f t="shared" si="29"/>
        <v>96.744336125089276</v>
      </c>
      <c r="S440" t="e">
        <f xml:space="preserve"> 1.667/G440 + P440/A440 * Performance!$E$12 + Performance!$E$23 / Constraints!P440 * Constraints!A440</f>
        <v>#VALUE!</v>
      </c>
      <c r="T440">
        <f xml:space="preserve"> 1.667/H440 + Q440/A440 * Performance!$E$12 + Performance!$E$23 / Constraints!Q440 * Constraints!A440</f>
        <v>0.19726816452238419</v>
      </c>
      <c r="U440">
        <f xml:space="preserve"> 1.667/I440 + R440/A440 * Performance!$E$12 + Performance!$E$23 / Constraints!R440 * Constraints!A440</f>
        <v>0.18498764922496352</v>
      </c>
    </row>
    <row r="441" spans="1:21" x14ac:dyDescent="0.3">
      <c r="A441" s="51">
        <v>219.5</v>
      </c>
      <c r="B441" s="50">
        <f>$V$4*Performance!$E$12*(1/A441)+Performance!$E$23*(1/Constraints!$V$4)*Constraints!A441</f>
        <v>0.13807812250983559</v>
      </c>
      <c r="C441" s="50">
        <f>$V$5*Performance!$E$12*(1/A441)+Performance!$E$23*(1/Constraints!$V$5)*Constraints!A441</f>
        <v>0.20754938832712622</v>
      </c>
      <c r="D441" s="52">
        <f t="shared" si="26"/>
        <v>0.36810842769337704</v>
      </c>
      <c r="E441" s="52">
        <f>$V$4*Performance!$E$12*(1/A441)+Performance!$E$23*(1/Constraints!$V$9)*Constraints!A441</f>
        <v>0.13708682535271127</v>
      </c>
      <c r="F441" s="52">
        <f xml:space="preserve"> 1.21 / (9.81 * Constraints!$N$7 * Performance!$E$15 * Constraints!$N$5 ) * Constraints!A441 + 0.605 /Performance!$E$15 * (Performance!$E$16  - Constraints!$N$6 * Performance!$E$14) + Constraints!$N$6</f>
        <v>0.36798657914323085</v>
      </c>
      <c r="G441" s="54" t="s">
        <v>198</v>
      </c>
      <c r="H441" s="55">
        <f>SQRT(2/$V$3 * A441 * SQRT(Performance!$E$23 / (3 * Performance!$E$12)))</f>
        <v>18.268275245464896</v>
      </c>
      <c r="I441" s="55">
        <f>SQRT(2/$V$3 * A441 * (SQRT(Performance!$E$23)/(SQRT(3*Performance!$E$12 + 4* Performance!$E$23 * Performance!$E$11^2) - SQRT(Performance!$E$23)*Performance!$E$11)))</f>
        <v>19.217038822792212</v>
      </c>
      <c r="J441" t="e">
        <f xml:space="preserve"> $AC$3/G441 + $AC$6/A441 * Performance!$E$12 + Performance!$E$23/Constraints!$AC$6 * Constraints!A441</f>
        <v>#VALUE!</v>
      </c>
      <c r="K441">
        <f xml:space="preserve"> $AC$3/H441 + $AC$6/A441 * Performance!$E$12 + Performance!$E$23/Constraints!$AC$6 * Constraints!A441</f>
        <v>0.98486916091582444</v>
      </c>
      <c r="L441">
        <f xml:space="preserve"> $AC$3/I441 + $AC$6/A441 * Performance!$E$12 + Performance!$E$23/Constraints!$AC$6 * Constraints!A441</f>
        <v>0.97114019893735837</v>
      </c>
      <c r="M441">
        <f>SIN($AC$9 * PI()/180) + 1/Performance!$AE$5</f>
        <v>0.24073077270730886</v>
      </c>
      <c r="N441">
        <f>SIN($AC$9 * PI()/180) + 1/Performance!$AE$8</f>
        <v>0.22738716112204788</v>
      </c>
      <c r="O441" s="60">
        <f>$AC$16 * (Performance!$E$12/Constraints!A441 + Performance!$E$23 * (Constraints!$AC$13/Constraints!$AC$17)^2 * Constraints!A441)</f>
        <v>2.1120240395920505E-4</v>
      </c>
      <c r="P441" t="e">
        <f t="shared" si="27"/>
        <v>#VALUE!</v>
      </c>
      <c r="Q441">
        <f t="shared" si="28"/>
        <v>87.627034888296436</v>
      </c>
      <c r="R441">
        <f t="shared" si="29"/>
        <v>96.9652136048269</v>
      </c>
      <c r="S441" t="e">
        <f xml:space="preserve"> 1.667/G441 + P441/A441 * Performance!$E$12 + Performance!$E$23 / Constraints!P441 * Constraints!A441</f>
        <v>#VALUE!</v>
      </c>
      <c r="T441">
        <f xml:space="preserve"> 1.667/H441 + Q441/A441 * Performance!$E$12 + Performance!$E$23 / Constraints!Q441 * Constraints!A441</f>
        <v>0.19716405600200357</v>
      </c>
      <c r="U441">
        <f xml:space="preserve"> 1.667/I441 + R441/A441 * Performance!$E$12 + Performance!$E$23 / Constraints!R441 * Constraints!A441</f>
        <v>0.18488868064175729</v>
      </c>
    </row>
    <row r="442" spans="1:21" x14ac:dyDescent="0.3">
      <c r="A442" s="51">
        <v>220</v>
      </c>
      <c r="B442" s="50">
        <f>$V$4*Performance!$E$12*(1/A442)+Performance!$E$23*(1/Constraints!$V$4)*Constraints!A442</f>
        <v>0.13780387755806633</v>
      </c>
      <c r="C442" s="50">
        <f>$V$5*Performance!$E$12*(1/A442)+Performance!$E$23*(1/Constraints!$V$5)*Constraints!A442</f>
        <v>0.20710303203801134</v>
      </c>
      <c r="D442" s="52">
        <f t="shared" si="26"/>
        <v>0.36838071340566259</v>
      </c>
      <c r="E442" s="52">
        <f>$V$4*Performance!$E$12*(1/A442)+Performance!$E$23*(1/Constraints!$V$9)*Constraints!A442</f>
        <v>0.13681032232085746</v>
      </c>
      <c r="F442" s="52">
        <f xml:space="preserve"> 1.21 / (9.81 * Constraints!$N$7 * Performance!$E$15 * Constraints!$N$5 ) * Constraints!A442 + 0.605 /Performance!$E$15 * (Performance!$E$16  - Constraints!$N$6 * Performance!$E$14) + Constraints!$N$6</f>
        <v>0.36825858729617678</v>
      </c>
      <c r="G442" s="54" t="s">
        <v>198</v>
      </c>
      <c r="H442" s="55">
        <f>SQRT(2/$V$3 * A442 * SQRT(Performance!$E$23 / (3 * Performance!$E$12)))</f>
        <v>18.289070101651369</v>
      </c>
      <c r="I442" s="55">
        <f>SQRT(2/$V$3 * A442 * (SQRT(Performance!$E$23)/(SQRT(3*Performance!$E$12 + 4* Performance!$E$23 * Performance!$E$11^2) - SQRT(Performance!$E$23)*Performance!$E$11)))</f>
        <v>19.238913660634335</v>
      </c>
      <c r="J442" t="e">
        <f xml:space="preserve"> $AC$3/G442 + $AC$6/A442 * Performance!$E$12 + Performance!$E$23/Constraints!$AC$6 * Constraints!A442</f>
        <v>#VALUE!</v>
      </c>
      <c r="K442">
        <f xml:space="preserve"> $AC$3/H442 + $AC$6/A442 * Performance!$E$12 + Performance!$E$23/Constraints!$AC$6 * Constraints!A442</f>
        <v>0.98615572735530932</v>
      </c>
      <c r="L442">
        <f xml:space="preserve"> $AC$3/I442 + $AC$6/A442 * Performance!$E$12 + Performance!$E$23/Constraints!$AC$6 * Constraints!A442</f>
        <v>0.97244237534434541</v>
      </c>
      <c r="M442">
        <f>SIN($AC$9 * PI()/180) + 1/Performance!$AE$5</f>
        <v>0.24073077270730886</v>
      </c>
      <c r="N442">
        <f>SIN($AC$9 * PI()/180) + 1/Performance!$AE$8</f>
        <v>0.22738716112204788</v>
      </c>
      <c r="O442" s="60">
        <f>$AC$16 * (Performance!$E$12/Constraints!A442 + Performance!$E$23 * (Constraints!$AC$13/Constraints!$AC$17)^2 * Constraints!A442)</f>
        <v>2.111740555291352E-4</v>
      </c>
      <c r="P442" t="e">
        <f t="shared" si="27"/>
        <v>#VALUE!</v>
      </c>
      <c r="Q442">
        <f t="shared" si="28"/>
        <v>87.826640890319879</v>
      </c>
      <c r="R442">
        <f t="shared" si="29"/>
        <v>97.186091084564538</v>
      </c>
      <c r="S442" t="e">
        <f xml:space="preserve"> 1.667/G442 + P442/A442 * Performance!$E$12 + Performance!$E$23 / Constraints!P442 * Constraints!A442</f>
        <v>#VALUE!</v>
      </c>
      <c r="T442">
        <f xml:space="preserve"> 1.667/H442 + Q442/A442 * Performance!$E$12 + Performance!$E$23 / Constraints!Q442 * Constraints!A442</f>
        <v>0.1970603025989961</v>
      </c>
      <c r="U442">
        <f xml:space="preserve"> 1.667/I442 + R442/A442 * Performance!$E$12 + Performance!$E$23 / Constraints!R442 * Constraints!A442</f>
        <v>0.18479004964343998</v>
      </c>
    </row>
    <row r="443" spans="1:21" x14ac:dyDescent="0.3">
      <c r="A443" s="51">
        <v>220.5</v>
      </c>
      <c r="B443" s="50">
        <f>$V$4*Performance!$E$12*(1/A443)+Performance!$E$23*(1/Constraints!$V$4)*Constraints!A443</f>
        <v>0.13753096617519156</v>
      </c>
      <c r="C443" s="50">
        <f>$V$5*Performance!$E$12*(1/A443)+Performance!$E$23*(1/Constraints!$V$5)*Constraints!A443</f>
        <v>0.20665875758173191</v>
      </c>
      <c r="D443" s="52">
        <f t="shared" si="26"/>
        <v>0.36865299911794824</v>
      </c>
      <c r="E443" s="52">
        <f>$V$4*Performance!$E$12*(1/A443)+Performance!$E$23*(1/Constraints!$V$9)*Constraints!A443</f>
        <v>0.13653515285789813</v>
      </c>
      <c r="F443" s="52">
        <f xml:space="preserve"> 1.21 / (9.81 * Constraints!$N$7 * Performance!$E$15 * Constraints!$N$5 ) * Constraints!A443 + 0.605 /Performance!$E$15 * (Performance!$E$16  - Constraints!$N$6 * Performance!$E$14) + Constraints!$N$6</f>
        <v>0.36853059544912259</v>
      </c>
      <c r="G443" s="54" t="s">
        <v>198</v>
      </c>
      <c r="H443" s="55">
        <f>SQRT(2/$V$3 * A443 * SQRT(Performance!$E$23 / (3 * Performance!$E$12)))</f>
        <v>18.309841340715398</v>
      </c>
      <c r="I443" s="55">
        <f>SQRT(2/$V$3 * A443 * (SQRT(Performance!$E$23)/(SQRT(3*Performance!$E$12 + 4* Performance!$E$23 * Performance!$E$11^2) - SQRT(Performance!$E$23)*Performance!$E$11)))</f>
        <v>19.260763654797852</v>
      </c>
      <c r="J443" t="e">
        <f xml:space="preserve"> $AC$3/G443 + $AC$6/A443 * Performance!$E$12 + Performance!$E$23/Constraints!$AC$6 * Constraints!A443</f>
        <v>#VALUE!</v>
      </c>
      <c r="K443">
        <f xml:space="preserve"> $AC$3/H443 + $AC$6/A443 * Performance!$E$12 + Performance!$E$23/Constraints!$AC$6 * Constraints!A443</f>
        <v>0.98744338628109496</v>
      </c>
      <c r="L443">
        <f xml:space="preserve"> $AC$3/I443 + $AC$6/A443 * Performance!$E$12 + Performance!$E$23/Constraints!$AC$6 * Constraints!A443</f>
        <v>0.9737455911123607</v>
      </c>
      <c r="M443">
        <f>SIN($AC$9 * PI()/180) + 1/Performance!$AE$5</f>
        <v>0.24073077270730886</v>
      </c>
      <c r="N443">
        <f>SIN($AC$9 * PI()/180) + 1/Performance!$AE$8</f>
        <v>0.22738716112204788</v>
      </c>
      <c r="O443" s="60">
        <f>$AC$16 * (Performance!$E$12/Constraints!A443 + Performance!$E$23 * (Constraints!$AC$13/Constraints!$AC$17)^2 * Constraints!A443)</f>
        <v>2.1114686099413143E-4</v>
      </c>
      <c r="P443" t="e">
        <f t="shared" si="27"/>
        <v>#VALUE!</v>
      </c>
      <c r="Q443">
        <f t="shared" si="28"/>
        <v>88.026246892343352</v>
      </c>
      <c r="R443">
        <f t="shared" si="29"/>
        <v>97.406968564302204</v>
      </c>
      <c r="S443" t="e">
        <f xml:space="preserve"> 1.667/G443 + P443/A443 * Performance!$E$12 + Performance!$E$23 / Constraints!P443 * Constraints!A443</f>
        <v>#VALUE!</v>
      </c>
      <c r="T443">
        <f xml:space="preserve"> 1.667/H443 + Q443/A443 * Performance!$E$12 + Performance!$E$23 / Constraints!Q443 * Constraints!A443</f>
        <v>0.19695690229908125</v>
      </c>
      <c r="U443">
        <f xml:space="preserve"> 1.667/I443 + R443/A443 * Performance!$E$12 + Performance!$E$23 / Constraints!R443 * Constraints!A443</f>
        <v>0.18469175431517809</v>
      </c>
    </row>
    <row r="444" spans="1:21" x14ac:dyDescent="0.3">
      <c r="A444" s="51">
        <v>221</v>
      </c>
      <c r="B444" s="50">
        <f>$V$4*Performance!$E$12*(1/A444)+Performance!$E$23*(1/Constraints!$V$4)*Constraints!A444</f>
        <v>0.13725937930983861</v>
      </c>
      <c r="C444" s="50">
        <f>$V$5*Performance!$E$12*(1/A444)+Performance!$E$23*(1/Constraints!$V$5)*Constraints!A444</f>
        <v>0.20621655082820081</v>
      </c>
      <c r="D444" s="52">
        <f t="shared" si="26"/>
        <v>0.36892528483023379</v>
      </c>
      <c r="E444" s="52">
        <f>$V$4*Performance!$E$12*(1/A444)+Performance!$E$23*(1/Constraints!$V$9)*Constraints!A444</f>
        <v>0.13626130791246063</v>
      </c>
      <c r="F444" s="52">
        <f xml:space="preserve"> 1.21 / (9.81 * Constraints!$N$7 * Performance!$E$15 * Constraints!$N$5 ) * Constraints!A444 + 0.605 /Performance!$E$15 * (Performance!$E$16  - Constraints!$N$6 * Performance!$E$14) + Constraints!$N$6</f>
        <v>0.36880260360206846</v>
      </c>
      <c r="G444" s="54" t="s">
        <v>198</v>
      </c>
      <c r="H444" s="55">
        <f>SQRT(2/$V$3 * A444 * SQRT(Performance!$E$23 / (3 * Performance!$E$12)))</f>
        <v>18.330589042941941</v>
      </c>
      <c r="I444" s="55">
        <f>SQRT(2/$V$3 * A444 * (SQRT(Performance!$E$23)/(SQRT(3*Performance!$E$12 + 4* Performance!$E$23 * Performance!$E$11^2) - SQRT(Performance!$E$23)*Performance!$E$11)))</f>
        <v>19.282588889737326</v>
      </c>
      <c r="J444" t="e">
        <f xml:space="preserve"> $AC$3/G444 + $AC$6/A444 * Performance!$E$12 + Performance!$E$23/Constraints!$AC$6 * Constraints!A444</f>
        <v>#VALUE!</v>
      </c>
      <c r="K444">
        <f xml:space="preserve"> $AC$3/H444 + $AC$6/A444 * Performance!$E$12 + Performance!$E$23/Constraints!$AC$6 * Constraints!A444</f>
        <v>0.98873213149191008</v>
      </c>
      <c r="L444">
        <f xml:space="preserve"> $AC$3/I444 + $AC$6/A444 * Performance!$E$12 + Performance!$E$23/Constraints!$AC$6 * Constraints!A444</f>
        <v>0.97504984034078579</v>
      </c>
      <c r="M444">
        <f>SIN($AC$9 * PI()/180) + 1/Performance!$AE$5</f>
        <v>0.24073077270730886</v>
      </c>
      <c r="N444">
        <f>SIN($AC$9 * PI()/180) + 1/Performance!$AE$8</f>
        <v>0.22738716112204788</v>
      </c>
      <c r="O444" s="60">
        <f>$AC$16 * (Performance!$E$12/Constraints!A444 + Performance!$E$23 * (Constraints!$AC$13/Constraints!$AC$17)^2 * Constraints!A444)</f>
        <v>2.1112081252232679E-4</v>
      </c>
      <c r="P444" t="e">
        <f t="shared" si="27"/>
        <v>#VALUE!</v>
      </c>
      <c r="Q444">
        <f t="shared" si="28"/>
        <v>88.22585289436681</v>
      </c>
      <c r="R444">
        <f t="shared" si="29"/>
        <v>97.627846044039856</v>
      </c>
      <c r="S444" t="e">
        <f xml:space="preserve"> 1.667/G444 + P444/A444 * Performance!$E$12 + Performance!$E$23 / Constraints!P444 * Constraints!A444</f>
        <v>#VALUE!</v>
      </c>
      <c r="T444">
        <f xml:space="preserve"> 1.667/H444 + Q444/A444 * Performance!$E$12 + Performance!$E$23 / Constraints!Q444 * Constraints!A444</f>
        <v>0.19685385310393794</v>
      </c>
      <c r="U444">
        <f xml:space="preserve"> 1.667/I444 + R444/A444 * Performance!$E$12 + Performance!$E$23 / Constraints!R444 * Constraints!A444</f>
        <v>0.18459379275730947</v>
      </c>
    </row>
    <row r="445" spans="1:21" x14ac:dyDescent="0.3">
      <c r="A445" s="51">
        <v>221.5</v>
      </c>
      <c r="B445" s="50">
        <f>$V$4*Performance!$E$12*(1/A445)+Performance!$E$23*(1/Constraints!$V$4)*Constraints!A445</f>
        <v>0.13698910799236289</v>
      </c>
      <c r="C445" s="50">
        <f>$V$5*Performance!$E$12*(1/A445)+Performance!$E$23*(1/Constraints!$V$5)*Constraints!A445</f>
        <v>0.20577639777491627</v>
      </c>
      <c r="D445" s="52">
        <f t="shared" si="26"/>
        <v>0.36919757054251945</v>
      </c>
      <c r="E445" s="52">
        <f>$V$4*Performance!$E$12*(1/A445)+Performance!$E$23*(1/Constraints!$V$9)*Constraints!A445</f>
        <v>0.13598877851490032</v>
      </c>
      <c r="F445" s="52">
        <f xml:space="preserve"> 1.21 / (9.81 * Constraints!$N$7 * Performance!$E$15 * Constraints!$N$5 ) * Constraints!A445 + 0.605 /Performance!$E$15 * (Performance!$E$16  - Constraints!$N$6 * Performance!$E$14) + Constraints!$N$6</f>
        <v>0.36907461175501433</v>
      </c>
      <c r="G445" s="54" t="s">
        <v>198</v>
      </c>
      <c r="H445" s="55">
        <f>SQRT(2/$V$3 * A445 * SQRT(Performance!$E$23 / (3 * Performance!$E$12)))</f>
        <v>18.351313288162121</v>
      </c>
      <c r="I445" s="55">
        <f>SQRT(2/$V$3 * A445 * (SQRT(Performance!$E$23)/(SQRT(3*Performance!$E$12 + 4* Performance!$E$23 * Performance!$E$11^2) - SQRT(Performance!$E$23)*Performance!$E$11)))</f>
        <v>19.304389449429909</v>
      </c>
      <c r="J445" t="e">
        <f xml:space="preserve"> $AC$3/G445 + $AC$6/A445 * Performance!$E$12 + Performance!$E$23/Constraints!$AC$6 * Constraints!A445</f>
        <v>#VALUE!</v>
      </c>
      <c r="K445">
        <f xml:space="preserve"> $AC$3/H445 + $AC$6/A445 * Performance!$E$12 + Performance!$E$23/Constraints!$AC$6 * Constraints!A445</f>
        <v>0.99002195683563121</v>
      </c>
      <c r="L445">
        <f xml:space="preserve"> $AC$3/I445 + $AC$6/A445 * Performance!$E$12 + Performance!$E$23/Constraints!$AC$6 * Constraints!A445</f>
        <v>0.97635511717577272</v>
      </c>
      <c r="M445">
        <f>SIN($AC$9 * PI()/180) + 1/Performance!$AE$5</f>
        <v>0.24073077270730886</v>
      </c>
      <c r="N445">
        <f>SIN($AC$9 * PI()/180) + 1/Performance!$AE$8</f>
        <v>0.22738716112204788</v>
      </c>
      <c r="O445" s="60">
        <f>$AC$16 * (Performance!$E$12/Constraints!A445 + Performance!$E$23 * (Constraints!$AC$13/Constraints!$AC$17)^2 * Constraints!A445)</f>
        <v>2.1109590235257088E-4</v>
      </c>
      <c r="P445" t="e">
        <f t="shared" si="27"/>
        <v>#VALUE!</v>
      </c>
      <c r="Q445">
        <f t="shared" si="28"/>
        <v>88.425458896390239</v>
      </c>
      <c r="R445">
        <f t="shared" si="29"/>
        <v>97.848723523777508</v>
      </c>
      <c r="S445" t="e">
        <f xml:space="preserve"> 1.667/G445 + P445/A445 * Performance!$E$12 + Performance!$E$23 / Constraints!P445 * Constraints!A445</f>
        <v>#VALUE!</v>
      </c>
      <c r="T445">
        <f xml:space="preserve"> 1.667/H445 + Q445/A445 * Performance!$E$12 + Performance!$E$23 / Constraints!Q445 * Constraints!A445</f>
        <v>0.19675115303104193</v>
      </c>
      <c r="U445">
        <f xml:space="preserve"> 1.667/I445 + R445/A445 * Performance!$E$12 + Performance!$E$23 / Constraints!R445 * Constraints!A445</f>
        <v>0.18449616308518912</v>
      </c>
    </row>
    <row r="446" spans="1:21" x14ac:dyDescent="0.3">
      <c r="A446" s="51">
        <v>222</v>
      </c>
      <c r="B446" s="50">
        <f>$V$4*Performance!$E$12*(1/A446)+Performance!$E$23*(1/Constraints!$V$4)*Constraints!A446</f>
        <v>0.13672014333392743</v>
      </c>
      <c r="C446" s="50">
        <f>$V$5*Performance!$E$12*(1/A446)+Performance!$E$23*(1/Constraints!$V$5)*Constraints!A446</f>
        <v>0.20533828454552544</v>
      </c>
      <c r="D446" s="52">
        <f t="shared" si="26"/>
        <v>0.369469856254805</v>
      </c>
      <c r="E446" s="52">
        <f>$V$4*Performance!$E$12*(1/A446)+Performance!$E$23*(1/Constraints!$V$9)*Constraints!A446</f>
        <v>0.13571755577638028</v>
      </c>
      <c r="F446" s="52">
        <f xml:space="preserve"> 1.21 / (9.81 * Constraints!$N$7 * Performance!$E$15 * Constraints!$N$5 ) * Constraints!A446 + 0.605 /Performance!$E$15 * (Performance!$E$16  - Constraints!$N$6 * Performance!$E$14) + Constraints!$N$6</f>
        <v>0.36934661990796014</v>
      </c>
      <c r="G446" s="54" t="s">
        <v>198</v>
      </c>
      <c r="H446" s="55">
        <f>SQRT(2/$V$3 * A446 * SQRT(Performance!$E$23 / (3 * Performance!$E$12)))</f>
        <v>18.372014155756801</v>
      </c>
      <c r="I446" s="55">
        <f>SQRT(2/$V$3 * A446 * (SQRT(Performance!$E$23)/(SQRT(3*Performance!$E$12 + 4* Performance!$E$23 * Performance!$E$11^2) - SQRT(Performance!$E$23)*Performance!$E$11)))</f>
        <v>19.326165417379109</v>
      </c>
      <c r="J446" t="e">
        <f xml:space="preserve"> $AC$3/G446 + $AC$6/A446 * Performance!$E$12 + Performance!$E$23/Constraints!$AC$6 * Constraints!A446</f>
        <v>#VALUE!</v>
      </c>
      <c r="K446">
        <f xml:space="preserve"> $AC$3/H446 + $AC$6/A446 * Performance!$E$12 + Performance!$E$23/Constraints!$AC$6 * Constraints!A446</f>
        <v>0.99131285620878251</v>
      </c>
      <c r="L446">
        <f xml:space="preserve"> $AC$3/I446 + $AC$6/A446 * Performance!$E$12 + Performance!$E$23/Constraints!$AC$6 * Constraints!A446</f>
        <v>0.9776614158097694</v>
      </c>
      <c r="M446">
        <f>SIN($AC$9 * PI()/180) + 1/Performance!$AE$5</f>
        <v>0.24073077270730886</v>
      </c>
      <c r="N446">
        <f>SIN($AC$9 * PI()/180) + 1/Performance!$AE$8</f>
        <v>0.22738716112204788</v>
      </c>
      <c r="O446" s="60">
        <f>$AC$16 * (Performance!$E$12/Constraints!A446 + Performance!$E$23 * (Constraints!$AC$13/Constraints!$AC$17)^2 * Constraints!A446)</f>
        <v>2.1107212279363374E-4</v>
      </c>
      <c r="P446" t="e">
        <f t="shared" si="27"/>
        <v>#VALUE!</v>
      </c>
      <c r="Q446">
        <f t="shared" si="28"/>
        <v>88.625064898413726</v>
      </c>
      <c r="R446">
        <f t="shared" si="29"/>
        <v>98.06960100351516</v>
      </c>
      <c r="S446" t="e">
        <f xml:space="preserve"> 1.667/G446 + P446/A446 * Performance!$E$12 + Performance!$E$23 / Constraints!P446 * Constraints!A446</f>
        <v>#VALUE!</v>
      </c>
      <c r="T446">
        <f xml:space="preserve"> 1.667/H446 + Q446/A446 * Performance!$E$12 + Performance!$E$23 / Constraints!Q446 * Constraints!A446</f>
        <v>0.19664880011350583</v>
      </c>
      <c r="U446">
        <f xml:space="preserve"> 1.667/I446 + R446/A446 * Performance!$E$12 + Performance!$E$23 / Constraints!R446 * Constraints!A446</f>
        <v>0.18439886342903669</v>
      </c>
    </row>
    <row r="447" spans="1:21" x14ac:dyDescent="0.3">
      <c r="A447" s="51">
        <v>222.5</v>
      </c>
      <c r="B447" s="50">
        <f>$V$4*Performance!$E$12*(1/A447)+Performance!$E$23*(1/Constraints!$V$4)*Constraints!A447</f>
        <v>0.13645247652559483</v>
      </c>
      <c r="C447" s="50">
        <f>$V$5*Performance!$E$12*(1/A447)+Performance!$E$23*(1/Constraints!$V$5)*Constraints!A447</f>
        <v>0.20490219738840648</v>
      </c>
      <c r="D447" s="52">
        <f t="shared" si="26"/>
        <v>0.3697421419670906</v>
      </c>
      <c r="E447" s="52">
        <f>$V$4*Performance!$E$12*(1/A447)+Performance!$E$23*(1/Constraints!$V$9)*Constraints!A447</f>
        <v>0.13544763088796313</v>
      </c>
      <c r="F447" s="52">
        <f xml:space="preserve"> 1.21 / (9.81 * Constraints!$N$7 * Performance!$E$15 * Constraints!$N$5 ) * Constraints!A447 + 0.605 /Performance!$E$15 * (Performance!$E$16  - Constraints!$N$6 * Performance!$E$14) + Constraints!$N$6</f>
        <v>0.36961862806090606</v>
      </c>
      <c r="G447" s="54" t="s">
        <v>198</v>
      </c>
      <c r="H447" s="55">
        <f>SQRT(2/$V$3 * A447 * SQRT(Performance!$E$23 / (3 * Performance!$E$12)))</f>
        <v>18.392691724660118</v>
      </c>
      <c r="I447" s="55">
        <f>SQRT(2/$V$3 * A447 * (SQRT(Performance!$E$23)/(SQRT(3*Performance!$E$12 + 4* Performance!$E$23 * Performance!$E$11^2) - SQRT(Performance!$E$23)*Performance!$E$11)))</f>
        <v>19.347916876618516</v>
      </c>
      <c r="J447" t="e">
        <f xml:space="preserve"> $AC$3/G447 + $AC$6/A447 * Performance!$E$12 + Performance!$E$23/Constraints!$AC$6 * Constraints!A447</f>
        <v>#VALUE!</v>
      </c>
      <c r="K447">
        <f xml:space="preserve"> $AC$3/H447 + $AC$6/A447 * Performance!$E$12 + Performance!$E$23/Constraints!$AC$6 * Constraints!A447</f>
        <v>0.99260482355604296</v>
      </c>
      <c r="L447">
        <f xml:space="preserve"> $AC$3/I447 + $AC$6/A447 * Performance!$E$12 + Performance!$E$23/Constraints!$AC$6 * Constraints!A447</f>
        <v>0.97896873048104882</v>
      </c>
      <c r="M447">
        <f>SIN($AC$9 * PI()/180) + 1/Performance!$AE$5</f>
        <v>0.24073077270730886</v>
      </c>
      <c r="N447">
        <f>SIN($AC$9 * PI()/180) + 1/Performance!$AE$8</f>
        <v>0.22738716112204788</v>
      </c>
      <c r="O447" s="60">
        <f>$AC$16 * (Performance!$E$12/Constraints!A447 + Performance!$E$23 * (Constraints!$AC$13/Constraints!$AC$17)^2 * Constraints!A447)</f>
        <v>2.1104946622341989E-4</v>
      </c>
      <c r="P447" t="e">
        <f t="shared" si="27"/>
        <v>#VALUE!</v>
      </c>
      <c r="Q447">
        <f t="shared" si="28"/>
        <v>88.82467090043717</v>
      </c>
      <c r="R447">
        <f t="shared" si="29"/>
        <v>98.290478483252798</v>
      </c>
      <c r="S447" t="e">
        <f xml:space="preserve"> 1.667/G447 + P447/A447 * Performance!$E$12 + Performance!$E$23 / Constraints!P447 * Constraints!A447</f>
        <v>#VALUE!</v>
      </c>
      <c r="T447">
        <f xml:space="preserve"> 1.667/H447 + Q447/A447 * Performance!$E$12 + Performance!$E$23 / Constraints!Q447 * Constraints!A447</f>
        <v>0.19654679239992096</v>
      </c>
      <c r="U447">
        <f xml:space="preserve"> 1.667/I447 + R447/A447 * Performance!$E$12 + Performance!$E$23 / Constraints!R447 * Constraints!A447</f>
        <v>0.1843018919337864</v>
      </c>
    </row>
    <row r="448" spans="1:21" x14ac:dyDescent="0.3">
      <c r="A448" s="51">
        <v>223</v>
      </c>
      <c r="B448" s="50">
        <f>$V$4*Performance!$E$12*(1/A448)+Performance!$E$23*(1/Constraints!$V$4)*Constraints!A448</f>
        <v>0.13618609883743168</v>
      </c>
      <c r="C448" s="50">
        <f>$V$5*Performance!$E$12*(1/A448)+Performance!$E$23*(1/Constraints!$V$5)*Constraints!A448</f>
        <v>0.20446812267527051</v>
      </c>
      <c r="D448" s="52">
        <f t="shared" si="26"/>
        <v>0.3700144276793762</v>
      </c>
      <c r="E448" s="52">
        <f>$V$4*Performance!$E$12*(1/A448)+Performance!$E$23*(1/Constraints!$V$9)*Constraints!A448</f>
        <v>0.1351789951197154</v>
      </c>
      <c r="F448" s="52">
        <f xml:space="preserve"> 1.21 / (9.81 * Constraints!$N$7 * Performance!$E$15 * Constraints!$N$5 ) * Constraints!A448 + 0.605 /Performance!$E$15 * (Performance!$E$16  - Constraints!$N$6 * Performance!$E$14) + Constraints!$N$6</f>
        <v>0.36989063621385188</v>
      </c>
      <c r="G448" s="54" t="s">
        <v>198</v>
      </c>
      <c r="H448" s="55">
        <f>SQRT(2/$V$3 * A448 * SQRT(Performance!$E$23 / (3 * Performance!$E$12)))</f>
        <v>18.413346073363019</v>
      </c>
      <c r="I448" s="55">
        <f>SQRT(2/$V$3 * A448 * (SQRT(Performance!$E$23)/(SQRT(3*Performance!$E$12 + 4* Performance!$E$23 * Performance!$E$11^2) - SQRT(Performance!$E$23)*Performance!$E$11)))</f>
        <v>19.369643909715506</v>
      </c>
      <c r="J448" t="e">
        <f xml:space="preserve"> $AC$3/G448 + $AC$6/A448 * Performance!$E$12 + Performance!$E$23/Constraints!$AC$6 * Constraints!A448</f>
        <v>#VALUE!</v>
      </c>
      <c r="K448">
        <f xml:space="preserve"> $AC$3/H448 + $AC$6/A448 * Performance!$E$12 + Performance!$E$23/Constraints!$AC$6 * Constraints!A448</f>
        <v>0.99389785286975829</v>
      </c>
      <c r="L448">
        <f xml:space="preserve"> $AC$3/I448 + $AC$6/A448 * Performance!$E$12 + Performance!$E$23/Constraints!$AC$6 * Constraints!A448</f>
        <v>0.98027705547324606</v>
      </c>
      <c r="M448">
        <f>SIN($AC$9 * PI()/180) + 1/Performance!$AE$5</f>
        <v>0.24073077270730886</v>
      </c>
      <c r="N448">
        <f>SIN($AC$9 * PI()/180) + 1/Performance!$AE$8</f>
        <v>0.22738716112204788</v>
      </c>
      <c r="O448" s="60">
        <f>$AC$16 * (Performance!$E$12/Constraints!A448 + Performance!$E$23 * (Constraints!$AC$13/Constraints!$AC$17)^2 * Constraints!A448)</f>
        <v>2.110279250881936E-4</v>
      </c>
      <c r="P448" t="e">
        <f t="shared" si="27"/>
        <v>#VALUE!</v>
      </c>
      <c r="Q448">
        <f t="shared" si="28"/>
        <v>89.024276902460628</v>
      </c>
      <c r="R448">
        <f t="shared" si="29"/>
        <v>98.511355962990436</v>
      </c>
      <c r="S448" t="e">
        <f xml:space="preserve"> 1.667/G448 + P448/A448 * Performance!$E$12 + Performance!$E$23 / Constraints!P448 * Constraints!A448</f>
        <v>#VALUE!</v>
      </c>
      <c r="T448">
        <f xml:space="preserve"> 1.667/H448 + Q448/A448 * Performance!$E$12 + Performance!$E$23 / Constraints!Q448 * Constraints!A448</f>
        <v>0.19644512795420085</v>
      </c>
      <c r="U448">
        <f xml:space="preserve"> 1.667/I448 + R448/A448 * Performance!$E$12 + Performance!$E$23 / Constraints!R448 * Constraints!A448</f>
        <v>0.18420524675893829</v>
      </c>
    </row>
    <row r="449" spans="1:21" x14ac:dyDescent="0.3">
      <c r="A449" s="51">
        <v>223.5</v>
      </c>
      <c r="B449" s="50">
        <f>$V$4*Performance!$E$12*(1/A449)+Performance!$E$23*(1/Constraints!$V$4)*Constraints!A449</f>
        <v>0.13592100161762477</v>
      </c>
      <c r="C449" s="50">
        <f>$V$5*Performance!$E$12*(1/A449)+Performance!$E$23*(1/Constraints!$V$5)*Constraints!A449</f>
        <v>0.20403604689978216</v>
      </c>
      <c r="D449" s="52">
        <f t="shared" si="26"/>
        <v>0.3702867133916618</v>
      </c>
      <c r="E449" s="52">
        <f>$V$4*Performance!$E$12*(1/A449)+Performance!$E$23*(1/Constraints!$V$9)*Constraints!A449</f>
        <v>0.13491163981982393</v>
      </c>
      <c r="F449" s="52">
        <f xml:space="preserve"> 1.21 / (9.81 * Constraints!$N$7 * Performance!$E$15 * Constraints!$N$5 ) * Constraints!A449 + 0.605 /Performance!$E$15 * (Performance!$E$16  - Constraints!$N$6 * Performance!$E$14) + Constraints!$N$6</f>
        <v>0.37016264436679774</v>
      </c>
      <c r="G449" s="54" t="s">
        <v>198</v>
      </c>
      <c r="H449" s="55">
        <f>SQRT(2/$V$3 * A449 * SQRT(Performance!$E$23 / (3 * Performance!$E$12)))</f>
        <v>18.433977279916721</v>
      </c>
      <c r="I449" s="55">
        <f>SQRT(2/$V$3 * A449 * (SQRT(Performance!$E$23)/(SQRT(3*Performance!$E$12 + 4* Performance!$E$23 * Performance!$E$11^2) - SQRT(Performance!$E$23)*Performance!$E$11)))</f>
        <v>19.391346598774888</v>
      </c>
      <c r="J449" t="e">
        <f xml:space="preserve"> $AC$3/G449 + $AC$6/A449 * Performance!$E$12 + Performance!$E$23/Constraints!$AC$6 * Constraints!A449</f>
        <v>#VALUE!</v>
      </c>
      <c r="K449">
        <f xml:space="preserve"> $AC$3/H449 + $AC$6/A449 * Performance!$E$12 + Performance!$E$23/Constraints!$AC$6 * Constraints!A449</f>
        <v>0.99519193818946072</v>
      </c>
      <c r="L449">
        <f xml:space="preserve"> $AC$3/I449 + $AC$6/A449 * Performance!$E$12 + Performance!$E$23/Constraints!$AC$6 * Constraints!A449</f>
        <v>0.98158638511490071</v>
      </c>
      <c r="M449">
        <f>SIN($AC$9 * PI()/180) + 1/Performance!$AE$5</f>
        <v>0.24073077270730886</v>
      </c>
      <c r="N449">
        <f>SIN($AC$9 * PI()/180) + 1/Performance!$AE$8</f>
        <v>0.22738716112204788</v>
      </c>
      <c r="O449" s="60">
        <f>$AC$16 * (Performance!$E$12/Constraints!A449 + Performance!$E$23 * (Constraints!$AC$13/Constraints!$AC$17)^2 * Constraints!A449)</f>
        <v>2.1100749190181391E-4</v>
      </c>
      <c r="P449" t="e">
        <f t="shared" si="27"/>
        <v>#VALUE!</v>
      </c>
      <c r="Q449">
        <f t="shared" si="28"/>
        <v>89.223882904484071</v>
      </c>
      <c r="R449">
        <f t="shared" si="29"/>
        <v>98.732233442728088</v>
      </c>
      <c r="S449" t="e">
        <f xml:space="preserve"> 1.667/G449 + P449/A449 * Performance!$E$12 + Performance!$E$23 / Constraints!P449 * Constraints!A449</f>
        <v>#VALUE!</v>
      </c>
      <c r="T449">
        <f xml:space="preserve"> 1.667/H449 + Q449/A449 * Performance!$E$12 + Performance!$E$23 / Constraints!Q449 * Constraints!A449</f>
        <v>0.19634380485542718</v>
      </c>
      <c r="U449">
        <f xml:space="preserve"> 1.667/I449 + R449/A449 * Performance!$E$12 + Performance!$E$23 / Constraints!R449 * Constraints!A449</f>
        <v>0.18410892607841145</v>
      </c>
    </row>
    <row r="450" spans="1:21" x14ac:dyDescent="0.3">
      <c r="A450" s="51">
        <v>224</v>
      </c>
      <c r="B450" s="50">
        <f>$V$4*Performance!$E$12*(1/A450)+Performance!$E$23*(1/Constraints!$V$4)*Constraints!A450</f>
        <v>0.1356571762916092</v>
      </c>
      <c r="C450" s="50">
        <f>$V$5*Performance!$E$12*(1/A450)+Performance!$E$23*(1/Constraints!$V$5)*Constraints!A450</f>
        <v>0.20360595667619819</v>
      </c>
      <c r="D450" s="52">
        <f t="shared" si="26"/>
        <v>0.37055899910394741</v>
      </c>
      <c r="E450" s="52">
        <f>$V$4*Performance!$E$12*(1/A450)+Performance!$E$23*(1/Constraints!$V$9)*Constraints!A450</f>
        <v>0.1346455564137238</v>
      </c>
      <c r="F450" s="52">
        <f xml:space="preserve"> 1.21 / (9.81 * Constraints!$N$7 * Performance!$E$15 * Constraints!$N$5 ) * Constraints!A450 + 0.605 /Performance!$E$15 * (Performance!$E$16  - Constraints!$N$6 * Performance!$E$14) + Constraints!$N$6</f>
        <v>0.37043465251974361</v>
      </c>
      <c r="G450" s="54" t="s">
        <v>198</v>
      </c>
      <c r="H450" s="55">
        <f>SQRT(2/$V$3 * A450 * SQRT(Performance!$E$23 / (3 * Performance!$E$12)))</f>
        <v>18.454585421936152</v>
      </c>
      <c r="I450" s="55">
        <f>SQRT(2/$V$3 * A450 * (SQRT(Performance!$E$23)/(SQRT(3*Performance!$E$12 + 4* Performance!$E$23 * Performance!$E$11^2) - SQRT(Performance!$E$23)*Performance!$E$11)))</f>
        <v>19.413025025442526</v>
      </c>
      <c r="J450" t="e">
        <f xml:space="preserve"> $AC$3/G450 + $AC$6/A450 * Performance!$E$12 + Performance!$E$23/Constraints!$AC$6 * Constraints!A450</f>
        <v>#VALUE!</v>
      </c>
      <c r="K450">
        <f xml:space="preserve"> $AC$3/H450 + $AC$6/A450 * Performance!$E$12 + Performance!$E$23/Constraints!$AC$6 * Constraints!A450</f>
        <v>0.99648707360139377</v>
      </c>
      <c r="L450">
        <f xml:space="preserve"> $AC$3/I450 + $AC$6/A450 * Performance!$E$12 + Performance!$E$23/Constraints!$AC$6 * Constraints!A450</f>
        <v>0.98289671377900401</v>
      </c>
      <c r="M450">
        <f>SIN($AC$9 * PI()/180) + 1/Performance!$AE$5</f>
        <v>0.24073077270730886</v>
      </c>
      <c r="N450">
        <f>SIN($AC$9 * PI()/180) + 1/Performance!$AE$8</f>
        <v>0.22738716112204788</v>
      </c>
      <c r="O450" s="60">
        <f>$AC$16 * (Performance!$E$12/Constraints!A450 + Performance!$E$23 * (Constraints!$AC$13/Constraints!$AC$17)^2 * Constraints!A450)</f>
        <v>2.1098815924498057E-4</v>
      </c>
      <c r="P450" t="e">
        <f t="shared" si="27"/>
        <v>#VALUE!</v>
      </c>
      <c r="Q450">
        <f t="shared" si="28"/>
        <v>89.423488906507515</v>
      </c>
      <c r="R450">
        <f t="shared" si="29"/>
        <v>98.953110922465726</v>
      </c>
      <c r="S450" t="e">
        <f xml:space="preserve"> 1.667/G450 + P450/A450 * Performance!$E$12 + Performance!$E$23 / Constraints!P450 * Constraints!A450</f>
        <v>#VALUE!</v>
      </c>
      <c r="T450">
        <f xml:space="preserve"> 1.667/H450 + Q450/A450 * Performance!$E$12 + Performance!$E$23 / Constraints!Q450 * Constraints!A450</f>
        <v>0.19624282119769706</v>
      </c>
      <c r="U450">
        <f xml:space="preserve"> 1.667/I450 + R450/A450 * Performance!$E$12 + Performance!$E$23 / Constraints!R450 * Constraints!A450</f>
        <v>0.18401292808039946</v>
      </c>
    </row>
    <row r="451" spans="1:21" x14ac:dyDescent="0.3">
      <c r="A451" s="51">
        <v>224.5</v>
      </c>
      <c r="B451" s="50">
        <f>$V$4*Performance!$E$12*(1/A451)+Performance!$E$23*(1/Constraints!$V$4)*Constraints!A451</f>
        <v>0.13539461436120825</v>
      </c>
      <c r="C451" s="50">
        <f>$V$5*Performance!$E$12*(1/A451)+Performance!$E$23*(1/Constraints!$V$5)*Constraints!A451</f>
        <v>0.20317783873802486</v>
      </c>
      <c r="D451" s="52">
        <f t="shared" si="26"/>
        <v>0.37083128481623295</v>
      </c>
      <c r="E451" s="52">
        <f>$V$4*Performance!$E$12*(1/A451)+Performance!$E$23*(1/Constraints!$V$9)*Constraints!A451</f>
        <v>0.13438073640323828</v>
      </c>
      <c r="F451" s="52">
        <f xml:space="preserve"> 1.21 / (9.81 * Constraints!$N$7 * Performance!$E$15 * Constraints!$N$5 ) * Constraints!A451 + 0.605 /Performance!$E$15 * (Performance!$E$16  - Constraints!$N$6 * Performance!$E$14) + Constraints!$N$6</f>
        <v>0.37070666067268943</v>
      </c>
      <c r="G451" s="54" t="s">
        <v>198</v>
      </c>
      <c r="H451" s="55">
        <f>SQRT(2/$V$3 * A451 * SQRT(Performance!$E$23 / (3 * Performance!$E$12)))</f>
        <v>18.475170576603368</v>
      </c>
      <c r="I451" s="55">
        <f>SQRT(2/$V$3 * A451 * (SQRT(Performance!$E$23)/(SQRT(3*Performance!$E$12 + 4* Performance!$E$23 * Performance!$E$11^2) - SQRT(Performance!$E$23)*Performance!$E$11)))</f>
        <v>19.43467927090893</v>
      </c>
      <c r="J451" t="e">
        <f xml:space="preserve"> $AC$3/G451 + $AC$6/A451 * Performance!$E$12 + Performance!$E$23/Constraints!$AC$6 * Constraints!A451</f>
        <v>#VALUE!</v>
      </c>
      <c r="K451">
        <f xml:space="preserve"> $AC$3/H451 + $AC$6/A451 * Performance!$E$12 + Performance!$E$23/Constraints!$AC$6 * Constraints!A451</f>
        <v>0.99778325323804129</v>
      </c>
      <c r="L451">
        <f xml:space="preserve"> $AC$3/I451 + $AC$6/A451 * Performance!$E$12 + Performance!$E$23/Constraints!$AC$6 * Constraints!A451</f>
        <v>0.98420803588255135</v>
      </c>
      <c r="M451">
        <f>SIN($AC$9 * PI()/180) + 1/Performance!$AE$5</f>
        <v>0.24073077270730886</v>
      </c>
      <c r="N451">
        <f>SIN($AC$9 * PI()/180) + 1/Performance!$AE$8</f>
        <v>0.22738716112204788</v>
      </c>
      <c r="O451" s="60">
        <f>$AC$16 * (Performance!$E$12/Constraints!A451 + Performance!$E$23 * (Constraints!$AC$13/Constraints!$AC$17)^2 * Constraints!A451)</f>
        <v>2.1096991976448946E-4</v>
      </c>
      <c r="P451" t="e">
        <f t="shared" si="27"/>
        <v>#VALUE!</v>
      </c>
      <c r="Q451">
        <f t="shared" si="28"/>
        <v>89.623094908530959</v>
      </c>
      <c r="R451">
        <f t="shared" si="29"/>
        <v>99.173988402203392</v>
      </c>
      <c r="S451" t="e">
        <f xml:space="preserve"> 1.667/G451 + P451/A451 * Performance!$E$12 + Performance!$E$23 / Constraints!P451 * Constraints!A451</f>
        <v>#VALUE!</v>
      </c>
      <c r="T451">
        <f xml:space="preserve"> 1.667/H451 + Q451/A451 * Performance!$E$12 + Performance!$E$23 / Constraints!Q451 * Constraints!A451</f>
        <v>0.19614217508997273</v>
      </c>
      <c r="U451">
        <f xml:space="preserve"> 1.667/I451 + R451/A451 * Performance!$E$12 + Performance!$E$23 / Constraints!R451 * Constraints!A451</f>
        <v>0.18391725096722666</v>
      </c>
    </row>
    <row r="452" spans="1:21" x14ac:dyDescent="0.3">
      <c r="A452" s="51">
        <v>225</v>
      </c>
      <c r="B452" s="50">
        <f>$V$4*Performance!$E$12*(1/A452)+Performance!$E$23*(1/Constraints!$V$4)*Constraints!A452</f>
        <v>0.1351333074037844</v>
      </c>
      <c r="C452" s="50">
        <f>$V$5*Performance!$E$12*(1/A452)+Performance!$E$23*(1/Constraints!$V$5)*Constraints!A452</f>
        <v>0.20275167993669277</v>
      </c>
      <c r="D452" s="52">
        <f t="shared" si="26"/>
        <v>0.37110357052851861</v>
      </c>
      <c r="E452" s="52">
        <f>$V$4*Performance!$E$12*(1/A452)+Performance!$E$23*(1/Constraints!$V$9)*Constraints!A452</f>
        <v>0.13411717136572987</v>
      </c>
      <c r="F452" s="52">
        <f xml:space="preserve"> 1.21 / (9.81 * Constraints!$N$7 * Performance!$E$15 * Constraints!$N$5 ) * Constraints!A452 + 0.605 /Performance!$E$15 * (Performance!$E$16  - Constraints!$N$6 * Performance!$E$14) + Constraints!$N$6</f>
        <v>0.37097866882563529</v>
      </c>
      <c r="G452" s="54" t="s">
        <v>198</v>
      </c>
      <c r="H452" s="55">
        <f>SQRT(2/$V$3 * A452 * SQRT(Performance!$E$23 / (3 * Performance!$E$12)))</f>
        <v>18.49573282067092</v>
      </c>
      <c r="I452" s="55">
        <f>SQRT(2/$V$3 * A452 * (SQRT(Performance!$E$23)/(SQRT(3*Performance!$E$12 + 4* Performance!$E$23 * Performance!$E$11^2) - SQRT(Performance!$E$23)*Performance!$E$11)))</f>
        <v>19.456309415912791</v>
      </c>
      <c r="J452" t="e">
        <f xml:space="preserve"> $AC$3/G452 + $AC$6/A452 * Performance!$E$12 + Performance!$E$23/Constraints!$AC$6 * Constraints!A452</f>
        <v>#VALUE!</v>
      </c>
      <c r="K452">
        <f xml:space="preserve"> $AC$3/H452 + $AC$6/A452 * Performance!$E$12 + Performance!$E$23/Constraints!$AC$6 * Constraints!A452</f>
        <v>0.99908047127766508</v>
      </c>
      <c r="L452">
        <f xml:space="preserve"> $AC$3/I452 + $AC$6/A452 * Performance!$E$12 + Performance!$E$23/Constraints!$AC$6 * Constraints!A452</f>
        <v>0.98552034588610216</v>
      </c>
      <c r="M452">
        <f>SIN($AC$9 * PI()/180) + 1/Performance!$AE$5</f>
        <v>0.24073077270730886</v>
      </c>
      <c r="N452">
        <f>SIN($AC$9 * PI()/180) + 1/Performance!$AE$8</f>
        <v>0.22738716112204788</v>
      </c>
      <c r="O452" s="60">
        <f>$AC$16 * (Performance!$E$12/Constraints!A452 + Performance!$E$23 * (Constraints!$AC$13/Constraints!$AC$17)^2 * Constraints!A452)</f>
        <v>2.1095276617249834E-4</v>
      </c>
      <c r="P452" t="e">
        <f t="shared" si="27"/>
        <v>#VALUE!</v>
      </c>
      <c r="Q452">
        <f t="shared" si="28"/>
        <v>89.822700910554445</v>
      </c>
      <c r="R452">
        <f t="shared" si="29"/>
        <v>99.394865881941044</v>
      </c>
      <c r="S452" t="e">
        <f xml:space="preserve"> 1.667/G452 + P452/A452 * Performance!$E$12 + Performance!$E$23 / Constraints!P452 * Constraints!A452</f>
        <v>#VALUE!</v>
      </c>
      <c r="T452">
        <f xml:space="preserve"> 1.667/H452 + Q452/A452 * Performance!$E$12 + Performance!$E$23 / Constraints!Q452 * Constraints!A452</f>
        <v>0.19604186465593251</v>
      </c>
      <c r="U452">
        <f xml:space="preserve"> 1.667/I452 + R452/A452 * Performance!$E$12 + Performance!$E$23 / Constraints!R452 * Constraints!A452</f>
        <v>0.18382189295520743</v>
      </c>
    </row>
    <row r="453" spans="1:21" x14ac:dyDescent="0.3">
      <c r="A453" s="51">
        <v>225.5</v>
      </c>
      <c r="B453" s="50">
        <f>$V$4*Performance!$E$12*(1/A453)+Performance!$E$23*(1/Constraints!$V$4)*Constraints!A453</f>
        <v>0.13487324707140214</v>
      </c>
      <c r="C453" s="50">
        <f>$V$5*Performance!$E$12*(1/A453)+Performance!$E$23*(1/Constraints!$V$5)*Constraints!A453</f>
        <v>0.20232746724024947</v>
      </c>
      <c r="D453" s="52">
        <f t="shared" si="26"/>
        <v>0.37137585624080416</v>
      </c>
      <c r="E453" s="52">
        <f>$V$4*Performance!$E$12*(1/A453)+Performance!$E$23*(1/Constraints!$V$9)*Constraints!A453</f>
        <v>0.13385485295326305</v>
      </c>
      <c r="F453" s="52">
        <f xml:space="preserve"> 1.21 / (9.81 * Constraints!$N$7 * Performance!$E$15 * Constraints!$N$5 ) * Constraints!A453 + 0.605 /Performance!$E$15 * (Performance!$E$16  - Constraints!$N$6 * Performance!$E$14) + Constraints!$N$6</f>
        <v>0.37125067697858116</v>
      </c>
      <c r="G453" s="54" t="s">
        <v>198</v>
      </c>
      <c r="H453" s="55">
        <f>SQRT(2/$V$3 * A453 * SQRT(Performance!$E$23 / (3 * Performance!$E$12)))</f>
        <v>18.51627223046518</v>
      </c>
      <c r="I453" s="55">
        <f>SQRT(2/$V$3 * A453 * (SQRT(Performance!$E$23)/(SQRT(3*Performance!$E$12 + 4* Performance!$E$23 * Performance!$E$11^2) - SQRT(Performance!$E$23)*Performance!$E$11)))</f>
        <v>19.477915540744497</v>
      </c>
      <c r="J453" t="e">
        <f xml:space="preserve"> $AC$3/G453 + $AC$6/A453 * Performance!$E$12 + Performance!$E$23/Constraints!$AC$6 * Constraints!A453</f>
        <v>#VALUE!</v>
      </c>
      <c r="K453">
        <f xml:space="preserve"> $AC$3/H453 + $AC$6/A453 * Performance!$E$12 + Performance!$E$23/Constraints!$AC$6 * Constraints!A453</f>
        <v>1.0003787219438469</v>
      </c>
      <c r="L453">
        <f xml:space="preserve"> $AC$3/I453 + $AC$6/A453 * Performance!$E$12 + Performance!$E$23/Constraints!$AC$6 * Constraints!A453</f>
        <v>0.98683363829334358</v>
      </c>
      <c r="M453">
        <f>SIN($AC$9 * PI()/180) + 1/Performance!$AE$5</f>
        <v>0.24073077270730886</v>
      </c>
      <c r="N453">
        <f>SIN($AC$9 * PI()/180) + 1/Performance!$AE$8</f>
        <v>0.22738716112204788</v>
      </c>
      <c r="O453" s="60">
        <f>$AC$16 * (Performance!$E$12/Constraints!A453 + Performance!$E$23 * (Constraints!$AC$13/Constraints!$AC$17)^2 * Constraints!A453)</f>
        <v>2.1093669124580211E-4</v>
      </c>
      <c r="P453" t="e">
        <f t="shared" si="27"/>
        <v>#VALUE!</v>
      </c>
      <c r="Q453">
        <f t="shared" si="28"/>
        <v>90.022306912577875</v>
      </c>
      <c r="R453">
        <f t="shared" si="29"/>
        <v>99.615743361678653</v>
      </c>
      <c r="S453" t="e">
        <f xml:space="preserve"> 1.667/G453 + P453/A453 * Performance!$E$12 + Performance!$E$23 / Constraints!P453 * Constraints!A453</f>
        <v>#VALUE!</v>
      </c>
      <c r="T453">
        <f xml:space="preserve"> 1.667/H453 + Q453/A453 * Performance!$E$12 + Performance!$E$23 / Constraints!Q453 * Constraints!A453</f>
        <v>0.19594188803382434</v>
      </c>
      <c r="U453">
        <f xml:space="preserve"> 1.667/I453 + R453/A453 * Performance!$E$12 + Performance!$E$23 / Constraints!R453 * Constraints!A453</f>
        <v>0.18372685227450603</v>
      </c>
    </row>
    <row r="454" spans="1:21" x14ac:dyDescent="0.3">
      <c r="A454" s="51">
        <v>226</v>
      </c>
      <c r="B454" s="50">
        <f>$V$4*Performance!$E$12*(1/A454)+Performance!$E$23*(1/Constraints!$V$4)*Constraints!A454</f>
        <v>0.13461442509000146</v>
      </c>
      <c r="C454" s="50">
        <f>$V$5*Performance!$E$12*(1/A454)+Performance!$E$23*(1/Constraints!$V$5)*Constraints!A454</f>
        <v>0.20190518773206967</v>
      </c>
      <c r="D454" s="52">
        <f t="shared" si="26"/>
        <v>0.37164814195308982</v>
      </c>
      <c r="E454" s="52">
        <f>$V$4*Performance!$E$12*(1/A454)+Performance!$E$23*(1/Constraints!$V$9)*Constraints!A454</f>
        <v>0.13359377289177782</v>
      </c>
      <c r="F454" s="52">
        <f xml:space="preserve"> 1.21 / (9.81 * Constraints!$N$7 * Performance!$E$15 * Constraints!$N$5 ) * Constraints!A454 + 0.605 /Performance!$E$15 * (Performance!$E$16  - Constraints!$N$6 * Performance!$E$14) + Constraints!$N$6</f>
        <v>0.37152268513152703</v>
      </c>
      <c r="G454" s="54" t="s">
        <v>198</v>
      </c>
      <c r="H454" s="55">
        <f>SQRT(2/$V$3 * A454 * SQRT(Performance!$E$23 / (3 * Performance!$E$12)))</f>
        <v>18.53678888188967</v>
      </c>
      <c r="I454" s="55">
        <f>SQRT(2/$V$3 * A454 * (SQRT(Performance!$E$23)/(SQRT(3*Performance!$E$12 + 4* Performance!$E$23 * Performance!$E$11^2) - SQRT(Performance!$E$23)*Performance!$E$11)))</f>
        <v>19.499497725249629</v>
      </c>
      <c r="J454" t="e">
        <f xml:space="preserve"> $AC$3/G454 + $AC$6/A454 * Performance!$E$12 + Performance!$E$23/Constraints!$AC$6 * Constraints!A454</f>
        <v>#VALUE!</v>
      </c>
      <c r="K454">
        <f xml:space="preserve"> $AC$3/H454 + $AC$6/A454 * Performance!$E$12 + Performance!$E$23/Constraints!$AC$6 * Constraints!A454</f>
        <v>1.0016779995050353</v>
      </c>
      <c r="L454">
        <f xml:space="preserve"> $AC$3/I454 + $AC$6/A454 * Performance!$E$12 + Performance!$E$23/Constraints!$AC$6 * Constraints!A454</f>
        <v>0.98814790765065952</v>
      </c>
      <c r="M454">
        <f>SIN($AC$9 * PI()/180) + 1/Performance!$AE$5</f>
        <v>0.24073077270730886</v>
      </c>
      <c r="N454">
        <f>SIN($AC$9 * PI()/180) + 1/Performance!$AE$8</f>
        <v>0.22738716112204788</v>
      </c>
      <c r="O454" s="60">
        <f>$AC$16 * (Performance!$E$12/Constraints!A454 + Performance!$E$23 * (Constraints!$AC$13/Constraints!$AC$17)^2 * Constraints!A454)</f>
        <v>2.109216878251177E-4</v>
      </c>
      <c r="P454" t="e">
        <f t="shared" si="27"/>
        <v>#VALUE!</v>
      </c>
      <c r="Q454">
        <f t="shared" si="28"/>
        <v>90.221912914601333</v>
      </c>
      <c r="R454">
        <f t="shared" si="29"/>
        <v>99.83662084141632</v>
      </c>
      <c r="S454" t="e">
        <f xml:space="preserve"> 1.667/G454 + P454/A454 * Performance!$E$12 + Performance!$E$23 / Constraints!P454 * Constraints!A454</f>
        <v>#VALUE!</v>
      </c>
      <c r="T454">
        <f xml:space="preserve"> 1.667/H454 + Q454/A454 * Performance!$E$12 + Performance!$E$23 / Constraints!Q454 * Constraints!A454</f>
        <v>0.19584224337632006</v>
      </c>
      <c r="U454">
        <f xml:space="preserve"> 1.667/I454 + R454/A454 * Performance!$E$12 + Performance!$E$23 / Constraints!R454 * Constraints!A454</f>
        <v>0.18363212716899863</v>
      </c>
    </row>
    <row r="455" spans="1:21" x14ac:dyDescent="0.3">
      <c r="A455" s="51">
        <v>226.5</v>
      </c>
      <c r="B455" s="50">
        <f>$V$4*Performance!$E$12*(1/A455)+Performance!$E$23*(1/Constraints!$V$4)*Constraints!A455</f>
        <v>0.13435683325858253</v>
      </c>
      <c r="C455" s="50">
        <f>$V$5*Performance!$E$12*(1/A455)+Performance!$E$23*(1/Constraints!$V$5)*Constraints!A455</f>
        <v>0.201484828609582</v>
      </c>
      <c r="D455" s="52">
        <f t="shared" si="26"/>
        <v>0.37192042766537536</v>
      </c>
      <c r="E455" s="52">
        <f>$V$4*Performance!$E$12*(1/A455)+Performance!$E$23*(1/Constraints!$V$9)*Constraints!A455</f>
        <v>0.1333339229802743</v>
      </c>
      <c r="F455" s="52">
        <f xml:space="preserve"> 1.21 / (9.81 * Constraints!$N$7 * Performance!$E$15 * Constraints!$N$5 ) * Constraints!A455 + 0.605 /Performance!$E$15 * (Performance!$E$16  - Constraints!$N$6 * Performance!$E$14) + Constraints!$N$6</f>
        <v>0.3717946932844729</v>
      </c>
      <c r="G455" s="54" t="s">
        <v>198</v>
      </c>
      <c r="H455" s="55">
        <f>SQRT(2/$V$3 * A455 * SQRT(Performance!$E$23 / (3 * Performance!$E$12)))</f>
        <v>18.557282850428322</v>
      </c>
      <c r="I455" s="55">
        <f>SQRT(2/$V$3 * A455 * (SQRT(Performance!$E$23)/(SQRT(3*Performance!$E$12 + 4* Performance!$E$23 * Performance!$E$11^2) - SQRT(Performance!$E$23)*Performance!$E$11)))</f>
        <v>19.521056048832371</v>
      </c>
      <c r="J455" t="e">
        <f xml:space="preserve"> $AC$3/G455 + $AC$6/A455 * Performance!$E$12 + Performance!$E$23/Constraints!$AC$6 * Constraints!A455</f>
        <v>#VALUE!</v>
      </c>
      <c r="K455">
        <f xml:space="preserve"> $AC$3/H455 + $AC$6/A455 * Performance!$E$12 + Performance!$E$23/Constraints!$AC$6 * Constraints!A455</f>
        <v>1.0029782982740993</v>
      </c>
      <c r="L455">
        <f xml:space="preserve"> $AC$3/I455 + $AC$6/A455 * Performance!$E$12 + Performance!$E$23/Constraints!$AC$6 * Constraints!A455</f>
        <v>0.98946314854670536</v>
      </c>
      <c r="M455">
        <f>SIN($AC$9 * PI()/180) + 1/Performance!$AE$5</f>
        <v>0.24073077270730886</v>
      </c>
      <c r="N455">
        <f>SIN($AC$9 * PI()/180) + 1/Performance!$AE$8</f>
        <v>0.22738716112204788</v>
      </c>
      <c r="O455" s="60">
        <f>$AC$16 * (Performance!$E$12/Constraints!A455 + Performance!$E$23 * (Constraints!$AC$13/Constraints!$AC$17)^2 * Constraints!A455)</f>
        <v>2.1090774881437903E-4</v>
      </c>
      <c r="P455" t="e">
        <f t="shared" si="27"/>
        <v>#VALUE!</v>
      </c>
      <c r="Q455">
        <f t="shared" si="28"/>
        <v>90.421518916624805</v>
      </c>
      <c r="R455">
        <f t="shared" si="29"/>
        <v>100.05749832115396</v>
      </c>
      <c r="S455" t="e">
        <f xml:space="preserve"> 1.667/G455 + P455/A455 * Performance!$E$12 + Performance!$E$23 / Constraints!P455 * Constraints!A455</f>
        <v>#VALUE!</v>
      </c>
      <c r="T455">
        <f xml:space="preserve"> 1.667/H455 + Q455/A455 * Performance!$E$12 + Performance!$E$23 / Constraints!Q455 * Constraints!A455</f>
        <v>0.19574292885037256</v>
      </c>
      <c r="U455">
        <f xml:space="preserve"> 1.667/I455 + R455/A455 * Performance!$E$12 + Performance!$E$23 / Constraints!R455 * Constraints!A455</f>
        <v>0.18353771589613752</v>
      </c>
    </row>
    <row r="456" spans="1:21" x14ac:dyDescent="0.3">
      <c r="A456" s="51">
        <v>227</v>
      </c>
      <c r="B456" s="50">
        <f>$V$4*Performance!$E$12*(1/A456)+Performance!$E$23*(1/Constraints!$V$4)*Constraints!A456</f>
        <v>0.13410046344840088</v>
      </c>
      <c r="C456" s="50">
        <f>$V$5*Performance!$E$12*(1/A456)+Performance!$E$23*(1/Constraints!$V$5)*Constraints!A456</f>
        <v>0.20106637718301329</v>
      </c>
      <c r="D456" s="52">
        <f t="shared" si="26"/>
        <v>0.37219271337766097</v>
      </c>
      <c r="E456" s="52">
        <f>$V$4*Performance!$E$12*(1/A456)+Performance!$E$23*(1/Constraints!$V$9)*Constraints!A456</f>
        <v>0.13307529509000809</v>
      </c>
      <c r="F456" s="52">
        <f xml:space="preserve"> 1.21 / (9.81 * Constraints!$N$7 * Performance!$E$15 * Constraints!$N$5 ) * Constraints!A456 + 0.605 /Performance!$E$15 * (Performance!$E$16  - Constraints!$N$6 * Performance!$E$14) + Constraints!$N$6</f>
        <v>0.37206670143741871</v>
      </c>
      <c r="G456" s="54" t="s">
        <v>198</v>
      </c>
      <c r="H456" s="55">
        <f>SQRT(2/$V$3 * A456 * SQRT(Performance!$E$23 / (3 * Performance!$E$12)))</f>
        <v>18.577754211148708</v>
      </c>
      <c r="I456" s="55">
        <f>SQRT(2/$V$3 * A456 * (SQRT(Performance!$E$23)/(SQRT(3*Performance!$E$12 + 4* Performance!$E$23 * Performance!$E$11^2) - SQRT(Performance!$E$23)*Performance!$E$11)))</f>
        <v>19.542590590458939</v>
      </c>
      <c r="J456" t="e">
        <f xml:space="preserve"> $AC$3/G456 + $AC$6/A456 * Performance!$E$12 + Performance!$E$23/Constraints!$AC$6 * Constraints!A456</f>
        <v>#VALUE!</v>
      </c>
      <c r="K456">
        <f xml:space="preserve"> $AC$3/H456 + $AC$6/A456 * Performance!$E$12 + Performance!$E$23/Constraints!$AC$6 * Constraints!A456</f>
        <v>1.0042796126078861</v>
      </c>
      <c r="L456">
        <f xml:space="preserve"> $AC$3/I456 + $AC$6/A456 * Performance!$E$12 + Performance!$E$23/Constraints!$AC$6 * Constraints!A456</f>
        <v>0.99077935561198771</v>
      </c>
      <c r="M456">
        <f>SIN($AC$9 * PI()/180) + 1/Performance!$AE$5</f>
        <v>0.24073077270730886</v>
      </c>
      <c r="N456">
        <f>SIN($AC$9 * PI()/180) + 1/Performance!$AE$8</f>
        <v>0.22738716112204788</v>
      </c>
      <c r="O456" s="60">
        <f>$AC$16 * (Performance!$E$12/Constraints!A456 + Performance!$E$23 * (Constraints!$AC$13/Constraints!$AC$17)^2 * Constraints!A456)</f>
        <v>2.1089486718004003E-4</v>
      </c>
      <c r="P456" t="e">
        <f t="shared" si="27"/>
        <v>#VALUE!</v>
      </c>
      <c r="Q456">
        <f t="shared" si="28"/>
        <v>90.621124918648221</v>
      </c>
      <c r="R456">
        <f t="shared" si="29"/>
        <v>100.2783758008916</v>
      </c>
      <c r="S456" t="e">
        <f xml:space="preserve"> 1.667/G456 + P456/A456 * Performance!$E$12 + Performance!$E$23 / Constraints!P456 * Constraints!A456</f>
        <v>#VALUE!</v>
      </c>
      <c r="T456">
        <f xml:space="preserve"> 1.667/H456 + Q456/A456 * Performance!$E$12 + Performance!$E$23 / Constraints!Q456 * Constraints!A456</f>
        <v>0.19564394263707399</v>
      </c>
      <c r="U456">
        <f xml:space="preserve"> 1.667/I456 + R456/A456 * Performance!$E$12 + Performance!$E$23 / Constraints!R456 * Constraints!A456</f>
        <v>0.18344361672681594</v>
      </c>
    </row>
    <row r="457" spans="1:21" x14ac:dyDescent="0.3">
      <c r="A457" s="51">
        <v>227.5</v>
      </c>
      <c r="B457" s="50">
        <f>$V$4*Performance!$E$12*(1/A457)+Performance!$E$23*(1/Constraints!$V$4)*Constraints!A457</f>
        <v>0.1338453076021737</v>
      </c>
      <c r="C457" s="50">
        <f>$V$5*Performance!$E$12*(1/A457)+Performance!$E$23*(1/Constraints!$V$5)*Constraints!A457</f>
        <v>0.20064982087414857</v>
      </c>
      <c r="D457" s="52">
        <f t="shared" si="26"/>
        <v>0.37246499908994657</v>
      </c>
      <c r="E457" s="52">
        <f>$V$4*Performance!$E$12*(1/A457)+Performance!$E$23*(1/Constraints!$V$9)*Constraints!A457</f>
        <v>0.13281788116369633</v>
      </c>
      <c r="F457" s="52">
        <f xml:space="preserve"> 1.21 / (9.81 * Constraints!$N$7 * Performance!$E$15 * Constraints!$N$5 ) * Constraints!A457 + 0.605 /Performance!$E$15 * (Performance!$E$16  - Constraints!$N$6 * Performance!$E$14) + Constraints!$N$6</f>
        <v>0.37233870959036458</v>
      </c>
      <c r="G457" s="54" t="s">
        <v>198</v>
      </c>
      <c r="H457" s="55">
        <f>SQRT(2/$V$3 * A457 * SQRT(Performance!$E$23 / (3 * Performance!$E$12)))</f>
        <v>18.598203038705275</v>
      </c>
      <c r="I457" s="55">
        <f>SQRT(2/$V$3 * A457 * (SQRT(Performance!$E$23)/(SQRT(3*Performance!$E$12 + 4* Performance!$E$23 * Performance!$E$11^2) - SQRT(Performance!$E$23)*Performance!$E$11)))</f>
        <v>19.564101428660955</v>
      </c>
      <c r="J457" t="e">
        <f xml:space="preserve"> $AC$3/G457 + $AC$6/A457 * Performance!$E$12 + Performance!$E$23/Constraints!$AC$6 * Constraints!A457</f>
        <v>#VALUE!</v>
      </c>
      <c r="K457">
        <f xml:space="preserve"> $AC$3/H457 + $AC$6/A457 * Performance!$E$12 + Performance!$E$23/Constraints!$AC$6 * Constraints!A457</f>
        <v>1.0055819369067858</v>
      </c>
      <c r="L457">
        <f xml:space="preserve"> $AC$3/I457 + $AC$6/A457 * Performance!$E$12 + Performance!$E$23/Constraints!$AC$6 * Constraints!A457</f>
        <v>0.99209652351845001</v>
      </c>
      <c r="M457">
        <f>SIN($AC$9 * PI()/180) + 1/Performance!$AE$5</f>
        <v>0.24073077270730886</v>
      </c>
      <c r="N457">
        <f>SIN($AC$9 * PI()/180) + 1/Performance!$AE$8</f>
        <v>0.22738716112204788</v>
      </c>
      <c r="O457" s="60">
        <f>$AC$16 * (Performance!$E$12/Constraints!A457 + Performance!$E$23 * (Constraints!$AC$13/Constraints!$AC$17)^2 * Constraints!A457)</f>
        <v>2.1088303595038829E-4</v>
      </c>
      <c r="P457" t="e">
        <f t="shared" si="27"/>
        <v>#VALUE!</v>
      </c>
      <c r="Q457">
        <f t="shared" si="28"/>
        <v>90.820730920671693</v>
      </c>
      <c r="R457">
        <f t="shared" si="29"/>
        <v>100.49925328062923</v>
      </c>
      <c r="S457" t="e">
        <f xml:space="preserve"> 1.667/G457 + P457/A457 * Performance!$E$12 + Performance!$E$23 / Constraints!P457 * Constraints!A457</f>
        <v>#VALUE!</v>
      </c>
      <c r="T457">
        <f xml:space="preserve"> 1.667/H457 + Q457/A457 * Performance!$E$12 + Performance!$E$23 / Constraints!Q457 * Constraints!A457</f>
        <v>0.19554528293151555</v>
      </c>
      <c r="U457">
        <f xml:space="preserve"> 1.667/I457 + R457/A457 * Performance!$E$12 + Performance!$E$23 / Constraints!R457 * Constraints!A457</f>
        <v>0.18334982794523533</v>
      </c>
    </row>
    <row r="458" spans="1:21" x14ac:dyDescent="0.3">
      <c r="A458" s="51">
        <v>228</v>
      </c>
      <c r="B458" s="50">
        <f>$V$4*Performance!$E$12*(1/A458)+Performance!$E$23*(1/Constraints!$V$4)*Constraints!A458</f>
        <v>0.133591357733296</v>
      </c>
      <c r="C458" s="50">
        <f>$V$5*Performance!$E$12*(1/A458)+Performance!$E$23*(1/Constraints!$V$5)*Constraints!A458</f>
        <v>0.20023514721510824</v>
      </c>
      <c r="D458" s="52">
        <f t="shared" si="26"/>
        <v>0.37273728480223217</v>
      </c>
      <c r="E458" s="52">
        <f>$V$4*Performance!$E$12*(1/A458)+Performance!$E$23*(1/Constraints!$V$9)*Constraints!A458</f>
        <v>0.13256167321473405</v>
      </c>
      <c r="F458" s="52">
        <f xml:space="preserve"> 1.21 / (9.81 * Constraints!$N$7 * Performance!$E$15 * Constraints!$N$5 ) * Constraints!A458 + 0.605 /Performance!$E$15 * (Performance!$E$16  - Constraints!$N$6 * Performance!$E$14) + Constraints!$N$6</f>
        <v>0.37261071774331045</v>
      </c>
      <c r="G458" s="54" t="s">
        <v>198</v>
      </c>
      <c r="H458" s="55">
        <f>SQRT(2/$V$3 * A458 * SQRT(Performance!$E$23 / (3 * Performance!$E$12)))</f>
        <v>18.618629407342496</v>
      </c>
      <c r="I458" s="55">
        <f>SQRT(2/$V$3 * A458 * (SQRT(Performance!$E$23)/(SQRT(3*Performance!$E$12 + 4* Performance!$E$23 * Performance!$E$11^2) - SQRT(Performance!$E$23)*Performance!$E$11)))</f>
        <v>19.585588641538788</v>
      </c>
      <c r="J458" t="e">
        <f xml:space="preserve"> $AC$3/G458 + $AC$6/A458 * Performance!$E$12 + Performance!$E$23/Constraints!$AC$6 * Constraints!A458</f>
        <v>#VALUE!</v>
      </c>
      <c r="K458">
        <f xml:space="preserve"> $AC$3/H458 + $AC$6/A458 * Performance!$E$12 + Performance!$E$23/Constraints!$AC$6 * Constraints!A458</f>
        <v>1.0068852656142997</v>
      </c>
      <c r="L458">
        <f xml:space="preserve"> $AC$3/I458 + $AC$6/A458 * Performance!$E$12 + Performance!$E$23/Constraints!$AC$6 * Constraints!A458</f>
        <v>0.99341464697906146</v>
      </c>
      <c r="M458">
        <f>SIN($AC$9 * PI()/180) + 1/Performance!$AE$5</f>
        <v>0.24073077270730886</v>
      </c>
      <c r="N458">
        <f>SIN($AC$9 * PI()/180) + 1/Performance!$AE$8</f>
        <v>0.22738716112204788</v>
      </c>
      <c r="O458" s="60">
        <f>$AC$16 * (Performance!$E$12/Constraints!A458 + Performance!$E$23 * (Constraints!$AC$13/Constraints!$AC$17)^2 * Constraints!A458)</f>
        <v>2.108722482148666E-4</v>
      </c>
      <c r="P458" t="e">
        <f t="shared" si="27"/>
        <v>#VALUE!</v>
      </c>
      <c r="Q458">
        <f t="shared" si="28"/>
        <v>91.020336922695179</v>
      </c>
      <c r="R458">
        <f t="shared" si="29"/>
        <v>100.72013076036691</v>
      </c>
      <c r="S458" t="e">
        <f xml:space="preserve"> 1.667/G458 + P458/A458 * Performance!$E$12 + Performance!$E$23 / Constraints!P458 * Constraints!A458</f>
        <v>#VALUE!</v>
      </c>
      <c r="T458">
        <f xml:space="preserve"> 1.667/H458 + Q458/A458 * Performance!$E$12 + Performance!$E$23 / Constraints!Q458 * Constraints!A458</f>
        <v>0.19544694794264977</v>
      </c>
      <c r="U458">
        <f xml:space="preserve"> 1.667/I458 + R458/A458 * Performance!$E$12 + Performance!$E$23 / Constraints!R458 * Constraints!A458</f>
        <v>0.18325634784877376</v>
      </c>
    </row>
    <row r="459" spans="1:21" x14ac:dyDescent="0.3">
      <c r="A459" s="51">
        <v>228.5</v>
      </c>
      <c r="B459" s="50">
        <f>$V$4*Performance!$E$12*(1/A459)+Performance!$E$23*(1/Constraints!$V$4)*Constraints!A459</f>
        <v>0.13333860592506744</v>
      </c>
      <c r="C459" s="50">
        <f>$V$5*Performance!$E$12*(1/A459)+Performance!$E$23*(1/Constraints!$V$5)*Constraints!A459</f>
        <v>0.19982234384714076</v>
      </c>
      <c r="D459" s="52">
        <f t="shared" si="26"/>
        <v>0.37300957051451777</v>
      </c>
      <c r="E459" s="52">
        <f>$V$4*Performance!$E$12*(1/A459)+Performance!$E$23*(1/Constraints!$V$9)*Constraints!A459</f>
        <v>0.13230666332642096</v>
      </c>
      <c r="F459" s="52">
        <f xml:space="preserve"> 1.21 / (9.81 * Constraints!$N$7 * Performance!$E$15 * Constraints!$N$5 ) * Constraints!A459 + 0.605 /Performance!$E$15 * (Performance!$E$16  - Constraints!$N$6 * Performance!$E$14) + Constraints!$N$6</f>
        <v>0.37288272589625626</v>
      </c>
      <c r="G459" s="54" t="s">
        <v>198</v>
      </c>
      <c r="H459" s="55">
        <f>SQRT(2/$V$3 * A459 * SQRT(Performance!$E$23 / (3 * Performance!$E$12)))</f>
        <v>18.639033390898017</v>
      </c>
      <c r="I459" s="55">
        <f>SQRT(2/$V$3 * A459 * (SQRT(Performance!$E$23)/(SQRT(3*Performance!$E$12 + 4* Performance!$E$23 * Performance!$E$11^2) - SQRT(Performance!$E$23)*Performance!$E$11)))</f>
        <v>19.607052306764842</v>
      </c>
      <c r="J459" t="e">
        <f xml:space="preserve"> $AC$3/G459 + $AC$6/A459 * Performance!$E$12 + Performance!$E$23/Constraints!$AC$6 * Constraints!A459</f>
        <v>#VALUE!</v>
      </c>
      <c r="K459">
        <f xml:space="preserve"> $AC$3/H459 + $AC$6/A459 * Performance!$E$12 + Performance!$E$23/Constraints!$AC$6 * Constraints!A459</f>
        <v>1.0081895932166156</v>
      </c>
      <c r="L459">
        <f xml:space="preserve"> $AC$3/I459 + $AC$6/A459 * Performance!$E$12 + Performance!$E$23/Constraints!$AC$6 * Constraints!A459</f>
        <v>0.99473372074741251</v>
      </c>
      <c r="M459">
        <f>SIN($AC$9 * PI()/180) + 1/Performance!$AE$5</f>
        <v>0.24073077270730886</v>
      </c>
      <c r="N459">
        <f>SIN($AC$9 * PI()/180) + 1/Performance!$AE$8</f>
        <v>0.22738716112204788</v>
      </c>
      <c r="O459" s="60">
        <f>$AC$16 * (Performance!$E$12/Constraints!A459 + Performance!$E$23 * (Constraints!$AC$13/Constraints!$AC$17)^2 * Constraints!A459)</f>
        <v>2.1086249712340408E-4</v>
      </c>
      <c r="P459" t="e">
        <f t="shared" si="27"/>
        <v>#VALUE!</v>
      </c>
      <c r="Q459">
        <f t="shared" si="28"/>
        <v>91.219942924718623</v>
      </c>
      <c r="R459">
        <f t="shared" si="29"/>
        <v>100.94100824010454</v>
      </c>
      <c r="S459" t="e">
        <f xml:space="preserve"> 1.667/G459 + P459/A459 * Performance!$E$12 + Performance!$E$23 / Constraints!P459 * Constraints!A459</f>
        <v>#VALUE!</v>
      </c>
      <c r="T459">
        <f xml:space="preserve"> 1.667/H459 + Q459/A459 * Performance!$E$12 + Performance!$E$23 / Constraints!Q459 * Constraints!A459</f>
        <v>0.19534893589315366</v>
      </c>
      <c r="U459">
        <f xml:space="preserve"> 1.667/I459 + R459/A459 * Performance!$E$12 + Performance!$E$23 / Constraints!R459 * Constraints!A459</f>
        <v>0.18316317474785648</v>
      </c>
    </row>
    <row r="460" spans="1:21" x14ac:dyDescent="0.3">
      <c r="A460" s="51">
        <v>229</v>
      </c>
      <c r="B460" s="50">
        <f>$V$4*Performance!$E$12*(1/A460)+Performance!$E$23*(1/Constraints!$V$4)*Constraints!A460</f>
        <v>0.13308704432992924</v>
      </c>
      <c r="C460" s="50">
        <f>$V$5*Performance!$E$12*(1/A460)+Performance!$E$23*(1/Constraints!$V$5)*Constraints!A460</f>
        <v>0.19941139851943121</v>
      </c>
      <c r="D460" s="52">
        <f t="shared" si="26"/>
        <v>0.37328185622680332</v>
      </c>
      <c r="E460" s="52">
        <f>$V$4*Performance!$E$12*(1/A460)+Performance!$E$23*(1/Constraints!$V$9)*Constraints!A460</f>
        <v>0.13205284365119818</v>
      </c>
      <c r="F460" s="52">
        <f xml:space="preserve"> 1.21 / (9.81 * Constraints!$N$7 * Performance!$E$15 * Constraints!$N$5 ) * Constraints!A460 + 0.605 /Performance!$E$15 * (Performance!$E$16  - Constraints!$N$6 * Performance!$E$14) + Constraints!$N$6</f>
        <v>0.37315473404920219</v>
      </c>
      <c r="G460" s="54" t="s">
        <v>198</v>
      </c>
      <c r="H460" s="55">
        <f>SQRT(2/$V$3 * A460 * SQRT(Performance!$E$23 / (3 * Performance!$E$12)))</f>
        <v>18.659415062805795</v>
      </c>
      <c r="I460" s="55">
        <f>SQRT(2/$V$3 * A460 * (SQRT(Performance!$E$23)/(SQRT(3*Performance!$E$12 + 4* Performance!$E$23 * Performance!$E$11^2) - SQRT(Performance!$E$23)*Performance!$E$11)))</f>
        <v>19.628492501586869</v>
      </c>
      <c r="J460" t="e">
        <f xml:space="preserve"> $AC$3/G460 + $AC$6/A460 * Performance!$E$12 + Performance!$E$23/Constraints!$AC$6 * Constraints!A460</f>
        <v>#VALUE!</v>
      </c>
      <c r="K460">
        <f xml:space="preserve"> $AC$3/H460 + $AC$6/A460 * Performance!$E$12 + Performance!$E$23/Constraints!$AC$6 * Constraints!A460</f>
        <v>1.0094949142421858</v>
      </c>
      <c r="L460">
        <f xml:space="preserve"> $AC$3/I460 + $AC$6/A460 * Performance!$E$12 + Performance!$E$23/Constraints!$AC$6 * Constraints!A460</f>
        <v>0.99605373961731369</v>
      </c>
      <c r="M460">
        <f>SIN($AC$9 * PI()/180) + 1/Performance!$AE$5</f>
        <v>0.24073077270730886</v>
      </c>
      <c r="N460">
        <f>SIN($AC$9 * PI()/180) + 1/Performance!$AE$8</f>
        <v>0.22738716112204788</v>
      </c>
      <c r="O460" s="60">
        <f>$AC$16 * (Performance!$E$12/Constraints!A460 + Performance!$E$23 * (Constraints!$AC$13/Constraints!$AC$17)^2 * Constraints!A460)</f>
        <v>2.1085377588575579E-4</v>
      </c>
      <c r="P460" t="e">
        <f t="shared" si="27"/>
        <v>#VALUE!</v>
      </c>
      <c r="Q460">
        <f t="shared" si="28"/>
        <v>91.419548926742067</v>
      </c>
      <c r="R460">
        <f t="shared" si="29"/>
        <v>101.16188571984219</v>
      </c>
      <c r="S460" t="e">
        <f xml:space="preserve"> 1.667/G460 + P460/A460 * Performance!$E$12 + Performance!$E$23 / Constraints!P460 * Constraints!A460</f>
        <v>#VALUE!</v>
      </c>
      <c r="T460">
        <f xml:space="preserve"> 1.667/H460 + Q460/A460 * Performance!$E$12 + Performance!$E$23 / Constraints!Q460 * Constraints!A460</f>
        <v>0.19525124501929364</v>
      </c>
      <c r="U460">
        <f xml:space="preserve"> 1.667/I460 + R460/A460 * Performance!$E$12 + Performance!$E$23 / Constraints!R460 * Constraints!A460</f>
        <v>0.18307030696582716</v>
      </c>
    </row>
    <row r="461" spans="1:21" x14ac:dyDescent="0.3">
      <c r="A461" s="51">
        <v>229.5</v>
      </c>
      <c r="B461" s="50">
        <f>$V$4*Performance!$E$12*(1/A461)+Performance!$E$23*(1/Constraints!$V$4)*Constraints!A461</f>
        <v>0.13283666516871084</v>
      </c>
      <c r="C461" s="50">
        <f>$V$5*Performance!$E$12*(1/A461)+Performance!$E$23*(1/Constraints!$V$5)*Constraints!A461</f>
        <v>0.19900229908792563</v>
      </c>
      <c r="D461" s="52">
        <f t="shared" si="26"/>
        <v>0.37355414193908898</v>
      </c>
      <c r="E461" s="52">
        <f>$V$4*Performance!$E$12*(1/A461)+Performance!$E$23*(1/Constraints!$V$9)*Constraints!A461</f>
        <v>0.13180020640989523</v>
      </c>
      <c r="F461" s="52">
        <f xml:space="preserve"> 1.21 / (9.81 * Constraints!$N$7 * Performance!$E$15 * Constraints!$N$5 ) * Constraints!A461 + 0.605 /Performance!$E$15 * (Performance!$E$16  - Constraints!$N$6 * Performance!$E$14) + Constraints!$N$6</f>
        <v>0.373426742202148</v>
      </c>
      <c r="G461" s="54" t="s">
        <v>198</v>
      </c>
      <c r="H461" s="55">
        <f>SQRT(2/$V$3 * A461 * SQRT(Performance!$E$23 / (3 * Performance!$E$12)))</f>
        <v>18.679774496099153</v>
      </c>
      <c r="I461" s="55">
        <f>SQRT(2/$V$3 * A461 * (SQRT(Performance!$E$23)/(SQRT(3*Performance!$E$12 + 4* Performance!$E$23 * Performance!$E$11^2) - SQRT(Performance!$E$23)*Performance!$E$11)))</f>
        <v>19.649909302831183</v>
      </c>
      <c r="J461" t="e">
        <f xml:space="preserve"> $AC$3/G461 + $AC$6/A461 * Performance!$E$12 + Performance!$E$23/Constraints!$AC$6 * Constraints!A461</f>
        <v>#VALUE!</v>
      </c>
      <c r="K461">
        <f xml:space="preserve"> $AC$3/H461 + $AC$6/A461 * Performance!$E$12 + Performance!$E$23/Constraints!$AC$6 * Constraints!A461</f>
        <v>1.0108012232613133</v>
      </c>
      <c r="L461">
        <f xml:space="preserve"> $AC$3/I461 + $AC$6/A461 * Performance!$E$12 + Performance!$E$23/Constraints!$AC$6 * Constraints!A461</f>
        <v>0.99737469842240167</v>
      </c>
      <c r="M461">
        <f>SIN($AC$9 * PI()/180) + 1/Performance!$AE$5</f>
        <v>0.24073077270730886</v>
      </c>
      <c r="N461">
        <f>SIN($AC$9 * PI()/180) + 1/Performance!$AE$8</f>
        <v>0.22738716112204788</v>
      </c>
      <c r="O461" s="60">
        <f>$AC$16 * (Performance!$E$12/Constraints!A461 + Performance!$E$23 * (Constraints!$AC$13/Constraints!$AC$17)^2 * Constraints!A461)</f>
        <v>2.1084607777085106E-4</v>
      </c>
      <c r="P461" t="e">
        <f t="shared" si="27"/>
        <v>#VALUE!</v>
      </c>
      <c r="Q461">
        <f t="shared" si="28"/>
        <v>91.619154928765525</v>
      </c>
      <c r="R461">
        <f t="shared" si="29"/>
        <v>101.38276319957987</v>
      </c>
      <c r="S461" t="e">
        <f xml:space="preserve"> 1.667/G461 + P461/A461 * Performance!$E$12 + Performance!$E$23 / Constraints!P461 * Constraints!A461</f>
        <v>#VALUE!</v>
      </c>
      <c r="T461">
        <f xml:space="preserve"> 1.667/H461 + Q461/A461 * Performance!$E$12 + Performance!$E$23 / Constraints!Q461 * Constraints!A461</f>
        <v>0.1951538735707927</v>
      </c>
      <c r="U461">
        <f xml:space="preserve"> 1.667/I461 + R461/A461 * Performance!$E$12 + Performance!$E$23 / Constraints!R461 * Constraints!A461</f>
        <v>0.18297774283882146</v>
      </c>
    </row>
    <row r="462" spans="1:21" x14ac:dyDescent="0.3">
      <c r="A462" s="51">
        <v>230</v>
      </c>
      <c r="B462" s="50">
        <f>$V$4*Performance!$E$12*(1/A462)+Performance!$E$23*(1/Constraints!$V$4)*Constraints!A462</f>
        <v>0.13258746072988664</v>
      </c>
      <c r="C462" s="50">
        <f>$V$5*Performance!$E$12*(1/A462)+Performance!$E$23*(1/Constraints!$V$5)*Constraints!A462</f>
        <v>0.19859503351417052</v>
      </c>
      <c r="D462" s="52">
        <f t="shared" si="26"/>
        <v>0.37382642765137453</v>
      </c>
      <c r="E462" s="52">
        <f>$V$4*Performance!$E$12*(1/A462)+Performance!$E$23*(1/Constraints!$V$9)*Constraints!A462</f>
        <v>0.13154874389098647</v>
      </c>
      <c r="F462" s="52">
        <f xml:space="preserve"> 1.21 / (9.81 * Constraints!$N$7 * Performance!$E$15 * Constraints!$N$5 ) * Constraints!A462 + 0.605 /Performance!$E$15 * (Performance!$E$16  - Constraints!$N$6 * Performance!$E$14) + Constraints!$N$6</f>
        <v>0.37369875035509387</v>
      </c>
      <c r="G462" s="54" t="s">
        <v>198</v>
      </c>
      <c r="H462" s="55">
        <f>SQRT(2/$V$3 * A462 * SQRT(Performance!$E$23 / (3 * Performance!$E$12)))</f>
        <v>18.700111763413844</v>
      </c>
      <c r="I462" s="55">
        <f>SQRT(2/$V$3 * A462 * (SQRT(Performance!$E$23)/(SQRT(3*Performance!$E$12 + 4* Performance!$E$23 * Performance!$E$11^2) - SQRT(Performance!$E$23)*Performance!$E$11)))</f>
        <v>19.671302786905873</v>
      </c>
      <c r="J462" t="e">
        <f xml:space="preserve"> $AC$3/G462 + $AC$6/A462 * Performance!$E$12 + Performance!$E$23/Constraints!$AC$6 * Constraints!A462</f>
        <v>#VALUE!</v>
      </c>
      <c r="K462">
        <f xml:space="preserve"> $AC$3/H462 + $AC$6/A462 * Performance!$E$12 + Performance!$E$23/Constraints!$AC$6 * Constraints!A462</f>
        <v>1.0121085148857398</v>
      </c>
      <c r="L462">
        <f xml:space="preserve"> $AC$3/I462 + $AC$6/A462 * Performance!$E$12 + Performance!$E$23/Constraints!$AC$6 * Constraints!A462</f>
        <v>0.99869659203574757</v>
      </c>
      <c r="M462">
        <f>SIN($AC$9 * PI()/180) + 1/Performance!$AE$5</f>
        <v>0.24073077270730886</v>
      </c>
      <c r="N462">
        <f>SIN($AC$9 * PI()/180) + 1/Performance!$AE$8</f>
        <v>0.22738716112204788</v>
      </c>
      <c r="O462" s="60">
        <f>$AC$16 * (Performance!$E$12/Constraints!A462 + Performance!$E$23 * (Constraints!$AC$13/Constraints!$AC$17)^2 * Constraints!A462)</f>
        <v>2.1083939610615029E-4</v>
      </c>
      <c r="P462" t="e">
        <f t="shared" si="27"/>
        <v>#VALUE!</v>
      </c>
      <c r="Q462">
        <f t="shared" si="28"/>
        <v>91.818760930788969</v>
      </c>
      <c r="R462">
        <f t="shared" si="29"/>
        <v>101.60364067931749</v>
      </c>
      <c r="S462" t="e">
        <f xml:space="preserve"> 1.667/G462 + P462/A462 * Performance!$E$12 + Performance!$E$23 / Constraints!P462 * Constraints!A462</f>
        <v>#VALUE!</v>
      </c>
      <c r="T462">
        <f xml:space="preserve"> 1.667/H462 + Q462/A462 * Performance!$E$12 + Performance!$E$23 / Constraints!Q462 * Constraints!A462</f>
        <v>0.19505681981069811</v>
      </c>
      <c r="U462">
        <f xml:space="preserve"> 1.667/I462 + R462/A462 * Performance!$E$12 + Performance!$E$23 / Constraints!R462 * Constraints!A462</f>
        <v>0.18288548071564195</v>
      </c>
    </row>
    <row r="463" spans="1:21" x14ac:dyDescent="0.3">
      <c r="A463" s="51">
        <v>230.5</v>
      </c>
      <c r="B463" s="50">
        <f>$V$4*Performance!$E$12*(1/A463)+Performance!$E$23*(1/Constraints!$V$4)*Constraints!A463</f>
        <v>0.13233942336884244</v>
      </c>
      <c r="C463" s="50">
        <f>$V$5*Performance!$E$12*(1/A463)+Performance!$E$23*(1/Constraints!$V$5)*Constraints!A463</f>
        <v>0.19818958986416743</v>
      </c>
      <c r="D463" s="52">
        <f t="shared" si="26"/>
        <v>0.37409871336366018</v>
      </c>
      <c r="E463" s="52">
        <f>$V$4*Performance!$E$12*(1/A463)+Performance!$E$23*(1/Constraints!$V$9)*Constraints!A463</f>
        <v>0.13129844844985769</v>
      </c>
      <c r="F463" s="52">
        <f xml:space="preserve"> 1.21 / (9.81 * Constraints!$N$7 * Performance!$E$15 * Constraints!$N$5 ) * Constraints!A463 + 0.605 /Performance!$E$15 * (Performance!$E$16  - Constraints!$N$6 * Performance!$E$14) + Constraints!$N$6</f>
        <v>0.37397075850803974</v>
      </c>
      <c r="G463" s="54" t="s">
        <v>198</v>
      </c>
      <c r="H463" s="55">
        <f>SQRT(2/$V$3 * A463 * SQRT(Performance!$E$23 / (3 * Performance!$E$12)))</f>
        <v>18.720426936991082</v>
      </c>
      <c r="I463" s="55">
        <f>SQRT(2/$V$3 * A463 * (SQRT(Performance!$E$23)/(SQRT(3*Performance!$E$12 + 4* Performance!$E$23 * Performance!$E$11^2) - SQRT(Performance!$E$23)*Performance!$E$11)))</f>
        <v>19.692673029804009</v>
      </c>
      <c r="J463" t="e">
        <f xml:space="preserve"> $AC$3/G463 + $AC$6/A463 * Performance!$E$12 + Performance!$E$23/Constraints!$AC$6 * Constraints!A463</f>
        <v>#VALUE!</v>
      </c>
      <c r="K463">
        <f xml:space="preserve"> $AC$3/H463 + $AC$6/A463 * Performance!$E$12 + Performance!$E$23/Constraints!$AC$6 * Constraints!A463</f>
        <v>1.0134167837682411</v>
      </c>
      <c r="L463">
        <f xml:space="preserve"> $AC$3/I463 + $AC$6/A463 * Performance!$E$12 + Performance!$E$23/Constraints!$AC$6 * Constraints!A463</f>
        <v>1.0000194153694704</v>
      </c>
      <c r="M463">
        <f>SIN($AC$9 * PI()/180) + 1/Performance!$AE$5</f>
        <v>0.24073077270730886</v>
      </c>
      <c r="N463">
        <f>SIN($AC$9 * PI()/180) + 1/Performance!$AE$8</f>
        <v>0.22738716112204788</v>
      </c>
      <c r="O463" s="60">
        <f>$AC$16 * (Performance!$E$12/Constraints!A463 + Performance!$E$23 * (Constraints!$AC$13/Constraints!$AC$17)^2 * Constraints!A463)</f>
        <v>2.1083372427701001E-4</v>
      </c>
      <c r="P463" t="e">
        <f t="shared" si="27"/>
        <v>#VALUE!</v>
      </c>
      <c r="Q463">
        <f t="shared" si="28"/>
        <v>92.018366932812398</v>
      </c>
      <c r="R463">
        <f t="shared" si="29"/>
        <v>101.82451815905513</v>
      </c>
      <c r="S463" t="e">
        <f xml:space="preserve"> 1.667/G463 + P463/A463 * Performance!$E$12 + Performance!$E$23 / Constraints!P463 * Constraints!A463</f>
        <v>#VALUE!</v>
      </c>
      <c r="T463">
        <f xml:space="preserve"> 1.667/H463 + Q463/A463 * Performance!$E$12 + Performance!$E$23 / Constraints!Q463 * Constraints!A463</f>
        <v>0.19496008201525186</v>
      </c>
      <c r="U463">
        <f xml:space="preserve"> 1.667/I463 + R463/A463 * Performance!$E$12 + Performance!$E$23 / Constraints!R463 * Constraints!A463</f>
        <v>0.1827935189576339</v>
      </c>
    </row>
    <row r="464" spans="1:21" x14ac:dyDescent="0.3">
      <c r="A464" s="51">
        <v>231</v>
      </c>
      <c r="B464" s="50">
        <f>$V$4*Performance!$E$12*(1/A464)+Performance!$E$23*(1/Constraints!$V$4)*Constraints!A464</f>
        <v>0.13209254550715099</v>
      </c>
      <c r="C464" s="50">
        <f>$V$5*Performance!$E$12*(1/A464)+Performance!$E$23*(1/Constraints!$V$5)*Constraints!A464</f>
        <v>0.19778595630724277</v>
      </c>
      <c r="D464" s="52">
        <f t="shared" si="26"/>
        <v>0.37437099907594573</v>
      </c>
      <c r="E464" s="52">
        <f>$V$4*Performance!$E$12*(1/A464)+Performance!$E$23*(1/Constraints!$V$9)*Constraints!A464</f>
        <v>0.13104931250808169</v>
      </c>
      <c r="F464" s="52">
        <f xml:space="preserve"> 1.21 / (9.81 * Constraints!$N$7 * Performance!$E$15 * Constraints!$N$5 ) * Constraints!A464 + 0.605 /Performance!$E$15 * (Performance!$E$16  - Constraints!$N$6 * Performance!$E$14) + Constraints!$N$6</f>
        <v>0.37424276666098555</v>
      </c>
      <c r="G464" s="54" t="s">
        <v>198</v>
      </c>
      <c r="H464" s="55">
        <f>SQRT(2/$V$3 * A464 * SQRT(Performance!$E$23 / (3 * Performance!$E$12)))</f>
        <v>18.740720088680529</v>
      </c>
      <c r="I464" s="55">
        <f>SQRT(2/$V$3 * A464 * (SQRT(Performance!$E$23)/(SQRT(3*Performance!$E$12 + 4* Performance!$E$23 * Performance!$E$11^2) - SQRT(Performance!$E$23)*Performance!$E$11)))</f>
        <v>19.714020107106759</v>
      </c>
      <c r="J464" t="e">
        <f xml:space="preserve"> $AC$3/G464 + $AC$6/A464 * Performance!$E$12 + Performance!$E$23/Constraints!$AC$6 * Constraints!A464</f>
        <v>#VALUE!</v>
      </c>
      <c r="K464">
        <f xml:space="preserve"> $AC$3/H464 + $AC$6/A464 * Performance!$E$12 + Performance!$E$23/Constraints!$AC$6 * Constraints!A464</f>
        <v>1.0147260246022249</v>
      </c>
      <c r="L464">
        <f xml:space="preserve"> $AC$3/I464 + $AC$6/A464 * Performance!$E$12 + Performance!$E$23/Constraints!$AC$6 * Constraints!A464</f>
        <v>1.0013431633743564</v>
      </c>
      <c r="M464">
        <f>SIN($AC$9 * PI()/180) + 1/Performance!$AE$5</f>
        <v>0.24073077270730886</v>
      </c>
      <c r="N464">
        <f>SIN($AC$9 * PI()/180) + 1/Performance!$AE$8</f>
        <v>0.22738716112204788</v>
      </c>
      <c r="O464" s="60">
        <f>$AC$16 * (Performance!$E$12/Constraints!A464 + Performance!$E$23 * (Constraints!$AC$13/Constraints!$AC$17)^2 * Constraints!A464)</f>
        <v>2.108290557260565E-4</v>
      </c>
      <c r="P464" t="e">
        <f t="shared" si="27"/>
        <v>#VALUE!</v>
      </c>
      <c r="Q464">
        <f t="shared" si="28"/>
        <v>92.217972934835885</v>
      </c>
      <c r="R464">
        <f t="shared" si="29"/>
        <v>102.04539563879277</v>
      </c>
      <c r="S464" t="e">
        <f xml:space="preserve"> 1.667/G464 + P464/A464 * Performance!$E$12 + Performance!$E$23 / Constraints!P464 * Constraints!A464</f>
        <v>#VALUE!</v>
      </c>
      <c r="T464">
        <f xml:space="preserve"> 1.667/H464 + Q464/A464 * Performance!$E$12 + Performance!$E$23 / Constraints!Q464 * Constraints!A464</f>
        <v>0.19486365847376153</v>
      </c>
      <c r="U464">
        <f xml:space="preserve"> 1.667/I464 + R464/A464 * Performance!$E$12 + Performance!$E$23 / Constraints!R464 * Constraints!A464</f>
        <v>0.18270185593856367</v>
      </c>
    </row>
    <row r="465" spans="1:21" x14ac:dyDescent="0.3">
      <c r="A465" s="51">
        <v>231.5</v>
      </c>
      <c r="B465" s="50">
        <f>$V$4*Performance!$E$12*(1/A465)+Performance!$E$23*(1/Constraints!$V$4)*Constraints!A465</f>
        <v>0.13184681963185765</v>
      </c>
      <c r="C465" s="50">
        <f>$V$5*Performance!$E$12*(1/A465)+Performance!$E$23*(1/Constraints!$V$5)*Constraints!A465</f>
        <v>0.19738412111493159</v>
      </c>
      <c r="D465" s="52">
        <f t="shared" si="26"/>
        <v>0.37464328478823133</v>
      </c>
      <c r="E465" s="52">
        <f>$V$4*Performance!$E$12*(1/A465)+Performance!$E$23*(1/Constraints!$V$9)*Constraints!A465</f>
        <v>0.13080132855270377</v>
      </c>
      <c r="F465" s="52">
        <f xml:space="preserve"> 1.21 / (9.81 * Constraints!$N$7 * Performance!$E$15 * Constraints!$N$5 ) * Constraints!A465 + 0.605 /Performance!$E$15 * (Performance!$E$16  - Constraints!$N$6 * Performance!$E$14) + Constraints!$N$6</f>
        <v>0.37451477481393147</v>
      </c>
      <c r="G465" s="54" t="s">
        <v>198</v>
      </c>
      <c r="H465" s="55">
        <f>SQRT(2/$V$3 * A465 * SQRT(Performance!$E$23 / (3 * Performance!$E$12)))</f>
        <v>18.760991289943249</v>
      </c>
      <c r="I465" s="55">
        <f>SQRT(2/$V$3 * A465 * (SQRT(Performance!$E$23)/(SQRT(3*Performance!$E$12 + 4* Performance!$E$23 * Performance!$E$11^2) - SQRT(Performance!$E$23)*Performance!$E$11)))</f>
        <v>19.73534409398653</v>
      </c>
      <c r="J465" t="e">
        <f xml:space="preserve"> $AC$3/G465 + $AC$6/A465 * Performance!$E$12 + Performance!$E$23/Constraints!$AC$6 * Constraints!A465</f>
        <v>#VALUE!</v>
      </c>
      <c r="K465">
        <f xml:space="preserve"> $AC$3/H465 + $AC$6/A465 * Performance!$E$12 + Performance!$E$23/Constraints!$AC$6 * Constraints!A465</f>
        <v>1.016036232121337</v>
      </c>
      <c r="L465">
        <f xml:space="preserve"> $AC$3/I465 + $AC$6/A465 * Performance!$E$12 + Performance!$E$23/Constraints!$AC$6 * Constraints!A465</f>
        <v>1.0026678310394825</v>
      </c>
      <c r="M465">
        <f>SIN($AC$9 * PI()/180) + 1/Performance!$AE$5</f>
        <v>0.24073077270730886</v>
      </c>
      <c r="N465">
        <f>SIN($AC$9 * PI()/180) + 1/Performance!$AE$8</f>
        <v>0.22738716112204788</v>
      </c>
      <c r="O465" s="60">
        <f>$AC$16 * (Performance!$E$12/Constraints!A465 + Performance!$E$23 * (Constraints!$AC$13/Constraints!$AC$17)^2 * Constraints!A465)</f>
        <v>2.1082538395256718E-4</v>
      </c>
      <c r="P465" t="e">
        <f t="shared" si="27"/>
        <v>#VALUE!</v>
      </c>
      <c r="Q465">
        <f t="shared" si="28"/>
        <v>92.417578936859329</v>
      </c>
      <c r="R465">
        <f t="shared" si="29"/>
        <v>102.26627311853044</v>
      </c>
      <c r="S465" t="e">
        <f xml:space="preserve"> 1.667/G465 + P465/A465 * Performance!$E$12 + Performance!$E$23 / Constraints!P465 * Constraints!A465</f>
        <v>#VALUE!</v>
      </c>
      <c r="T465">
        <f xml:space="preserve"> 1.667/H465 + Q465/A465 * Performance!$E$12 + Performance!$E$23 / Constraints!Q465 * Constraints!A465</f>
        <v>0.19476754748847372</v>
      </c>
      <c r="U465">
        <f xml:space="preserve"> 1.667/I465 + R465/A465 * Performance!$E$12 + Performance!$E$23 / Constraints!R465 * Constraints!A465</f>
        <v>0.18261049004449739</v>
      </c>
    </row>
    <row r="466" spans="1:21" x14ac:dyDescent="0.3">
      <c r="A466" s="51">
        <v>232</v>
      </c>
      <c r="B466" s="50">
        <f>$V$4*Performance!$E$12*(1/A466)+Performance!$E$23*(1/Constraints!$V$4)*Constraints!A466</f>
        <v>0.13160223829477441</v>
      </c>
      <c r="C466" s="50">
        <f>$V$5*Performance!$E$12*(1/A466)+Performance!$E$23*(1/Constraints!$V$5)*Constraints!A466</f>
        <v>0.19698407265987647</v>
      </c>
      <c r="D466" s="52">
        <f t="shared" si="26"/>
        <v>0.37491557050051694</v>
      </c>
      <c r="E466" s="52">
        <f>$V$4*Performance!$E$12*(1/A466)+Performance!$E$23*(1/Constraints!$V$9)*Constraints!A466</f>
        <v>0.13055448913553594</v>
      </c>
      <c r="F466" s="52">
        <f xml:space="preserve"> 1.21 / (9.81 * Constraints!$N$7 * Performance!$E$15 * Constraints!$N$5 ) * Constraints!A466 + 0.605 /Performance!$E$15 * (Performance!$E$16  - Constraints!$N$6 * Performance!$E$14) + Constraints!$N$6</f>
        <v>0.37478678296687729</v>
      </c>
      <c r="G466" s="54" t="s">
        <v>198</v>
      </c>
      <c r="H466" s="55">
        <f>SQRT(2/$V$3 * A466 * SQRT(Performance!$E$23 / (3 * Performance!$E$12)))</f>
        <v>18.781240611854667</v>
      </c>
      <c r="I466" s="55">
        <f>SQRT(2/$V$3 * A466 * (SQRT(Performance!$E$23)/(SQRT(3*Performance!$E$12 + 4* Performance!$E$23 * Performance!$E$11^2) - SQRT(Performance!$E$23)*Performance!$E$11)))</f>
        <v>19.756645065210044</v>
      </c>
      <c r="J466" t="e">
        <f xml:space="preserve"> $AC$3/G466 + $AC$6/A466 * Performance!$E$12 + Performance!$E$23/Constraints!$AC$6 * Constraints!A466</f>
        <v>#VALUE!</v>
      </c>
      <c r="K466">
        <f xml:space="preserve"> $AC$3/H466 + $AC$6/A466 * Performance!$E$12 + Performance!$E$23/Constraints!$AC$6 * Constraints!A466</f>
        <v>1.0173474010990682</v>
      </c>
      <c r="L466">
        <f xml:space="preserve"> $AC$3/I466 + $AC$6/A466 * Performance!$E$12 + Performance!$E$23/Constraints!$AC$6 * Constraints!A466</f>
        <v>1.0039934133918433</v>
      </c>
      <c r="M466">
        <f>SIN($AC$9 * PI()/180) + 1/Performance!$AE$5</f>
        <v>0.24073077270730886</v>
      </c>
      <c r="N466">
        <f>SIN($AC$9 * PI()/180) + 1/Performance!$AE$8</f>
        <v>0.22738716112204788</v>
      </c>
      <c r="O466" s="60">
        <f>$AC$16 * (Performance!$E$12/Constraints!A466 + Performance!$E$23 * (Constraints!$AC$13/Constraints!$AC$17)^2 * Constraints!A466)</f>
        <v>2.1082270251186015E-4</v>
      </c>
      <c r="P466" t="e">
        <f t="shared" si="27"/>
        <v>#VALUE!</v>
      </c>
      <c r="Q466">
        <f t="shared" si="28"/>
        <v>92.617184938882801</v>
      </c>
      <c r="R466">
        <f t="shared" si="29"/>
        <v>102.48715059826807</v>
      </c>
      <c r="S466" t="e">
        <f xml:space="preserve"> 1.667/G466 + P466/A466 * Performance!$E$12 + Performance!$E$23 / Constraints!P466 * Constraints!A466</f>
        <v>#VALUE!</v>
      </c>
      <c r="T466">
        <f xml:space="preserve"> 1.667/H466 + Q466/A466 * Performance!$E$12 + Performance!$E$23 / Constraints!Q466 * Constraints!A466</f>
        <v>0.19467174737444815</v>
      </c>
      <c r="U466">
        <f xml:space="preserve"> 1.667/I466 + R466/A466 * Performance!$E$12 + Performance!$E$23 / Constraints!R466 * Constraints!A466</f>
        <v>0.18251941967368202</v>
      </c>
    </row>
    <row r="467" spans="1:21" x14ac:dyDescent="0.3">
      <c r="A467" s="51">
        <v>232.5</v>
      </c>
      <c r="B467" s="50">
        <f>$V$4*Performance!$E$12*(1/A467)+Performance!$E$23*(1/Constraints!$V$4)*Constraints!A467</f>
        <v>0.13135879411178378</v>
      </c>
      <c r="C467" s="50">
        <f>$V$5*Performance!$E$12*(1/A467)+Performance!$E$23*(1/Constraints!$V$5)*Constraints!A467</f>
        <v>0.1965857994147403</v>
      </c>
      <c r="D467" s="52">
        <f t="shared" si="26"/>
        <v>0.37518785621280254</v>
      </c>
      <c r="E467" s="52">
        <f>$V$4*Performance!$E$12*(1/A467)+Performance!$E$23*(1/Constraints!$V$9)*Constraints!A467</f>
        <v>0.13030878687246078</v>
      </c>
      <c r="F467" s="52">
        <f xml:space="preserve"> 1.21 / (9.81 * Constraints!$N$7 * Performance!$E$15 * Constraints!$N$5 ) * Constraints!A467 + 0.605 /Performance!$E$15 * (Performance!$E$16  - Constraints!$N$6 * Performance!$E$14) + Constraints!$N$6</f>
        <v>0.37505879111982315</v>
      </c>
      <c r="G467" s="54" t="s">
        <v>198</v>
      </c>
      <c r="H467" s="55">
        <f>SQRT(2/$V$3 * A467 * SQRT(Performance!$E$23 / (3 * Performance!$E$12)))</f>
        <v>18.801468125107455</v>
      </c>
      <c r="I467" s="55">
        <f>SQRT(2/$V$3 * A467 * (SQRT(Performance!$E$23)/(SQRT(3*Performance!$E$12 + 4* Performance!$E$23 * Performance!$E$11^2) - SQRT(Performance!$E$23)*Performance!$E$11)))</f>
        <v>19.777923095141407</v>
      </c>
      <c r="J467" t="e">
        <f xml:space="preserve"> $AC$3/G467 + $AC$6/A467 * Performance!$E$12 + Performance!$E$23/Constraints!$AC$6 * Constraints!A467</f>
        <v>#VALUE!</v>
      </c>
      <c r="K467">
        <f xml:space="preserve"> $AC$3/H467 + $AC$6/A467 * Performance!$E$12 + Performance!$E$23/Constraints!$AC$6 * Constraints!A467</f>
        <v>1.018659526348368</v>
      </c>
      <c r="L467">
        <f xml:space="preserve"> $AC$3/I467 + $AC$6/A467 * Performance!$E$12 + Performance!$E$23/Constraints!$AC$6 * Constraints!A467</f>
        <v>1.0053199054959827</v>
      </c>
      <c r="M467">
        <f>SIN($AC$9 * PI()/180) + 1/Performance!$AE$5</f>
        <v>0.24073077270730886</v>
      </c>
      <c r="N467">
        <f>SIN($AC$9 * PI()/180) + 1/Performance!$AE$8</f>
        <v>0.22738716112204788</v>
      </c>
      <c r="O467" s="60">
        <f>$AC$16 * (Performance!$E$12/Constraints!A467 + Performance!$E$23 * (Constraints!$AC$13/Constraints!$AC$17)^2 * Constraints!A467)</f>
        <v>2.108210050146916E-4</v>
      </c>
      <c r="P467" t="e">
        <f t="shared" si="27"/>
        <v>#VALUE!</v>
      </c>
      <c r="Q467">
        <f t="shared" si="28"/>
        <v>92.816790940906259</v>
      </c>
      <c r="R467">
        <f t="shared" si="29"/>
        <v>102.70802807800573</v>
      </c>
      <c r="S467" t="e">
        <f xml:space="preserve"> 1.667/G467 + P467/A467 * Performance!$E$12 + Performance!$E$23 / Constraints!P467 * Constraints!A467</f>
        <v>#VALUE!</v>
      </c>
      <c r="T467">
        <f xml:space="preserve"> 1.667/H467 + Q467/A467 * Performance!$E$12 + Performance!$E$23 / Constraints!Q467 * Constraints!A467</f>
        <v>0.1945762564594338</v>
      </c>
      <c r="U467">
        <f xml:space="preserve"> 1.667/I467 + R467/A467 * Performance!$E$12 + Performance!$E$23 / Constraints!R467 * Constraints!A467</f>
        <v>0.18242864323642705</v>
      </c>
    </row>
    <row r="468" spans="1:21" x14ac:dyDescent="0.3">
      <c r="A468" s="51">
        <v>233</v>
      </c>
      <c r="B468" s="50">
        <f>$V$4*Performance!$E$12*(1/A468)+Performance!$E$23*(1/Constraints!$V$4)*Constraints!A468</f>
        <v>0.13111647976215132</v>
      </c>
      <c r="C468" s="50">
        <f>$V$5*Performance!$E$12*(1/A468)+Performance!$E$23*(1/Constraints!$V$5)*Constraints!A468</f>
        <v>0.19618928995113305</v>
      </c>
      <c r="D468" s="52">
        <f t="shared" si="26"/>
        <v>0.37546014192508814</v>
      </c>
      <c r="E468" s="52">
        <f>$V$4*Performance!$E$12*(1/A468)+Performance!$E$23*(1/Constraints!$V$9)*Constraints!A468</f>
        <v>0.13006421444274374</v>
      </c>
      <c r="F468" s="52">
        <f xml:space="preserve"> 1.21 / (9.81 * Constraints!$N$7 * Performance!$E$15 * Constraints!$N$5 ) * Constraints!A468 + 0.605 /Performance!$E$15 * (Performance!$E$16  - Constraints!$N$6 * Performance!$E$14) + Constraints!$N$6</f>
        <v>0.37533079927276902</v>
      </c>
      <c r="G468" s="54" t="s">
        <v>198</v>
      </c>
      <c r="H468" s="55">
        <f>SQRT(2/$V$3 * A468 * SQRT(Performance!$E$23 / (3 * Performance!$E$12)))</f>
        <v>18.821673900014421</v>
      </c>
      <c r="I468" s="55">
        <f>SQRT(2/$V$3 * A468 * (SQRT(Performance!$E$23)/(SQRT(3*Performance!$E$12 + 4* Performance!$E$23 * Performance!$E$11^2) - SQRT(Performance!$E$23)*Performance!$E$11)))</f>
        <v>19.799178257745123</v>
      </c>
      <c r="J468" t="e">
        <f xml:space="preserve"> $AC$3/G468 + $AC$6/A468 * Performance!$E$12 + Performance!$E$23/Constraints!$AC$6 * Constraints!A468</f>
        <v>#VALUE!</v>
      </c>
      <c r="K468">
        <f xml:space="preserve"> $AC$3/H468 + $AC$6/A468 * Performance!$E$12 + Performance!$E$23/Constraints!$AC$6 * Constraints!A468</f>
        <v>1.019972602721263</v>
      </c>
      <c r="L468">
        <f xml:space="preserve"> $AC$3/I468 + $AC$6/A468 * Performance!$E$12 + Performance!$E$23/Constraints!$AC$6 * Constraints!A468</f>
        <v>1.0066473024536311</v>
      </c>
      <c r="M468">
        <f>SIN($AC$9 * PI()/180) + 1/Performance!$AE$5</f>
        <v>0.24073077270730886</v>
      </c>
      <c r="N468">
        <f>SIN($AC$9 * PI()/180) + 1/Performance!$AE$8</f>
        <v>0.22738716112204788</v>
      </c>
      <c r="O468" s="60">
        <f>$AC$16 * (Performance!$E$12/Constraints!A468 + Performance!$E$23 * (Constraints!$AC$13/Constraints!$AC$17)^2 * Constraints!A468)</f>
        <v>2.1082028512666112E-4</v>
      </c>
      <c r="P468" t="e">
        <f t="shared" si="27"/>
        <v>#VALUE!</v>
      </c>
      <c r="Q468">
        <f t="shared" si="28"/>
        <v>93.016396942929688</v>
      </c>
      <c r="R468">
        <f t="shared" si="29"/>
        <v>102.92890555774335</v>
      </c>
      <c r="S468" t="e">
        <f xml:space="preserve"> 1.667/G468 + P468/A468 * Performance!$E$12 + Performance!$E$23 / Constraints!P468 * Constraints!A468</f>
        <v>#VALUE!</v>
      </c>
      <c r="T468">
        <f xml:space="preserve"> 1.667/H468 + Q468/A468 * Performance!$E$12 + Performance!$E$23 / Constraints!Q468 * Constraints!A468</f>
        <v>0.19448107308374618</v>
      </c>
      <c r="U468">
        <f xml:space="preserve"> 1.667/I468 + R468/A468 * Performance!$E$12 + Performance!$E$23 / Constraints!R468 * Constraints!A468</f>
        <v>0.18233815915498824</v>
      </c>
    </row>
    <row r="469" spans="1:21" x14ac:dyDescent="0.3">
      <c r="A469" s="51">
        <v>233.5</v>
      </c>
      <c r="B469" s="50">
        <f>$V$4*Performance!$E$12*(1/A469)+Performance!$E$23*(1/Constraints!$V$4)*Constraints!A469</f>
        <v>0.13087528798784684</v>
      </c>
      <c r="C469" s="50">
        <f>$V$5*Performance!$E$12*(1/A469)+Performance!$E$23*(1/Constraints!$V$5)*Constraints!A469</f>
        <v>0.1957945329385524</v>
      </c>
      <c r="D469" s="52">
        <f t="shared" si="26"/>
        <v>0.37573242763737369</v>
      </c>
      <c r="E469" s="52">
        <f>$V$4*Performance!$E$12*(1/A469)+Performance!$E$23*(1/Constraints!$V$9)*Constraints!A469</f>
        <v>0.1298207645883547</v>
      </c>
      <c r="F469" s="52">
        <f xml:space="preserve"> 1.21 / (9.81 * Constraints!$N$7 * Performance!$E$15 * Constraints!$N$5 ) * Constraints!A469 + 0.605 /Performance!$E$15 * (Performance!$E$16  - Constraints!$N$6 * Performance!$E$14) + Constraints!$N$6</f>
        <v>0.37560280742571484</v>
      </c>
      <c r="G469" s="54" t="s">
        <v>198</v>
      </c>
      <c r="H469" s="55">
        <f>SQRT(2/$V$3 * A469 * SQRT(Performance!$E$23 / (3 * Performance!$E$12)))</f>
        <v>18.841858006511369</v>
      </c>
      <c r="I469" s="55">
        <f>SQRT(2/$V$3 * A469 * (SQRT(Performance!$E$23)/(SQRT(3*Performance!$E$12 + 4* Performance!$E$23 * Performance!$E$11^2) - SQRT(Performance!$E$23)*Performance!$E$11)))</f>
        <v>19.820410626589116</v>
      </c>
      <c r="J469" t="e">
        <f xml:space="preserve"> $AC$3/G469 + $AC$6/A469 * Performance!$E$12 + Performance!$E$23/Constraints!$AC$6 * Constraints!A469</f>
        <v>#VALUE!</v>
      </c>
      <c r="K469">
        <f xml:space="preserve"> $AC$3/H469 + $AC$6/A469 * Performance!$E$12 + Performance!$E$23/Constraints!$AC$6 * Constraints!A469</f>
        <v>1.0212866251084787</v>
      </c>
      <c r="L469">
        <f xml:space="preserve"> $AC$3/I469 + $AC$6/A469 * Performance!$E$12 + Performance!$E$23/Constraints!$AC$6 * Constraints!A469</f>
        <v>1.0079755994033457</v>
      </c>
      <c r="M469">
        <f>SIN($AC$9 * PI()/180) + 1/Performance!$AE$5</f>
        <v>0.24073077270730886</v>
      </c>
      <c r="N469">
        <f>SIN($AC$9 * PI()/180) + 1/Performance!$AE$8</f>
        <v>0.22738716112204788</v>
      </c>
      <c r="O469" s="60">
        <f>$AC$16 * (Performance!$E$12/Constraints!A469 + Performance!$E$23 * (Constraints!$AC$13/Constraints!$AC$17)^2 * Constraints!A469)</f>
        <v>2.1082053656762444E-4</v>
      </c>
      <c r="P469" t="e">
        <f t="shared" si="27"/>
        <v>#VALUE!</v>
      </c>
      <c r="Q469">
        <f t="shared" si="28"/>
        <v>93.216002944953146</v>
      </c>
      <c r="R469">
        <f t="shared" si="29"/>
        <v>103.14978303748103</v>
      </c>
      <c r="S469" t="e">
        <f xml:space="preserve"> 1.667/G469 + P469/A469 * Performance!$E$12 + Performance!$E$23 / Constraints!P469 * Constraints!A469</f>
        <v>#VALUE!</v>
      </c>
      <c r="T469">
        <f xml:space="preserve"> 1.667/H469 + Q469/A469 * Performance!$E$12 + Performance!$E$23 / Constraints!Q469 * Constraints!A469</f>
        <v>0.19438619560014617</v>
      </c>
      <c r="U469">
        <f xml:space="preserve"> 1.667/I469 + R469/A469 * Performance!$E$12 + Performance!$E$23 / Constraints!R469 * Constraints!A469</f>
        <v>0.18224796586345224</v>
      </c>
    </row>
    <row r="470" spans="1:21" x14ac:dyDescent="0.3">
      <c r="A470" s="51">
        <v>234</v>
      </c>
      <c r="B470" s="50">
        <f>$V$4*Performance!$E$12*(1/A470)+Performance!$E$23*(1/Constraints!$V$4)*Constraints!A470</f>
        <v>0.13063521159287469</v>
      </c>
      <c r="C470" s="50">
        <f>$V$5*Performance!$E$12*(1/A470)+Performance!$E$23*(1/Constraints!$V$5)*Constraints!A470</f>
        <v>0.19540151714333789</v>
      </c>
      <c r="D470" s="52">
        <f t="shared" si="26"/>
        <v>0.37600471334965935</v>
      </c>
      <c r="E470" s="52">
        <f>$V$4*Performance!$E$12*(1/A470)+Performance!$E$23*(1/Constraints!$V$9)*Constraints!A470</f>
        <v>0.129578430113298</v>
      </c>
      <c r="F470" s="52">
        <f xml:space="preserve"> 1.21 / (9.81 * Constraints!$N$7 * Performance!$E$15 * Constraints!$N$5 ) * Constraints!A470 + 0.605 /Performance!$E$15 * (Performance!$E$16  - Constraints!$N$6 * Performance!$E$14) + Constraints!$N$6</f>
        <v>0.3758748155786607</v>
      </c>
      <c r="G470" s="54" t="s">
        <v>198</v>
      </c>
      <c r="H470" s="55">
        <f>SQRT(2/$V$3 * A470 * SQRT(Performance!$E$23 / (3 * Performance!$E$12)))</f>
        <v>18.862020514159909</v>
      </c>
      <c r="I470" s="55">
        <f>SQRT(2/$V$3 * A470 * (SQRT(Performance!$E$23)/(SQRT(3*Performance!$E$12 + 4* Performance!$E$23 * Performance!$E$11^2) - SQRT(Performance!$E$23)*Performance!$E$11)))</f>
        <v>19.841620274847671</v>
      </c>
      <c r="J470" t="e">
        <f xml:space="preserve"> $AC$3/G470 + $AC$6/A470 * Performance!$E$12 + Performance!$E$23/Constraints!$AC$6 * Constraints!A470</f>
        <v>#VALUE!</v>
      </c>
      <c r="K470">
        <f xml:space="preserve"> $AC$3/H470 + $AC$6/A470 * Performance!$E$12 + Performance!$E$23/Constraints!$AC$6 * Constraints!A470</f>
        <v>1.0226015884390673</v>
      </c>
      <c r="L470">
        <f xml:space="preserve"> $AC$3/I470 + $AC$6/A470 * Performance!$E$12 + Performance!$E$23/Constraints!$AC$6 * Constraints!A470</f>
        <v>1.0093047915201552</v>
      </c>
      <c r="M470">
        <f>SIN($AC$9 * PI()/180) + 1/Performance!$AE$5</f>
        <v>0.24073077270730886</v>
      </c>
      <c r="N470">
        <f>SIN($AC$9 * PI()/180) + 1/Performance!$AE$8</f>
        <v>0.22738716112204788</v>
      </c>
      <c r="O470" s="60">
        <f>$AC$16 * (Performance!$E$12/Constraints!A470 + Performance!$E$23 * (Constraints!$AC$13/Constraints!$AC$17)^2 * Constraints!A470)</f>
        <v>2.1082175311111346E-4</v>
      </c>
      <c r="P470" t="e">
        <f t="shared" si="27"/>
        <v>#VALUE!</v>
      </c>
      <c r="Q470">
        <f t="shared" si="28"/>
        <v>93.415608946976604</v>
      </c>
      <c r="R470">
        <f t="shared" si="29"/>
        <v>103.37066051721867</v>
      </c>
      <c r="S470" t="e">
        <f xml:space="preserve"> 1.667/G470 + P470/A470 * Performance!$E$12 + Performance!$E$23 / Constraints!P470 * Constraints!A470</f>
        <v>#VALUE!</v>
      </c>
      <c r="T470">
        <f xml:space="preserve"> 1.667/H470 + Q470/A470 * Performance!$E$12 + Performance!$E$23 / Constraints!Q470 * Constraints!A470</f>
        <v>0.19429162237372044</v>
      </c>
      <c r="U470">
        <f xml:space="preserve"> 1.667/I470 + R470/A470 * Performance!$E$12 + Performance!$E$23 / Constraints!R470 * Constraints!A470</f>
        <v>0.18215806180762301</v>
      </c>
    </row>
    <row r="471" spans="1:21" x14ac:dyDescent="0.3">
      <c r="A471" s="51">
        <v>234.5</v>
      </c>
      <c r="B471" s="50">
        <f>$V$4*Performance!$E$12*(1/A471)+Performance!$E$23*(1/Constraints!$V$4)*Constraints!A471</f>
        <v>0.13039624344261225</v>
      </c>
      <c r="C471" s="50">
        <f>$V$5*Performance!$E$12*(1/A471)+Performance!$E$23*(1/Constraints!$V$5)*Constraints!A471</f>
        <v>0.19501023142763854</v>
      </c>
      <c r="D471" s="52">
        <f t="shared" ref="D471:D534" si="30">1.21/(9.8*$N$7*$N$8*$N$5)*A471+0.605/$N$8*($N$11-$N$6*$N$10)+$N$6</f>
        <v>0.37627699906194489</v>
      </c>
      <c r="E471" s="52">
        <f>$V$4*Performance!$E$12*(1/A471)+Performance!$E$23*(1/Constraints!$V$9)*Constraints!A471</f>
        <v>0.12933720388295095</v>
      </c>
      <c r="F471" s="52">
        <f xml:space="preserve"> 1.21 / (9.81 * Constraints!$N$7 * Performance!$E$15 * Constraints!$N$5 ) * Constraints!A471 + 0.605 /Performance!$E$15 * (Performance!$E$16  - Constraints!$N$6 * Performance!$E$14) + Constraints!$N$6</f>
        <v>0.37614682373160657</v>
      </c>
      <c r="G471" s="54" t="s">
        <v>198</v>
      </c>
      <c r="H471" s="55">
        <f>SQRT(2/$V$3 * A471 * SQRT(Performance!$E$23 / (3 * Performance!$E$12)))</f>
        <v>18.882161492150249</v>
      </c>
      <c r="I471" s="55">
        <f>SQRT(2/$V$3 * A471 * (SQRT(Performance!$E$23)/(SQRT(3*Performance!$E$12 + 4* Performance!$E$23 * Performance!$E$11^2) - SQRT(Performance!$E$23)*Performance!$E$11)))</f>
        <v>19.862807275304402</v>
      </c>
      <c r="J471" t="e">
        <f xml:space="preserve"> $AC$3/G471 + $AC$6/A471 * Performance!$E$12 + Performance!$E$23/Constraints!$AC$6 * Constraints!A471</f>
        <v>#VALUE!</v>
      </c>
      <c r="K471">
        <f xml:space="preserve"> $AC$3/H471 + $AC$6/A471 * Performance!$E$12 + Performance!$E$23/Constraints!$AC$6 * Constraints!A471</f>
        <v>1.0239174876800379</v>
      </c>
      <c r="L471">
        <f xml:space="preserve"> $AC$3/I471 + $AC$6/A471 * Performance!$E$12 + Performance!$E$23/Constraints!$AC$6 * Constraints!A471</f>
        <v>1.0106348740152091</v>
      </c>
      <c r="M471">
        <f>SIN($AC$9 * PI()/180) + 1/Performance!$AE$5</f>
        <v>0.24073077270730886</v>
      </c>
      <c r="N471">
        <f>SIN($AC$9 * PI()/180) + 1/Performance!$AE$8</f>
        <v>0.22738716112204788</v>
      </c>
      <c r="O471" s="60">
        <f>$AC$16 * (Performance!$E$12/Constraints!A471 + Performance!$E$23 * (Constraints!$AC$13/Constraints!$AC$17)^2 * Constraints!A471)</f>
        <v>2.1082392858376461E-4</v>
      </c>
      <c r="P471" t="e">
        <f t="shared" ref="P471:P534" si="31" xml:space="preserve"> 0.5 * $AJ$4 * G471^2</f>
        <v>#VALUE!</v>
      </c>
      <c r="Q471">
        <f t="shared" ref="Q471:Q534" si="32" xml:space="preserve"> 0.5 * $AJ$4 * H471^2</f>
        <v>93.615214949000062</v>
      </c>
      <c r="R471">
        <f t="shared" ref="R471:R534" si="33" xml:space="preserve"> 0.5 * $AJ$4 * I471^2</f>
        <v>103.59153799695629</v>
      </c>
      <c r="S471" t="e">
        <f xml:space="preserve"> 1.667/G471 + P471/A471 * Performance!$E$12 + Performance!$E$23 / Constraints!P471 * Constraints!A471</f>
        <v>#VALUE!</v>
      </c>
      <c r="T471">
        <f xml:space="preserve"> 1.667/H471 + Q471/A471 * Performance!$E$12 + Performance!$E$23 / Constraints!Q471 * Constraints!A471</f>
        <v>0.19419735178176298</v>
      </c>
      <c r="U471">
        <f xml:space="preserve"> 1.667/I471 + R471/A471 * Performance!$E$12 + Performance!$E$23 / Constraints!R471 * Constraints!A471</f>
        <v>0.18206844544490908</v>
      </c>
    </row>
    <row r="472" spans="1:21" x14ac:dyDescent="0.3">
      <c r="A472" s="51">
        <v>235</v>
      </c>
      <c r="B472" s="50">
        <f>$V$4*Performance!$E$12*(1/A472)+Performance!$E$23*(1/Constraints!$V$4)*Constraints!A472</f>
        <v>0.13015837646315709</v>
      </c>
      <c r="C472" s="50">
        <f>$V$5*Performance!$E$12*(1/A472)+Performance!$E$23*(1/Constraints!$V$5)*Constraints!A472</f>
        <v>0.19462066474839371</v>
      </c>
      <c r="D472" s="52">
        <f t="shared" si="30"/>
        <v>0.37654928477423055</v>
      </c>
      <c r="E472" s="52">
        <f>$V$4*Performance!$E$12*(1/A472)+Performance!$E$23*(1/Constraints!$V$9)*Constraints!A472</f>
        <v>0.12909707882341126</v>
      </c>
      <c r="F472" s="52">
        <f xml:space="preserve"> 1.21 / (9.81 * Constraints!$N$7 * Performance!$E$15 * Constraints!$N$5 ) * Constraints!A472 + 0.605 /Performance!$E$15 * (Performance!$E$16  - Constraints!$N$6 * Performance!$E$14) + Constraints!$N$6</f>
        <v>0.37641883188455239</v>
      </c>
      <c r="G472" s="54" t="s">
        <v>198</v>
      </c>
      <c r="H472" s="55">
        <f>SQRT(2/$V$3 * A472 * SQRT(Performance!$E$23 / (3 * Performance!$E$12)))</f>
        <v>18.902281009303991</v>
      </c>
      <c r="I472" s="55">
        <f>SQRT(2/$V$3 * A472 * (SQRT(Performance!$E$23)/(SQRT(3*Performance!$E$12 + 4* Performance!$E$23 * Performance!$E$11^2) - SQRT(Performance!$E$23)*Performance!$E$11)))</f>
        <v>19.883971700355161</v>
      </c>
      <c r="J472" t="e">
        <f xml:space="preserve"> $AC$3/G472 + $AC$6/A472 * Performance!$E$12 + Performance!$E$23/Constraints!$AC$6 * Constraints!A472</f>
        <v>#VALUE!</v>
      </c>
      <c r="K472">
        <f xml:space="preserve"> $AC$3/H472 + $AC$6/A472 * Performance!$E$12 + Performance!$E$23/Constraints!$AC$6 * Constraints!A472</f>
        <v>1.0252343178359922</v>
      </c>
      <c r="L472">
        <f xml:space="preserve"> $AC$3/I472 + $AC$6/A472 * Performance!$E$12 + Performance!$E$23/Constraints!$AC$6 * Constraints!A472</f>
        <v>1.0119658421354305</v>
      </c>
      <c r="M472">
        <f>SIN($AC$9 * PI()/180) + 1/Performance!$AE$5</f>
        <v>0.24073077270730886</v>
      </c>
      <c r="N472">
        <f>SIN($AC$9 * PI()/180) + 1/Performance!$AE$8</f>
        <v>0.22738716112204788</v>
      </c>
      <c r="O472" s="60">
        <f>$AC$16 * (Performance!$E$12/Constraints!A472 + Performance!$E$23 * (Constraints!$AC$13/Constraints!$AC$17)^2 * Constraints!A472)</f>
        <v>2.108270568647534E-4</v>
      </c>
      <c r="P472" t="e">
        <f t="shared" si="31"/>
        <v>#VALUE!</v>
      </c>
      <c r="Q472">
        <f t="shared" si="32"/>
        <v>93.81482095102352</v>
      </c>
      <c r="R472">
        <f t="shared" si="33"/>
        <v>103.81241547669396</v>
      </c>
      <c r="S472" t="e">
        <f xml:space="preserve"> 1.667/G472 + P472/A472 * Performance!$E$12 + Performance!$E$23 / Constraints!P472 * Constraints!A472</f>
        <v>#VALUE!</v>
      </c>
      <c r="T472">
        <f xml:space="preserve"> 1.667/H472 + Q472/A472 * Performance!$E$12 + Performance!$E$23 / Constraints!Q472 * Constraints!A472</f>
        <v>0.19410338221365819</v>
      </c>
      <c r="U472">
        <f xml:space="preserve"> 1.667/I472 + R472/A472 * Performance!$E$12 + Performance!$E$23 / Constraints!R472 * Constraints!A472</f>
        <v>0.18197911524421237</v>
      </c>
    </row>
    <row r="473" spans="1:21" x14ac:dyDescent="0.3">
      <c r="A473" s="51">
        <v>235.5</v>
      </c>
      <c r="B473" s="50">
        <f>$V$4*Performance!$E$12*(1/A473)+Performance!$E$23*(1/Constraints!$V$4)*Constraints!A473</f>
        <v>0.12992160364068248</v>
      </c>
      <c r="C473" s="50">
        <f>$V$5*Performance!$E$12*(1/A473)+Performance!$E$23*(1/Constraints!$V$5)*Constraints!A473</f>
        <v>0.19423280615632652</v>
      </c>
      <c r="D473" s="52">
        <f t="shared" si="30"/>
        <v>0.3768215704865161</v>
      </c>
      <c r="E473" s="52">
        <f>$V$4*Performance!$E$12*(1/A473)+Performance!$E$23*(1/Constraints!$V$9)*Constraints!A473</f>
        <v>0.12885804792085206</v>
      </c>
      <c r="F473" s="52">
        <f xml:space="preserve"> 1.21 / (9.81 * Constraints!$N$7 * Performance!$E$15 * Constraints!$N$5 ) * Constraints!A473 + 0.605 /Performance!$E$15 * (Performance!$E$16  - Constraints!$N$6 * Performance!$E$14) + Constraints!$N$6</f>
        <v>0.37669084003749831</v>
      </c>
      <c r="G473" s="54" t="s">
        <v>198</v>
      </c>
      <c r="H473" s="55">
        <f>SQRT(2/$V$3 * A473 * SQRT(Performance!$E$23 / (3 * Performance!$E$12)))</f>
        <v>18.922379134076845</v>
      </c>
      <c r="I473" s="55">
        <f>SQRT(2/$V$3 * A473 * (SQRT(Performance!$E$23)/(SQRT(3*Performance!$E$12 + 4* Performance!$E$23 * Performance!$E$11^2) - SQRT(Performance!$E$23)*Performance!$E$11)))</f>
        <v>19.905113622010912</v>
      </c>
      <c r="J473" t="e">
        <f xml:space="preserve"> $AC$3/G473 + $AC$6/A473 * Performance!$E$12 + Performance!$E$23/Constraints!$AC$6 * Constraints!A473</f>
        <v>#VALUE!</v>
      </c>
      <c r="K473">
        <f xml:space="preserve"> $AC$3/H473 + $AC$6/A473 * Performance!$E$12 + Performance!$E$23/Constraints!$AC$6 * Constraints!A473</f>
        <v>1.0265520739487655</v>
      </c>
      <c r="L473">
        <f xml:space="preserve"> $AC$3/I473 + $AC$6/A473 * Performance!$E$12 + Performance!$E$23/Constraints!$AC$6 * Constraints!A473</f>
        <v>1.0132976911631741</v>
      </c>
      <c r="M473">
        <f>SIN($AC$9 * PI()/180) + 1/Performance!$AE$5</f>
        <v>0.24073077270730886</v>
      </c>
      <c r="N473">
        <f>SIN($AC$9 * PI()/180) + 1/Performance!$AE$8</f>
        <v>0.22738716112204788</v>
      </c>
      <c r="O473" s="60">
        <f>$AC$16 * (Performance!$E$12/Constraints!A473 + Performance!$E$23 * (Constraints!$AC$13/Constraints!$AC$17)^2 * Constraints!A473)</f>
        <v>2.1083113188523694E-4</v>
      </c>
      <c r="P473" t="e">
        <f t="shared" si="31"/>
        <v>#VALUE!</v>
      </c>
      <c r="Q473">
        <f t="shared" si="32"/>
        <v>94.014426953046964</v>
      </c>
      <c r="R473">
        <f t="shared" si="33"/>
        <v>104.03329295643161</v>
      </c>
      <c r="S473" t="e">
        <f xml:space="preserve"> 1.667/G473 + P473/A473 * Performance!$E$12 + Performance!$E$23 / Constraints!P473 * Constraints!A473</f>
        <v>#VALUE!</v>
      </c>
      <c r="T473">
        <f xml:space="preserve"> 1.667/H473 + Q473/A473 * Performance!$E$12 + Performance!$E$23 / Constraints!Q473 * Constraints!A473</f>
        <v>0.19400971207076534</v>
      </c>
      <c r="U473">
        <f xml:space="preserve"> 1.667/I473 + R473/A473 * Performance!$E$12 + Performance!$E$23 / Constraints!R473 * Constraints!A473</f>
        <v>0.18189006968581869</v>
      </c>
    </row>
    <row r="474" spans="1:21" x14ac:dyDescent="0.3">
      <c r="A474" s="51">
        <v>236</v>
      </c>
      <c r="B474" s="50">
        <f>$V$4*Performance!$E$12*(1/A474)+Performance!$E$23*(1/Constraints!$V$4)*Constraints!A474</f>
        <v>0.12968591802080076</v>
      </c>
      <c r="C474" s="50">
        <f>$V$5*Performance!$E$12*(1/A474)+Performance!$E$23*(1/Constraints!$V$5)*Constraints!A474</f>
        <v>0.19384664479495076</v>
      </c>
      <c r="D474" s="52">
        <f t="shared" si="30"/>
        <v>0.3770938561988017</v>
      </c>
      <c r="E474" s="52">
        <f>$V$4*Performance!$E$12*(1/A474)+Performance!$E$23*(1/Constraints!$V$9)*Constraints!A474</f>
        <v>0.12862010422088579</v>
      </c>
      <c r="F474" s="52">
        <f xml:space="preserve"> 1.21 / (9.81 * Constraints!$N$7 * Performance!$E$15 * Constraints!$N$5 ) * Constraints!A474 + 0.605 /Performance!$E$15 * (Performance!$E$16  - Constraints!$N$6 * Performance!$E$14) + Constraints!$N$6</f>
        <v>0.37696284819044412</v>
      </c>
      <c r="G474" s="54" t="s">
        <v>198</v>
      </c>
      <c r="H474" s="55">
        <f>SQRT(2/$V$3 * A474 * SQRT(Performance!$E$23 / (3 * Performance!$E$12)))</f>
        <v>18.942455934561369</v>
      </c>
      <c r="I474" s="55">
        <f>SQRT(2/$V$3 * A474 * (SQRT(Performance!$E$23)/(SQRT(3*Performance!$E$12 + 4* Performance!$E$23 * Performance!$E$11^2) - SQRT(Performance!$E$23)*Performance!$E$11)))</f>
        <v>19.926233111900597</v>
      </c>
      <c r="J474" t="e">
        <f xml:space="preserve"> $AC$3/G474 + $AC$6/A474 * Performance!$E$12 + Performance!$E$23/Constraints!$AC$6 * Constraints!A474</f>
        <v>#VALUE!</v>
      </c>
      <c r="K474">
        <f xml:space="preserve"> $AC$3/H474 + $AC$6/A474 * Performance!$E$12 + Performance!$E$23/Constraints!$AC$6 * Constraints!A474</f>
        <v>1.0278707510970695</v>
      </c>
      <c r="L474">
        <f xml:space="preserve"> $AC$3/I474 + $AC$6/A474 * Performance!$E$12 + Performance!$E$23/Constraints!$AC$6 * Constraints!A474</f>
        <v>1.014630416415887</v>
      </c>
      <c r="M474">
        <f>SIN($AC$9 * PI()/180) + 1/Performance!$AE$5</f>
        <v>0.24073077270730886</v>
      </c>
      <c r="N474">
        <f>SIN($AC$9 * PI()/180) + 1/Performance!$AE$8</f>
        <v>0.22738716112204788</v>
      </c>
      <c r="O474" s="60">
        <f>$AC$16 * (Performance!$E$12/Constraints!A474 + Performance!$E$23 * (Constraints!$AC$13/Constraints!$AC$17)^2 * Constraints!A474)</f>
        <v>2.1083614762780321E-4</v>
      </c>
      <c r="P474" t="e">
        <f t="shared" si="31"/>
        <v>#VALUE!</v>
      </c>
      <c r="Q474">
        <f t="shared" si="32"/>
        <v>94.214032955070394</v>
      </c>
      <c r="R474">
        <f t="shared" si="33"/>
        <v>104.25417043616925</v>
      </c>
      <c r="S474" t="e">
        <f xml:space="preserve"> 1.667/G474 + P474/A474 * Performance!$E$12 + Performance!$E$23 / Constraints!P474 * Constraints!A474</f>
        <v>#VALUE!</v>
      </c>
      <c r="T474">
        <f xml:space="preserve"> 1.667/H474 + Q474/A474 * Performance!$E$12 + Performance!$E$23 / Constraints!Q474 * Constraints!A474</f>
        <v>0.19391633976630435</v>
      </c>
      <c r="U474">
        <f xml:space="preserve"> 1.667/I474 + R474/A474 * Performance!$E$12 + Performance!$E$23 / Constraints!R474 * Constraints!A474</f>
        <v>0.18180130726128874</v>
      </c>
    </row>
    <row r="475" spans="1:21" x14ac:dyDescent="0.3">
      <c r="A475" s="51">
        <v>236.5</v>
      </c>
      <c r="B475" s="50">
        <f>$V$4*Performance!$E$12*(1/A475)+Performance!$E$23*(1/Constraints!$V$4)*Constraints!A475</f>
        <v>0.12945131270793531</v>
      </c>
      <c r="C475" s="50">
        <f>$V$5*Performance!$E$12*(1/A475)+Performance!$E$23*(1/Constraints!$V$5)*Constraints!A475</f>
        <v>0.19346216989958967</v>
      </c>
      <c r="D475" s="52">
        <f t="shared" si="30"/>
        <v>0.3773661419110873</v>
      </c>
      <c r="E475" s="52">
        <f>$V$4*Performance!$E$12*(1/A475)+Performance!$E$23*(1/Constraints!$V$9)*Constraints!A475</f>
        <v>0.12838324082793576</v>
      </c>
      <c r="F475" s="52">
        <f xml:space="preserve"> 1.21 / (9.81 * Constraints!$N$7 * Performance!$E$15 * Constraints!$N$5 ) * Constraints!A475 + 0.605 /Performance!$E$15 * (Performance!$E$16  - Constraints!$N$6 * Performance!$E$14) + Constraints!$N$6</f>
        <v>0.37723485634338999</v>
      </c>
      <c r="G475" s="54" t="s">
        <v>198</v>
      </c>
      <c r="H475" s="55">
        <f>SQRT(2/$V$3 * A475 * SQRT(Performance!$E$23 / (3 * Performance!$E$12)))</f>
        <v>18.962511478489656</v>
      </c>
      <c r="I475" s="55">
        <f>SQRT(2/$V$3 * A475 * (SQRT(Performance!$E$23)/(SQRT(3*Performance!$E$12 + 4* Performance!$E$23 * Performance!$E$11^2) - SQRT(Performance!$E$23)*Performance!$E$11)))</f>
        <v>19.947330241273974</v>
      </c>
      <c r="J475" t="e">
        <f xml:space="preserve"> $AC$3/G475 + $AC$6/A475 * Performance!$E$12 + Performance!$E$23/Constraints!$AC$6 * Constraints!A475</f>
        <v>#VALUE!</v>
      </c>
      <c r="K475">
        <f xml:space="preserve"> $AC$3/H475 + $AC$6/A475 * Performance!$E$12 + Performance!$E$23/Constraints!$AC$6 * Constraints!A475</f>
        <v>1.0291903443961408</v>
      </c>
      <c r="L475">
        <f xml:space="preserve"> $AC$3/I475 + $AC$6/A475 * Performance!$E$12 + Performance!$E$23/Constraints!$AC$6 * Constraints!A475</f>
        <v>1.0159640132457737</v>
      </c>
      <c r="M475">
        <f>SIN($AC$9 * PI()/180) + 1/Performance!$AE$5</f>
        <v>0.24073077270730886</v>
      </c>
      <c r="N475">
        <f>SIN($AC$9 * PI()/180) + 1/Performance!$AE$8</f>
        <v>0.22738716112204788</v>
      </c>
      <c r="O475" s="60">
        <f>$AC$16 * (Performance!$E$12/Constraints!A475 + Performance!$E$23 * (Constraints!$AC$13/Constraints!$AC$17)^2 * Constraints!A475)</f>
        <v>2.1084209812592734E-4</v>
      </c>
      <c r="P475" t="e">
        <f t="shared" si="31"/>
        <v>#VALUE!</v>
      </c>
      <c r="Q475">
        <f t="shared" si="32"/>
        <v>94.413638957093895</v>
      </c>
      <c r="R475">
        <f t="shared" si="33"/>
        <v>104.47504791590691</v>
      </c>
      <c r="S475" t="e">
        <f xml:space="preserve"> 1.667/G475 + P475/A475 * Performance!$E$12 + Performance!$E$23 / Constraints!P475 * Constraints!A475</f>
        <v>#VALUE!</v>
      </c>
      <c r="T475">
        <f xml:space="preserve"> 1.667/H475 + Q475/A475 * Performance!$E$12 + Performance!$E$23 / Constraints!Q475 * Constraints!A475</f>
        <v>0.19382326372524267</v>
      </c>
      <c r="U475">
        <f xml:space="preserve"> 1.667/I475 + R475/A475 * Performance!$E$12 + Performance!$E$23 / Constraints!R475 * Constraints!A475</f>
        <v>0.18171282647335091</v>
      </c>
    </row>
    <row r="476" spans="1:21" x14ac:dyDescent="0.3">
      <c r="A476" s="51">
        <v>237</v>
      </c>
      <c r="B476" s="50">
        <f>$V$4*Performance!$E$12*(1/A476)+Performance!$E$23*(1/Constraints!$V$4)*Constraints!A476</f>
        <v>0.12921778086469984</v>
      </c>
      <c r="C476" s="50">
        <f>$V$5*Performance!$E$12*(1/A476)+Performance!$E$23*(1/Constraints!$V$5)*Constraints!A476</f>
        <v>0.19307937079640772</v>
      </c>
      <c r="D476" s="52">
        <f t="shared" si="30"/>
        <v>0.37763842762337291</v>
      </c>
      <c r="E476" s="52">
        <f>$V$4*Performance!$E$12*(1/A476)+Performance!$E$23*(1/Constraints!$V$9)*Constraints!A476</f>
        <v>0.12814745090461574</v>
      </c>
      <c r="F476" s="52">
        <f xml:space="preserve"> 1.21 / (9.81 * Constraints!$N$7 * Performance!$E$15 * Constraints!$N$5 ) * Constraints!A476 + 0.605 /Performance!$E$15 * (Performance!$E$16  - Constraints!$N$6 * Performance!$E$14) + Constraints!$N$6</f>
        <v>0.37750686449633586</v>
      </c>
      <c r="G476" s="54" t="s">
        <v>198</v>
      </c>
      <c r="H476" s="55">
        <f>SQRT(2/$V$3 * A476 * SQRT(Performance!$E$23 / (3 * Performance!$E$12)))</f>
        <v>18.982545833235974</v>
      </c>
      <c r="I476" s="55">
        <f>SQRT(2/$V$3 * A476 * (SQRT(Performance!$E$23)/(SQRT(3*Performance!$E$12 + 4* Performance!$E$23 * Performance!$E$11^2) - SQRT(Performance!$E$23)*Performance!$E$11)))</f>
        <v>19.968405081004406</v>
      </c>
      <c r="J476" t="e">
        <f xml:space="preserve"> $AC$3/G476 + $AC$6/A476 * Performance!$E$12 + Performance!$E$23/Constraints!$AC$6 * Constraints!A476</f>
        <v>#VALUE!</v>
      </c>
      <c r="K476">
        <f xml:space="preserve"> $AC$3/H476 + $AC$6/A476 * Performance!$E$12 + Performance!$E$23/Constraints!$AC$6 * Constraints!A476</f>
        <v>1.0305108489973933</v>
      </c>
      <c r="L476">
        <f xml:space="preserve"> $AC$3/I476 + $AC$6/A476 * Performance!$E$12 + Performance!$E$23/Constraints!$AC$6 * Constraints!A476</f>
        <v>1.0172984770394649</v>
      </c>
      <c r="M476">
        <f>SIN($AC$9 * PI()/180) + 1/Performance!$AE$5</f>
        <v>0.24073077270730886</v>
      </c>
      <c r="N476">
        <f>SIN($AC$9 * PI()/180) + 1/Performance!$AE$8</f>
        <v>0.22738716112204788</v>
      </c>
      <c r="O476" s="60">
        <f>$AC$16 * (Performance!$E$12/Constraints!A476 + Performance!$E$23 * (Constraints!$AC$13/Constraints!$AC$17)^2 * Constraints!A476)</f>
        <v>2.1084897746343487E-4</v>
      </c>
      <c r="P476" t="e">
        <f t="shared" si="31"/>
        <v>#VALUE!</v>
      </c>
      <c r="Q476">
        <f t="shared" si="32"/>
        <v>94.613244959117338</v>
      </c>
      <c r="R476">
        <f t="shared" si="33"/>
        <v>104.69592539564454</v>
      </c>
      <c r="S476" t="e">
        <f xml:space="preserve"> 1.667/G476 + P476/A476 * Performance!$E$12 + Performance!$E$23 / Constraints!P476 * Constraints!A476</f>
        <v>#VALUE!</v>
      </c>
      <c r="T476">
        <f xml:space="preserve"> 1.667/H476 + Q476/A476 * Performance!$E$12 + Performance!$E$23 / Constraints!Q476 * Constraints!A476</f>
        <v>0.19373048238418422</v>
      </c>
      <c r="U476">
        <f xml:space="preserve"> 1.667/I476 + R476/A476 * Performance!$E$12 + Performance!$E$23 / Constraints!R476 * Constraints!A476</f>
        <v>0.18162462583579542</v>
      </c>
    </row>
    <row r="477" spans="1:21" x14ac:dyDescent="0.3">
      <c r="A477" s="51">
        <v>237.5</v>
      </c>
      <c r="B477" s="50">
        <f>$V$4*Performance!$E$12*(1/A477)+Performance!$E$23*(1/Constraints!$V$4)*Constraints!A477</f>
        <v>0.12898531571128627</v>
      </c>
      <c r="C477" s="50">
        <f>$V$5*Performance!$E$12*(1/A477)+Performance!$E$23*(1/Constraints!$V$5)*Constraints!A477</f>
        <v>0.19269823690145435</v>
      </c>
      <c r="D477" s="52">
        <f t="shared" si="30"/>
        <v>0.37791071333565851</v>
      </c>
      <c r="E477" s="52">
        <f>$V$4*Performance!$E$12*(1/A477)+Performance!$E$23*(1/Constraints!$V$9)*Constraints!A477</f>
        <v>0.12791272767111761</v>
      </c>
      <c r="F477" s="52">
        <f xml:space="preserve"> 1.21 / (9.81 * Constraints!$N$7 * Performance!$E$15 * Constraints!$N$5 ) * Constraints!A477 + 0.605 /Performance!$E$15 * (Performance!$E$16  - Constraints!$N$6 * Performance!$E$14) + Constraints!$N$6</f>
        <v>0.37777887264928167</v>
      </c>
      <c r="G477" s="54" t="s">
        <v>198</v>
      </c>
      <c r="H477" s="55">
        <f>SQRT(2/$V$3 * A477 * SQRT(Performance!$E$23 / (3 * Performance!$E$12)))</f>
        <v>19.002559065819447</v>
      </c>
      <c r="I477" s="55">
        <f>SQRT(2/$V$3 * A477 * (SQRT(Performance!$E$23)/(SQRT(3*Performance!$E$12 + 4* Performance!$E$23 * Performance!$E$11^2) - SQRT(Performance!$E$23)*Performance!$E$11)))</f>
        <v>19.989457701591657</v>
      </c>
      <c r="J477" t="e">
        <f xml:space="preserve"> $AC$3/G477 + $AC$6/A477 * Performance!$E$12 + Performance!$E$23/Constraints!$AC$6 * Constraints!A477</f>
        <v>#VALUE!</v>
      </c>
      <c r="K477">
        <f xml:space="preserve"> $AC$3/H477 + $AC$6/A477 * Performance!$E$12 + Performance!$E$23/Constraints!$AC$6 * Constraints!A477</f>
        <v>1.0318322600880754</v>
      </c>
      <c r="L477">
        <f xml:space="preserve"> $AC$3/I477 + $AC$6/A477 * Performance!$E$12 + Performance!$E$23/Constraints!$AC$6 * Constraints!A477</f>
        <v>1.0186338032176914</v>
      </c>
      <c r="M477">
        <f>SIN($AC$9 * PI()/180) + 1/Performance!$AE$5</f>
        <v>0.24073077270730886</v>
      </c>
      <c r="N477">
        <f>SIN($AC$9 * PI()/180) + 1/Performance!$AE$8</f>
        <v>0.22738716112204788</v>
      </c>
      <c r="O477" s="60">
        <f>$AC$16 * (Performance!$E$12/Constraints!A477 + Performance!$E$23 * (Constraints!$AC$13/Constraints!$AC$17)^2 * Constraints!A477)</f>
        <v>2.1085677977397186E-4</v>
      </c>
      <c r="P477" t="e">
        <f t="shared" si="31"/>
        <v>#VALUE!</v>
      </c>
      <c r="Q477">
        <f t="shared" si="32"/>
        <v>94.812850961140754</v>
      </c>
      <c r="R477">
        <f t="shared" si="33"/>
        <v>104.9168028753822</v>
      </c>
      <c r="S477" t="e">
        <f xml:space="preserve"> 1.667/G477 + P477/A477 * Performance!$E$12 + Performance!$E$23 / Constraints!P477 * Constraints!A477</f>
        <v>#VALUE!</v>
      </c>
      <c r="T477">
        <f xml:space="preserve"> 1.667/H477 + Q477/A477 * Performance!$E$12 + Performance!$E$23 / Constraints!Q477 * Constraints!A477</f>
        <v>0.19363799419125852</v>
      </c>
      <c r="U477">
        <f xml:space="preserve"> 1.667/I477 + R477/A477 * Performance!$E$12 + Performance!$E$23 / Constraints!R477 * Constraints!A477</f>
        <v>0.18153670387336907</v>
      </c>
    </row>
    <row r="478" spans="1:21" x14ac:dyDescent="0.3">
      <c r="A478" s="51">
        <v>238</v>
      </c>
      <c r="B478" s="50">
        <f>$V$4*Performance!$E$12*(1/A478)+Performance!$E$23*(1/Constraints!$V$4)*Constraints!A478</f>
        <v>0.12875391052485954</v>
      </c>
      <c r="C478" s="50">
        <f>$V$5*Performance!$E$12*(1/A478)+Performance!$E$23*(1/Constraints!$V$5)*Constraints!A478</f>
        <v>0.19231875771971965</v>
      </c>
      <c r="D478" s="52">
        <f t="shared" si="30"/>
        <v>0.37818299904794406</v>
      </c>
      <c r="E478" s="52">
        <f>$V$4*Performance!$E$12*(1/A478)+Performance!$E$23*(1/Constraints!$V$9)*Constraints!A478</f>
        <v>0.1276790644046063</v>
      </c>
      <c r="F478" s="52">
        <f xml:space="preserve"> 1.21 / (9.81 * Constraints!$N$7 * Performance!$E$15 * Constraints!$N$5 ) * Constraints!A478 + 0.605 /Performance!$E$15 * (Performance!$E$16  - Constraints!$N$6 * Performance!$E$14) + Constraints!$N$6</f>
        <v>0.3780508808022276</v>
      </c>
      <c r="G478" s="54" t="s">
        <v>198</v>
      </c>
      <c r="H478" s="55">
        <f>SQRT(2/$V$3 * A478 * SQRT(Performance!$E$23 / (3 * Performance!$E$12)))</f>
        <v>19.022551242906655</v>
      </c>
      <c r="I478" s="55">
        <f>SQRT(2/$V$3 * A478 * (SQRT(Performance!$E$23)/(SQRT(3*Performance!$E$12 + 4* Performance!$E$23 * Performance!$E$11^2) - SQRT(Performance!$E$23)*Performance!$E$11)))</f>
        <v>20.010488173164628</v>
      </c>
      <c r="J478" t="e">
        <f xml:space="preserve"> $AC$3/G478 + $AC$6/A478 * Performance!$E$12 + Performance!$E$23/Constraints!$AC$6 * Constraints!A478</f>
        <v>#VALUE!</v>
      </c>
      <c r="K478">
        <f xml:space="preserve"> $AC$3/H478 + $AC$6/A478 * Performance!$E$12 + Performance!$E$23/Constraints!$AC$6 * Constraints!A478</f>
        <v>1.0331545728909286</v>
      </c>
      <c r="L478">
        <f xml:space="preserve"> $AC$3/I478 + $AC$6/A478 * Performance!$E$12 + Performance!$E$23/Constraints!$AC$6 * Constraints!A478</f>
        <v>1.0199699872349608</v>
      </c>
      <c r="M478">
        <f>SIN($AC$9 * PI()/180) + 1/Performance!$AE$5</f>
        <v>0.24073077270730886</v>
      </c>
      <c r="N478">
        <f>SIN($AC$9 * PI()/180) + 1/Performance!$AE$8</f>
        <v>0.22738716112204788</v>
      </c>
      <c r="O478" s="60">
        <f>$AC$16 * (Performance!$E$12/Constraints!A478 + Performance!$E$23 * (Constraints!$AC$13/Constraints!$AC$17)^2 * Constraints!A478)</f>
        <v>2.1086549924048142E-4</v>
      </c>
      <c r="P478" t="e">
        <f t="shared" si="31"/>
        <v>#VALUE!</v>
      </c>
      <c r="Q478">
        <f t="shared" si="32"/>
        <v>95.01245696316424</v>
      </c>
      <c r="R478">
        <f t="shared" si="33"/>
        <v>105.13768035511984</v>
      </c>
      <c r="S478" t="e">
        <f xml:space="preserve"> 1.667/G478 + P478/A478 * Performance!$E$12 + Performance!$E$23 / Constraints!P478 * Constraints!A478</f>
        <v>#VALUE!</v>
      </c>
      <c r="T478">
        <f xml:space="preserve"> 1.667/H478 + Q478/A478 * Performance!$E$12 + Performance!$E$23 / Constraints!Q478 * Constraints!A478</f>
        <v>0.19354579760601187</v>
      </c>
      <c r="U478">
        <f xml:space="preserve"> 1.667/I478 + R478/A478 * Performance!$E$12 + Performance!$E$23 / Constraints!R478 * Constraints!A478</f>
        <v>0.18144905912167197</v>
      </c>
    </row>
    <row r="479" spans="1:21" x14ac:dyDescent="0.3">
      <c r="A479" s="51">
        <v>238.5</v>
      </c>
      <c r="B479" s="50">
        <f>$V$4*Performance!$E$12*(1/A479)+Performance!$E$23*(1/Constraints!$V$4)*Constraints!A479</f>
        <v>0.12852355863896064</v>
      </c>
      <c r="C479" s="50">
        <f>$V$5*Performance!$E$12*(1/A479)+Performance!$E$23*(1/Constraints!$V$5)*Constraints!A479</f>
        <v>0.19194092284420236</v>
      </c>
      <c r="D479" s="52">
        <f t="shared" si="30"/>
        <v>0.37845528476022972</v>
      </c>
      <c r="E479" s="52">
        <f>$V$4*Performance!$E$12*(1/A479)+Performance!$E$23*(1/Constraints!$V$9)*Constraints!A479</f>
        <v>0.12744645443862285</v>
      </c>
      <c r="F479" s="52">
        <f xml:space="preserve"> 1.21 / (9.81 * Constraints!$N$7 * Performance!$E$15 * Constraints!$N$5 ) * Constraints!A479 + 0.605 /Performance!$E$15 * (Performance!$E$16  - Constraints!$N$6 * Performance!$E$14) + Constraints!$N$6</f>
        <v>0.37832288895517341</v>
      </c>
      <c r="G479" s="54" t="s">
        <v>198</v>
      </c>
      <c r="H479" s="55">
        <f>SQRT(2/$V$3 * A479 * SQRT(Performance!$E$23 / (3 * Performance!$E$12)))</f>
        <v>19.042522430814202</v>
      </c>
      <c r="I479" s="55">
        <f>SQRT(2/$V$3 * A479 * (SQRT(Performance!$E$23)/(SQRT(3*Performance!$E$12 + 4* Performance!$E$23 * Performance!$E$11^2) - SQRT(Performance!$E$23)*Performance!$E$11)))</f>
        <v>20.031496565484087</v>
      </c>
      <c r="J479" t="e">
        <f xml:space="preserve"> $AC$3/G479 + $AC$6/A479 * Performance!$E$12 + Performance!$E$23/Constraints!$AC$6 * Constraints!A479</f>
        <v>#VALUE!</v>
      </c>
      <c r="K479">
        <f xml:space="preserve"> $AC$3/H479 + $AC$6/A479 * Performance!$E$12 + Performance!$E$23/Constraints!$AC$6 * Constraints!A479</f>
        <v>1.0344777826638529</v>
      </c>
      <c r="L479">
        <f xml:space="preserve"> $AC$3/I479 + $AC$6/A479 * Performance!$E$12 + Performance!$E$23/Constraints!$AC$6 * Constraints!A479</f>
        <v>1.0213070245792362</v>
      </c>
      <c r="M479">
        <f>SIN($AC$9 * PI()/180) + 1/Performance!$AE$5</f>
        <v>0.24073077270730886</v>
      </c>
      <c r="N479">
        <f>SIN($AC$9 * PI()/180) + 1/Performance!$AE$8</f>
        <v>0.22738716112204788</v>
      </c>
      <c r="O479" s="60">
        <f>$AC$16 * (Performance!$E$12/Constraints!A479 + Performance!$E$23 * (Constraints!$AC$13/Constraints!$AC$17)^2 * Constraints!A479)</f>
        <v>2.1087513009468688E-4</v>
      </c>
      <c r="P479" t="e">
        <f t="shared" si="31"/>
        <v>#VALUE!</v>
      </c>
      <c r="Q479">
        <f t="shared" si="32"/>
        <v>95.212062965187684</v>
      </c>
      <c r="R479">
        <f t="shared" si="33"/>
        <v>105.35855783485746</v>
      </c>
      <c r="S479" t="e">
        <f xml:space="preserve"> 1.667/G479 + P479/A479 * Performance!$E$12 + Performance!$E$23 / Constraints!P479 * Constraints!A479</f>
        <v>#VALUE!</v>
      </c>
      <c r="T479">
        <f xml:space="preserve"> 1.667/H479 + Q479/A479 * Performance!$E$12 + Performance!$E$23 / Constraints!Q479 * Constraints!A479</f>
        <v>0.19345389109929978</v>
      </c>
      <c r="U479">
        <f xml:space="preserve"> 1.667/I479 + R479/A479 * Performance!$E$12 + Performance!$E$23 / Constraints!R479 * Constraints!A479</f>
        <v>0.18136169012705489</v>
      </c>
    </row>
    <row r="480" spans="1:21" x14ac:dyDescent="0.3">
      <c r="A480" s="51">
        <v>239</v>
      </c>
      <c r="B480" s="50">
        <f>$V$4*Performance!$E$12*(1/A480)+Performance!$E$23*(1/Constraints!$V$4)*Constraints!A480</f>
        <v>0.12829425344291673</v>
      </c>
      <c r="C480" s="50">
        <f>$V$5*Performance!$E$12*(1/A480)+Performance!$E$23*(1/Constraints!$V$5)*Constraints!A480</f>
        <v>0.19156472195498886</v>
      </c>
      <c r="D480" s="52">
        <f t="shared" si="30"/>
        <v>0.37872757047251526</v>
      </c>
      <c r="E480" s="52">
        <f>$V$4*Performance!$E$12*(1/A480)+Performance!$E$23*(1/Constraints!$V$9)*Constraints!A480</f>
        <v>0.12721489116249438</v>
      </c>
      <c r="F480" s="52">
        <f xml:space="preserve"> 1.21 / (9.81 * Constraints!$N$7 * Performance!$E$15 * Constraints!$N$5 ) * Constraints!A480 + 0.605 /Performance!$E$15 * (Performance!$E$16  - Constraints!$N$6 * Performance!$E$14) + Constraints!$N$6</f>
        <v>0.37859489710811928</v>
      </c>
      <c r="G480" s="54" t="s">
        <v>198</v>
      </c>
      <c r="H480" s="55">
        <f>SQRT(2/$V$3 * A480 * SQRT(Performance!$E$23 / (3 * Performance!$E$12)))</f>
        <v>19.062472695511318</v>
      </c>
      <c r="I480" s="55">
        <f>SQRT(2/$V$3 * A480 * (SQRT(Performance!$E$23)/(SQRT(3*Performance!$E$12 + 4* Performance!$E$23 * Performance!$E$11^2) - SQRT(Performance!$E$23)*Performance!$E$11)))</f>
        <v>20.052482947945379</v>
      </c>
      <c r="J480" t="e">
        <f xml:space="preserve"> $AC$3/G480 + $AC$6/A480 * Performance!$E$12 + Performance!$E$23/Constraints!$AC$6 * Constraints!A480</f>
        <v>#VALUE!</v>
      </c>
      <c r="K480">
        <f xml:space="preserve"> $AC$3/H480 + $AC$6/A480 * Performance!$E$12 + Performance!$E$23/Constraints!$AC$6 * Constraints!A480</f>
        <v>1.0358018846995747</v>
      </c>
      <c r="L480">
        <f xml:space="preserve"> $AC$3/I480 + $AC$6/A480 * Performance!$E$12 + Performance!$E$23/Constraints!$AC$6 * Constraints!A480</f>
        <v>1.0226449107716227</v>
      </c>
      <c r="M480">
        <f>SIN($AC$9 * PI()/180) + 1/Performance!$AE$5</f>
        <v>0.24073077270730886</v>
      </c>
      <c r="N480">
        <f>SIN($AC$9 * PI()/180) + 1/Performance!$AE$8</f>
        <v>0.22738716112204788</v>
      </c>
      <c r="O480" s="60">
        <f>$AC$16 * (Performance!$E$12/Constraints!A480 + Performance!$E$23 * (Constraints!$AC$13/Constraints!$AC$17)^2 * Constraints!A480)</f>
        <v>2.1088566661658191E-4</v>
      </c>
      <c r="P480" t="e">
        <f t="shared" si="31"/>
        <v>#VALUE!</v>
      </c>
      <c r="Q480">
        <f t="shared" si="32"/>
        <v>95.411668967211128</v>
      </c>
      <c r="R480">
        <f t="shared" si="33"/>
        <v>105.57943531459512</v>
      </c>
      <c r="S480" t="e">
        <f xml:space="preserve"> 1.667/G480 + P480/A480 * Performance!$E$12 + Performance!$E$23 / Constraints!P480 * Constraints!A480</f>
        <v>#VALUE!</v>
      </c>
      <c r="T480">
        <f xml:space="preserve"> 1.667/H480 + Q480/A480 * Performance!$E$12 + Performance!$E$23 / Constraints!Q480 * Constraints!A480</f>
        <v>0.19336227315318028</v>
      </c>
      <c r="U480">
        <f xml:space="preserve"> 1.667/I480 + R480/A480 * Performance!$E$12 + Performance!$E$23 / Constraints!R480 * Constraints!A480</f>
        <v>0.18127459544651803</v>
      </c>
    </row>
    <row r="481" spans="1:21" x14ac:dyDescent="0.3">
      <c r="A481" s="51">
        <v>239.5</v>
      </c>
      <c r="B481" s="50">
        <f>$V$4*Performance!$E$12*(1/A481)+Performance!$E$23*(1/Constraints!$V$4)*Constraints!A481</f>
        <v>0.12806598838125907</v>
      </c>
      <c r="C481" s="50">
        <f>$V$5*Performance!$E$12*(1/A481)+Performance!$E$23*(1/Constraints!$V$5)*Constraints!A481</f>
        <v>0.19119014481834451</v>
      </c>
      <c r="D481" s="52">
        <f t="shared" si="30"/>
        <v>0.37899985618480092</v>
      </c>
      <c r="E481" s="52">
        <f>$V$4*Performance!$E$12*(1/A481)+Performance!$E$23*(1/Constraints!$V$9)*Constraints!A481</f>
        <v>0.12698436802075214</v>
      </c>
      <c r="F481" s="52">
        <f xml:space="preserve"> 1.21 / (9.81 * Constraints!$N$7 * Performance!$E$15 * Constraints!$N$5 ) * Constraints!A481 + 0.605 /Performance!$E$15 * (Performance!$E$16  - Constraints!$N$6 * Performance!$E$14) + Constraints!$N$6</f>
        <v>0.37886690526106515</v>
      </c>
      <c r="G481" s="54" t="s">
        <v>198</v>
      </c>
      <c r="H481" s="55">
        <f>SQRT(2/$V$3 * A481 * SQRT(Performance!$E$23 / (3 * Performance!$E$12)))</f>
        <v>19.082402102622382</v>
      </c>
      <c r="I481" s="55">
        <f>SQRT(2/$V$3 * A481 * (SQRT(Performance!$E$23)/(SQRT(3*Performance!$E$12 + 4* Performance!$E$23 * Performance!$E$11^2) - SQRT(Performance!$E$23)*Performance!$E$11)))</f>
        <v>20.073447389581087</v>
      </c>
      <c r="J481" t="e">
        <f xml:space="preserve"> $AC$3/G481 + $AC$6/A481 * Performance!$E$12 + Performance!$E$23/Constraints!$AC$6 * Constraints!A481</f>
        <v>#VALUE!</v>
      </c>
      <c r="K481">
        <f xml:space="preserve"> $AC$3/H481 + $AC$6/A481 * Performance!$E$12 + Performance!$E$23/Constraints!$AC$6 * Constraints!A481</f>
        <v>1.0371268743253188</v>
      </c>
      <c r="L481">
        <f xml:space="preserve"> $AC$3/I481 + $AC$6/A481 * Performance!$E$12 + Performance!$E$23/Constraints!$AC$6 * Constraints!A481</f>
        <v>1.0239836413660535</v>
      </c>
      <c r="M481">
        <f>SIN($AC$9 * PI()/180) + 1/Performance!$AE$5</f>
        <v>0.24073077270730886</v>
      </c>
      <c r="N481">
        <f>SIN($AC$9 * PI()/180) + 1/Performance!$AE$8</f>
        <v>0.22738716112204788</v>
      </c>
      <c r="O481" s="60">
        <f>$AC$16 * (Performance!$E$12/Constraints!A481 + Performance!$E$23 * (Constraints!$AC$13/Constraints!$AC$17)^2 * Constraints!A481)</f>
        <v>2.1089710313392627E-4</v>
      </c>
      <c r="P481" t="e">
        <f t="shared" si="31"/>
        <v>#VALUE!</v>
      </c>
      <c r="Q481">
        <f t="shared" si="32"/>
        <v>95.611274969234586</v>
      </c>
      <c r="R481">
        <f t="shared" si="33"/>
        <v>105.80031279433281</v>
      </c>
      <c r="S481" t="e">
        <f xml:space="preserve"> 1.667/G481 + P481/A481 * Performance!$E$12 + Performance!$E$23 / Constraints!P481 * Constraints!A481</f>
        <v>#VALUE!</v>
      </c>
      <c r="T481">
        <f xml:space="preserve"> 1.667/H481 + Q481/A481 * Performance!$E$12 + Performance!$E$23 / Constraints!Q481 * Constraints!A481</f>
        <v>0.19327094226080849</v>
      </c>
      <c r="U481">
        <f xml:space="preserve"> 1.667/I481 + R481/A481 * Performance!$E$12 + Performance!$E$23 / Constraints!R481 * Constraints!A481</f>
        <v>0.18118777364761091</v>
      </c>
    </row>
    <row r="482" spans="1:21" x14ac:dyDescent="0.3">
      <c r="A482" s="51">
        <v>240</v>
      </c>
      <c r="B482" s="50">
        <f>$V$4*Performance!$E$12*(1/A482)+Performance!$E$23*(1/Constraints!$V$4)*Constraints!A482</f>
        <v>0.12783875695314773</v>
      </c>
      <c r="C482" s="50">
        <f>$V$5*Performance!$E$12*(1/A482)+Performance!$E$23*(1/Constraints!$V$5)*Constraints!A482</f>
        <v>0.19081718128581579</v>
      </c>
      <c r="D482" s="52">
        <f t="shared" si="30"/>
        <v>0.37927214189708647</v>
      </c>
      <c r="E482" s="52">
        <f>$V$4*Performance!$E$12*(1/A482)+Performance!$E$23*(1/Constraints!$V$9)*Constraints!A482</f>
        <v>0.12675487851255623</v>
      </c>
      <c r="F482" s="52">
        <f xml:space="preserve"> 1.21 / (9.81 * Constraints!$N$7 * Performance!$E$15 * Constraints!$N$5 ) * Constraints!A482 + 0.605 /Performance!$E$15 * (Performance!$E$16  - Constraints!$N$6 * Performance!$E$14) + Constraints!$N$6</f>
        <v>0.37913891341401096</v>
      </c>
      <c r="G482" s="54" t="s">
        <v>198</v>
      </c>
      <c r="H482" s="55">
        <f>SQRT(2/$V$3 * A482 * SQRT(Performance!$E$23 / (3 * Performance!$E$12)))</f>
        <v>19.10231071742944</v>
      </c>
      <c r="I482" s="55">
        <f>SQRT(2/$V$3 * A482 * (SQRT(Performance!$E$23)/(SQRT(3*Performance!$E$12 + 4* Performance!$E$23 * Performance!$E$11^2) - SQRT(Performance!$E$23)*Performance!$E$11)))</f>
        <v>20.094389959063676</v>
      </c>
      <c r="J482" t="e">
        <f xml:space="preserve"> $AC$3/G482 + $AC$6/A482 * Performance!$E$12 + Performance!$E$23/Constraints!$AC$6 * Constraints!A482</f>
        <v>#VALUE!</v>
      </c>
      <c r="K482">
        <f xml:space="preserve"> $AC$3/H482 + $AC$6/A482 * Performance!$E$12 + Performance!$E$23/Constraints!$AC$6 * Constraints!A482</f>
        <v>1.0384527469024838</v>
      </c>
      <c r="L482">
        <f xml:space="preserve"> $AC$3/I482 + $AC$6/A482 * Performance!$E$12 + Performance!$E$23/Constraints!$AC$6 * Constraints!A482</f>
        <v>1.0253232119489821</v>
      </c>
      <c r="M482">
        <f>SIN($AC$9 * PI()/180) + 1/Performance!$AE$5</f>
        <v>0.24073077270730886</v>
      </c>
      <c r="N482">
        <f>SIN($AC$9 * PI()/180) + 1/Performance!$AE$8</f>
        <v>0.22738716112204788</v>
      </c>
      <c r="O482" s="60">
        <f>$AC$16 * (Performance!$E$12/Constraints!A482 + Performance!$E$23 * (Constraints!$AC$13/Constraints!$AC$17)^2 * Constraints!A482)</f>
        <v>2.1090943402174829E-4</v>
      </c>
      <c r="P482" t="e">
        <f t="shared" si="31"/>
        <v>#VALUE!</v>
      </c>
      <c r="Q482">
        <f t="shared" si="32"/>
        <v>95.810880971258044</v>
      </c>
      <c r="R482">
        <f t="shared" si="33"/>
        <v>106.02119027407042</v>
      </c>
      <c r="S482" t="e">
        <f xml:space="preserve"> 1.667/G482 + P482/A482 * Performance!$E$12 + Performance!$E$23 / Constraints!P482 * Constraints!A482</f>
        <v>#VALUE!</v>
      </c>
      <c r="T482">
        <f xml:space="preserve"> 1.667/H482 + Q482/A482 * Performance!$E$12 + Performance!$E$23 / Constraints!Q482 * Constraints!A482</f>
        <v>0.19317989692633281</v>
      </c>
      <c r="U482">
        <f xml:space="preserve"> 1.667/I482 + R482/A482 * Performance!$E$12 + Performance!$E$23 / Constraints!R482 * Constraints!A482</f>
        <v>0.18110122330833367</v>
      </c>
    </row>
    <row r="483" spans="1:21" x14ac:dyDescent="0.3">
      <c r="A483" s="51">
        <v>240.5</v>
      </c>
      <c r="B483" s="50">
        <f>$V$4*Performance!$E$12*(1/A483)+Performance!$E$23*(1/Constraints!$V$4)*Constraints!A483</f>
        <v>0.1276125527118038</v>
      </c>
      <c r="C483" s="50">
        <f>$V$5*Performance!$E$12*(1/A483)+Performance!$E$23*(1/Constraints!$V$5)*Constraints!A483</f>
        <v>0.19044582129334373</v>
      </c>
      <c r="D483" s="52">
        <f t="shared" si="30"/>
        <v>0.37954442760937207</v>
      </c>
      <c r="E483" s="52">
        <f>$V$4*Performance!$E$12*(1/A483)+Performance!$E$23*(1/Constraints!$V$9)*Constraints!A483</f>
        <v>0.12652641619112776</v>
      </c>
      <c r="F483" s="52">
        <f xml:space="preserve"> 1.21 / (9.81 * Constraints!$N$7 * Performance!$E$15 * Constraints!$N$5 ) * Constraints!A483 + 0.605 /Performance!$E$15 * (Performance!$E$16  - Constraints!$N$6 * Performance!$E$14) + Constraints!$N$6</f>
        <v>0.37941092156695688</v>
      </c>
      <c r="G483" s="54" t="s">
        <v>198</v>
      </c>
      <c r="H483" s="55">
        <f>SQRT(2/$V$3 * A483 * SQRT(Performance!$E$23 / (3 * Performance!$E$12)))</f>
        <v>19.122198604874708</v>
      </c>
      <c r="I483" s="55">
        <f>SQRT(2/$V$3 * A483 * (SQRT(Performance!$E$23)/(SQRT(3*Performance!$E$12 + 4* Performance!$E$23 * Performance!$E$11^2) - SQRT(Performance!$E$23)*Performance!$E$11)))</f>
        <v>20.115310724708142</v>
      </c>
      <c r="J483" t="e">
        <f xml:space="preserve"> $AC$3/G483 + $AC$6/A483 * Performance!$E$12 + Performance!$E$23/Constraints!$AC$6 * Constraints!A483</f>
        <v>#VALUE!</v>
      </c>
      <c r="K483">
        <f xml:space="preserve"> $AC$3/H483 + $AC$6/A483 * Performance!$E$12 + Performance!$E$23/Constraints!$AC$6 * Constraints!A483</f>
        <v>1.039779497826322</v>
      </c>
      <c r="L483">
        <f xml:space="preserve"> $AC$3/I483 + $AC$6/A483 * Performance!$E$12 + Performance!$E$23/Constraints!$AC$6 * Constraints!A483</f>
        <v>1.0266636181390769</v>
      </c>
      <c r="M483">
        <f>SIN($AC$9 * PI()/180) + 1/Performance!$AE$5</f>
        <v>0.24073077270730886</v>
      </c>
      <c r="N483">
        <f>SIN($AC$9 * PI()/180) + 1/Performance!$AE$8</f>
        <v>0.22738716112204788</v>
      </c>
      <c r="O483" s="60">
        <f>$AC$16 * (Performance!$E$12/Constraints!A483 + Performance!$E$23 * (Constraints!$AC$13/Constraints!$AC$17)^2 * Constraints!A483)</f>
        <v>2.1092265370185385E-4</v>
      </c>
      <c r="P483" t="e">
        <f t="shared" si="31"/>
        <v>#VALUE!</v>
      </c>
      <c r="Q483">
        <f t="shared" si="32"/>
        <v>96.010486973281516</v>
      </c>
      <c r="R483">
        <f t="shared" si="33"/>
        <v>106.24206775380804</v>
      </c>
      <c r="S483" t="e">
        <f xml:space="preserve"> 1.667/G483 + P483/A483 * Performance!$E$12 + Performance!$E$23 / Constraints!P483 * Constraints!A483</f>
        <v>#VALUE!</v>
      </c>
      <c r="T483">
        <f xml:space="preserve"> 1.667/H483 + Q483/A483 * Performance!$E$12 + Performance!$E$23 / Constraints!Q483 * Constraints!A483</f>
        <v>0.1930891356647918</v>
      </c>
      <c r="U483">
        <f xml:space="preserve"> 1.667/I483 + R483/A483 * Performance!$E$12 + Performance!$E$23 / Constraints!R483 * Constraints!A483</f>
        <v>0.18101494301703877</v>
      </c>
    </row>
    <row r="484" spans="1:21" x14ac:dyDescent="0.3">
      <c r="A484" s="51">
        <v>241</v>
      </c>
      <c r="B484" s="50">
        <f>$V$4*Performance!$E$12*(1/A484)+Performance!$E$23*(1/Constraints!$V$4)*Constraints!A484</f>
        <v>0.12738736926394867</v>
      </c>
      <c r="C484" s="50">
        <f>$V$5*Performance!$E$12*(1/A484)+Performance!$E$23*(1/Constraints!$V$5)*Constraints!A484</f>
        <v>0.19007605486038853</v>
      </c>
      <c r="D484" s="52">
        <f t="shared" si="30"/>
        <v>0.37981671332165767</v>
      </c>
      <c r="E484" s="52">
        <f>$V$4*Performance!$E$12*(1/A484)+Performance!$E$23*(1/Constraints!$V$9)*Constraints!A484</f>
        <v>0.12629897466318804</v>
      </c>
      <c r="F484" s="52">
        <f xml:space="preserve"> 1.21 / (9.81 * Constraints!$N$7 * Performance!$E$15 * Constraints!$N$5 ) * Constraints!A484 + 0.605 /Performance!$E$15 * (Performance!$E$16  - Constraints!$N$6 * Performance!$E$14) + Constraints!$N$6</f>
        <v>0.3796829297199027</v>
      </c>
      <c r="G484" s="54" t="s">
        <v>198</v>
      </c>
      <c r="H484" s="55">
        <f>SQRT(2/$V$3 * A484 * SQRT(Performance!$E$23 / (3 * Performance!$E$12)))</f>
        <v>19.142065829563034</v>
      </c>
      <c r="I484" s="55">
        <f>SQRT(2/$V$3 * A484 * (SQRT(Performance!$E$23)/(SQRT(3*Performance!$E$12 + 4* Performance!$E$23 * Performance!$E$11^2) - SQRT(Performance!$E$23)*Performance!$E$11)))</f>
        <v>20.136209754474596</v>
      </c>
      <c r="J484" t="e">
        <f xml:space="preserve"> $AC$3/G484 + $AC$6/A484 * Performance!$E$12 + Performance!$E$23/Constraints!$AC$6 * Constraints!A484</f>
        <v>#VALUE!</v>
      </c>
      <c r="K484">
        <f xml:space="preserve"> $AC$3/H484 + $AC$6/A484 * Performance!$E$12 + Performance!$E$23/Constraints!$AC$6 * Constraints!A484</f>
        <v>1.0411071225256214</v>
      </c>
      <c r="L484">
        <f xml:space="preserve"> $AC$3/I484 + $AC$6/A484 * Performance!$E$12 + Performance!$E$23/Constraints!$AC$6 * Constraints!A484</f>
        <v>1.0280048555869195</v>
      </c>
      <c r="M484">
        <f>SIN($AC$9 * PI()/180) + 1/Performance!$AE$5</f>
        <v>0.24073077270730886</v>
      </c>
      <c r="N484">
        <f>SIN($AC$9 * PI()/180) + 1/Performance!$AE$8</f>
        <v>0.22738716112204788</v>
      </c>
      <c r="O484" s="60">
        <f>$AC$16 * (Performance!$E$12/Constraints!A484 + Performance!$E$23 * (Constraints!$AC$13/Constraints!$AC$17)^2 * Constraints!A484)</f>
        <v>2.1093675664234072E-4</v>
      </c>
      <c r="P484" t="e">
        <f t="shared" si="31"/>
        <v>#VALUE!</v>
      </c>
      <c r="Q484">
        <f t="shared" si="32"/>
        <v>96.210092975304946</v>
      </c>
      <c r="R484">
        <f t="shared" si="33"/>
        <v>106.46294523354571</v>
      </c>
      <c r="S484" t="e">
        <f xml:space="preserve"> 1.667/G484 + P484/A484 * Performance!$E$12 + Performance!$E$23 / Constraints!P484 * Constraints!A484</f>
        <v>#VALUE!</v>
      </c>
      <c r="T484">
        <f xml:space="preserve"> 1.667/H484 + Q484/A484 * Performance!$E$12 + Performance!$E$23 / Constraints!Q484 * Constraints!A484</f>
        <v>0.19299865700201269</v>
      </c>
      <c r="U484">
        <f xml:space="preserve"> 1.667/I484 + R484/A484 * Performance!$E$12 + Performance!$E$23 / Constraints!R484 * Constraints!A484</f>
        <v>0.18092893137233465</v>
      </c>
    </row>
    <row r="485" spans="1:21" x14ac:dyDescent="0.3">
      <c r="A485" s="51">
        <v>241.5</v>
      </c>
      <c r="B485" s="50">
        <f>$V$4*Performance!$E$12*(1/A485)+Performance!$E$23*(1/Constraints!$V$4)*Constraints!A485</f>
        <v>0.1271632002692501</v>
      </c>
      <c r="C485" s="50">
        <f>$V$5*Performance!$E$12*(1/A485)+Performance!$E$23*(1/Constraints!$V$5)*Constraints!A485</f>
        <v>0.18970787208906509</v>
      </c>
      <c r="D485" s="52">
        <f t="shared" si="30"/>
        <v>0.38008899903394328</v>
      </c>
      <c r="E485" s="52">
        <f>$V$4*Performance!$E$12*(1/A485)+Performance!$E$23*(1/Constraints!$V$9)*Constraints!A485</f>
        <v>0.12607254758840492</v>
      </c>
      <c r="F485" s="52">
        <f xml:space="preserve"> 1.21 / (9.81 * Constraints!$N$7 * Performance!$E$15 * Constraints!$N$5 ) * Constraints!A485 + 0.605 /Performance!$E$15 * (Performance!$E$16  - Constraints!$N$6 * Performance!$E$14) + Constraints!$N$6</f>
        <v>0.37995493787284856</v>
      </c>
      <c r="G485" s="54" t="s">
        <v>198</v>
      </c>
      <c r="H485" s="55">
        <f>SQRT(2/$V$3 * A485 * SQRT(Performance!$E$23 / (3 * Performance!$E$12)))</f>
        <v>19.161912455764359</v>
      </c>
      <c r="I485" s="55">
        <f>SQRT(2/$V$3 * A485 * (SQRT(Performance!$E$23)/(SQRT(3*Performance!$E$12 + 4* Performance!$E$23 * Performance!$E$11^2) - SQRT(Performance!$E$23)*Performance!$E$11)))</f>
        <v>20.157087115970832</v>
      </c>
      <c r="J485" t="e">
        <f xml:space="preserve"> $AC$3/G485 + $AC$6/A485 * Performance!$E$12 + Performance!$E$23/Constraints!$AC$6 * Constraints!A485</f>
        <v>#VALUE!</v>
      </c>
      <c r="K485">
        <f xml:space="preserve"> $AC$3/H485 + $AC$6/A485 * Performance!$E$12 + Performance!$E$23/Constraints!$AC$6 * Constraints!A485</f>
        <v>1.0424356164623945</v>
      </c>
      <c r="L485">
        <f xml:space="preserve"> $AC$3/I485 + $AC$6/A485 * Performance!$E$12 + Performance!$E$23/Constraints!$AC$6 * Constraints!A485</f>
        <v>1.029346919974707</v>
      </c>
      <c r="M485">
        <f>SIN($AC$9 * PI()/180) + 1/Performance!$AE$5</f>
        <v>0.24073077270730886</v>
      </c>
      <c r="N485">
        <f>SIN($AC$9 * PI()/180) + 1/Performance!$AE$8</f>
        <v>0.22738716112204788</v>
      </c>
      <c r="O485" s="60">
        <f>$AC$16 * (Performance!$E$12/Constraints!A485 + Performance!$E$23 * (Constraints!$AC$13/Constraints!$AC$17)^2 * Constraints!A485)</f>
        <v>2.1095173735711956E-4</v>
      </c>
      <c r="P485" t="e">
        <f t="shared" si="31"/>
        <v>#VALUE!</v>
      </c>
      <c r="Q485">
        <f t="shared" si="32"/>
        <v>96.409698977328418</v>
      </c>
      <c r="R485">
        <f t="shared" si="33"/>
        <v>106.68382271328335</v>
      </c>
      <c r="S485" t="e">
        <f xml:space="preserve"> 1.667/G485 + P485/A485 * Performance!$E$12 + Performance!$E$23 / Constraints!P485 * Constraints!A485</f>
        <v>#VALUE!</v>
      </c>
      <c r="T485">
        <f xml:space="preserve"> 1.667/H485 + Q485/A485 * Performance!$E$12 + Performance!$E$23 / Constraints!Q485 * Constraints!A485</f>
        <v>0.19290845947451046</v>
      </c>
      <c r="U485">
        <f xml:space="preserve"> 1.667/I485 + R485/A485 * Performance!$E$12 + Performance!$E$23 / Constraints!R485 * Constraints!A485</f>
        <v>0.18084318698299007</v>
      </c>
    </row>
    <row r="486" spans="1:21" x14ac:dyDescent="0.3">
      <c r="A486" s="51">
        <v>242</v>
      </c>
      <c r="B486" s="50">
        <f>$V$4*Performance!$E$12*(1/A486)+Performance!$E$23*(1/Constraints!$V$4)*Constraints!A486</f>
        <v>0.1269400394397753</v>
      </c>
      <c r="C486" s="50">
        <f>$V$5*Performance!$E$12*(1/A486)+Performance!$E$23*(1/Constraints!$V$5)*Constraints!A486</f>
        <v>0.18934126316328878</v>
      </c>
      <c r="D486" s="52">
        <f t="shared" si="30"/>
        <v>0.38036128474622888</v>
      </c>
      <c r="E486" s="52">
        <f>$V$4*Performance!$E$12*(1/A486)+Performance!$E$23*(1/Constraints!$V$9)*Constraints!A486</f>
        <v>0.12584712867884554</v>
      </c>
      <c r="F486" s="52">
        <f xml:space="preserve"> 1.21 / (9.81 * Constraints!$N$7 * Performance!$E$15 * Constraints!$N$5 ) * Constraints!A486 + 0.605 /Performance!$E$15 * (Performance!$E$16  - Constraints!$N$6 * Performance!$E$14) + Constraints!$N$6</f>
        <v>0.38022694602579443</v>
      </c>
      <c r="G486" s="54" t="s">
        <v>198</v>
      </c>
      <c r="H486" s="55">
        <f>SQRT(2/$V$3 * A486 * SQRT(Performance!$E$23 / (3 * Performance!$E$12)))</f>
        <v>19.181738547416128</v>
      </c>
      <c r="I486" s="55">
        <f>SQRT(2/$V$3 * A486 * (SQRT(Performance!$E$23)/(SQRT(3*Performance!$E$12 + 4* Performance!$E$23 * Performance!$E$11^2) - SQRT(Performance!$E$23)*Performance!$E$11)))</f>
        <v>20.177942876454892</v>
      </c>
      <c r="J486" t="e">
        <f xml:space="preserve"> $AC$3/G486 + $AC$6/A486 * Performance!$E$12 + Performance!$E$23/Constraints!$AC$6 * Constraints!A486</f>
        <v>#VALUE!</v>
      </c>
      <c r="K486">
        <f xml:space="preserve"> $AC$3/H486 + $AC$6/A486 * Performance!$E$12 + Performance!$E$23/Constraints!$AC$6 * Constraints!A486</f>
        <v>1.0437649751315663</v>
      </c>
      <c r="L486">
        <f xml:space="preserve"> $AC$3/I486 + $AC$6/A486 * Performance!$E$12 + Performance!$E$23/Constraints!$AC$6 * Constraints!A486</f>
        <v>1.0306898070159565</v>
      </c>
      <c r="M486">
        <f>SIN($AC$9 * PI()/180) + 1/Performance!$AE$5</f>
        <v>0.24073077270730886</v>
      </c>
      <c r="N486">
        <f>SIN($AC$9 * PI()/180) + 1/Performance!$AE$8</f>
        <v>0.22738716112204788</v>
      </c>
      <c r="O486" s="60">
        <f>$AC$16 * (Performance!$E$12/Constraints!A486 + Performance!$E$23 * (Constraints!$AC$13/Constraints!$AC$17)^2 * Constraints!A486)</f>
        <v>2.1096759040544063E-4</v>
      </c>
      <c r="P486" t="e">
        <f t="shared" si="31"/>
        <v>#VALUE!</v>
      </c>
      <c r="Q486">
        <f t="shared" si="32"/>
        <v>96.609304979351862</v>
      </c>
      <c r="R486">
        <f t="shared" si="33"/>
        <v>106.90470019302101</v>
      </c>
      <c r="S486" t="e">
        <f xml:space="preserve"> 1.667/G486 + P486/A486 * Performance!$E$12 + Performance!$E$23 / Constraints!P486 * Constraints!A486</f>
        <v>#VALUE!</v>
      </c>
      <c r="T486">
        <f xml:space="preserve"> 1.667/H486 + Q486/A486 * Performance!$E$12 + Performance!$E$23 / Constraints!Q486 * Constraints!A486</f>
        <v>0.19281854162938872</v>
      </c>
      <c r="U486">
        <f xml:space="preserve"> 1.667/I486 + R486/A486 * Performance!$E$12 + Performance!$E$23 / Constraints!R486 * Constraints!A486</f>
        <v>0.18075770846783951</v>
      </c>
    </row>
    <row r="487" spans="1:21" x14ac:dyDescent="0.3">
      <c r="A487" s="51">
        <v>242.5</v>
      </c>
      <c r="B487" s="50">
        <f>$V$4*Performance!$E$12*(1/A487)+Performance!$E$23*(1/Constraints!$V$4)*Constraints!A487</f>
        <v>0.12671788053945074</v>
      </c>
      <c r="C487" s="50">
        <f>$V$5*Performance!$E$12*(1/A487)+Performance!$E$23*(1/Constraints!$V$5)*Constraints!A487</f>
        <v>0.18897621834793263</v>
      </c>
      <c r="D487" s="52">
        <f t="shared" si="30"/>
        <v>0.38063357045851448</v>
      </c>
      <c r="E487" s="52">
        <f>$V$4*Performance!$E$12*(1/A487)+Performance!$E$23*(1/Constraints!$V$9)*Constraints!A487</f>
        <v>0.12562271169843642</v>
      </c>
      <c r="F487" s="52">
        <f xml:space="preserve"> 1.21 / (9.81 * Constraints!$N$7 * Performance!$E$15 * Constraints!$N$5 ) * Constraints!A487 + 0.605 /Performance!$E$15 * (Performance!$E$16  - Constraints!$N$6 * Performance!$E$14) + Constraints!$N$6</f>
        <v>0.38049895417874025</v>
      </c>
      <c r="G487" s="54" t="s">
        <v>198</v>
      </c>
      <c r="H487" s="55">
        <f>SQRT(2/$V$3 * A487 * SQRT(Performance!$E$23 / (3 * Performance!$E$12)))</f>
        <v>19.201544168125707</v>
      </c>
      <c r="I487" s="55">
        <f>SQRT(2/$V$3 * A487 * (SQRT(Performance!$E$23)/(SQRT(3*Performance!$E$12 + 4* Performance!$E$23 * Performance!$E$11^2) - SQRT(Performance!$E$23)*Performance!$E$11)))</f>
        <v>20.198777102837592</v>
      </c>
      <c r="J487" t="e">
        <f xml:space="preserve"> $AC$3/G487 + $AC$6/A487 * Performance!$E$12 + Performance!$E$23/Constraints!$AC$6 * Constraints!A487</f>
        <v>#VALUE!</v>
      </c>
      <c r="K487">
        <f xml:space="preserve"> $AC$3/H487 + $AC$6/A487 * Performance!$E$12 + Performance!$E$23/Constraints!$AC$6 * Constraints!A487</f>
        <v>1.0450951940606696</v>
      </c>
      <c r="L487">
        <f xml:space="preserve"> $AC$3/I487 + $AC$6/A487 * Performance!$E$12 + Performance!$E$23/Constraints!$AC$6 * Constraints!A487</f>
        <v>1.0320335124552145</v>
      </c>
      <c r="M487">
        <f>SIN($AC$9 * PI()/180) + 1/Performance!$AE$5</f>
        <v>0.24073077270730886</v>
      </c>
      <c r="N487">
        <f>SIN($AC$9 * PI()/180) + 1/Performance!$AE$8</f>
        <v>0.22738716112204788</v>
      </c>
      <c r="O487" s="60">
        <f>$AC$16 * (Performance!$E$12/Constraints!A487 + Performance!$E$23 * (Constraints!$AC$13/Constraints!$AC$17)^2 * Constraints!A487)</f>
        <v>2.1098431039142632E-4</v>
      </c>
      <c r="P487" t="e">
        <f t="shared" si="31"/>
        <v>#VALUE!</v>
      </c>
      <c r="Q487">
        <f t="shared" si="32"/>
        <v>96.808910981375334</v>
      </c>
      <c r="R487">
        <f t="shared" si="33"/>
        <v>107.12557767275867</v>
      </c>
      <c r="S487" t="e">
        <f xml:space="preserve"> 1.667/G487 + P487/A487 * Performance!$E$12 + Performance!$E$23 / Constraints!P487 * Constraints!A487</f>
        <v>#VALUE!</v>
      </c>
      <c r="T487">
        <f xml:space="preserve"> 1.667/H487 + Q487/A487 * Performance!$E$12 + Performance!$E$23 / Constraints!Q487 * Constraints!A487</f>
        <v>0.19272890202424134</v>
      </c>
      <c r="U487">
        <f xml:space="preserve"> 1.667/I487 + R487/A487 * Performance!$E$12 + Performance!$E$23 / Constraints!R487 * Constraints!A487</f>
        <v>0.18067249445568978</v>
      </c>
    </row>
    <row r="488" spans="1:21" x14ac:dyDescent="0.3">
      <c r="A488" s="51">
        <v>243</v>
      </c>
      <c r="B488" s="50">
        <f>$V$4*Performance!$E$12*(1/A488)+Performance!$E$23*(1/Constraints!$V$4)*Constraints!A488</f>
        <v>0.12649671738352858</v>
      </c>
      <c r="C488" s="50">
        <f>$V$5*Performance!$E$12*(1/A488)+Performance!$E$23*(1/Constraints!$V$5)*Constraints!A488</f>
        <v>0.188612727987994</v>
      </c>
      <c r="D488" s="52">
        <f t="shared" si="30"/>
        <v>0.38090585617080008</v>
      </c>
      <c r="E488" s="52">
        <f>$V$4*Performance!$E$12*(1/A488)+Performance!$E$23*(1/Constraints!$V$9)*Constraints!A488</f>
        <v>0.12539929046242967</v>
      </c>
      <c r="F488" s="52">
        <f xml:space="preserve"> 1.21 / (9.81 * Constraints!$N$7 * Performance!$E$15 * Constraints!$N$5 ) * Constraints!A488 + 0.605 /Performance!$E$15 * (Performance!$E$16  - Constraints!$N$6 * Performance!$E$14) + Constraints!$N$6</f>
        <v>0.38077096233168611</v>
      </c>
      <c r="G488" s="54" t="s">
        <v>198</v>
      </c>
      <c r="H488" s="55">
        <f>SQRT(2/$V$3 * A488 * SQRT(Performance!$E$23 / (3 * Performance!$E$12)))</f>
        <v>19.221329381172751</v>
      </c>
      <c r="I488" s="55">
        <f>SQRT(2/$V$3 * A488 * (SQRT(Performance!$E$23)/(SQRT(3*Performance!$E$12 + 4* Performance!$E$23 * Performance!$E$11^2) - SQRT(Performance!$E$23)*Performance!$E$11)))</f>
        <v>20.219589861685019</v>
      </c>
      <c r="J488" t="e">
        <f xml:space="preserve"> $AC$3/G488 + $AC$6/A488 * Performance!$E$12 + Performance!$E$23/Constraints!$AC$6 * Constraints!A488</f>
        <v>#VALUE!</v>
      </c>
      <c r="K488">
        <f xml:space="preserve"> $AC$3/H488 + $AC$6/A488 * Performance!$E$12 + Performance!$E$23/Constraints!$AC$6 * Constraints!A488</f>
        <v>1.0464262688095411</v>
      </c>
      <c r="L488">
        <f xml:space="preserve"> $AC$3/I488 + $AC$6/A488 * Performance!$E$12 + Performance!$E$23/Constraints!$AC$6 * Constraints!A488</f>
        <v>1.0333780320677679</v>
      </c>
      <c r="M488">
        <f>SIN($AC$9 * PI()/180) + 1/Performance!$AE$5</f>
        <v>0.24073077270730886</v>
      </c>
      <c r="N488">
        <f>SIN($AC$9 * PI()/180) + 1/Performance!$AE$8</f>
        <v>0.22738716112204788</v>
      </c>
      <c r="O488" s="60">
        <f>$AC$16 * (Performance!$E$12/Constraints!A488 + Performance!$E$23 * (Constraints!$AC$13/Constraints!$AC$17)^2 * Constraints!A488)</f>
        <v>2.1100189196360968E-4</v>
      </c>
      <c r="P488" t="e">
        <f t="shared" si="31"/>
        <v>#VALUE!</v>
      </c>
      <c r="Q488">
        <f t="shared" si="32"/>
        <v>97.008516983398764</v>
      </c>
      <c r="R488">
        <f t="shared" si="33"/>
        <v>107.34645515249632</v>
      </c>
      <c r="S488" t="e">
        <f xml:space="preserve"> 1.667/G488 + P488/A488 * Performance!$E$12 + Performance!$E$23 / Constraints!P488 * Constraints!A488</f>
        <v>#VALUE!</v>
      </c>
      <c r="T488">
        <f xml:space="preserve"> 1.667/H488 + Q488/A488 * Performance!$E$12 + Performance!$E$23 / Constraints!Q488 * Constraints!A488</f>
        <v>0.19263953922705523</v>
      </c>
      <c r="U488">
        <f xml:space="preserve"> 1.667/I488 + R488/A488 * Performance!$E$12 + Performance!$E$23 / Constraints!R488 * Constraints!A488</f>
        <v>0.18058754358522763</v>
      </c>
    </row>
    <row r="489" spans="1:21" x14ac:dyDescent="0.3">
      <c r="A489" s="51">
        <v>243.5</v>
      </c>
      <c r="B489" s="50">
        <f>$V$4*Performance!$E$12*(1/A489)+Performance!$E$23*(1/Constraints!$V$4)*Constraints!A489</f>
        <v>0.12627654383805967</v>
      </c>
      <c r="C489" s="50">
        <f>$V$5*Performance!$E$12*(1/A489)+Performance!$E$23*(1/Constraints!$V$5)*Constraints!A489</f>
        <v>0.18825078250777211</v>
      </c>
      <c r="D489" s="52">
        <f t="shared" si="30"/>
        <v>0.38117814188308563</v>
      </c>
      <c r="E489" s="52">
        <f>$V$4*Performance!$E$12*(1/A489)+Performance!$E$23*(1/Constraints!$V$9)*Constraints!A489</f>
        <v>0.12517685883687624</v>
      </c>
      <c r="F489" s="52">
        <f xml:space="preserve"> 1.21 / (9.81 * Constraints!$N$7 * Performance!$E$15 * Constraints!$N$5 ) * Constraints!A489 + 0.605 /Performance!$E$15 * (Performance!$E$16  - Constraints!$N$6 * Performance!$E$14) + Constraints!$N$6</f>
        <v>0.38104297048463198</v>
      </c>
      <c r="G489" s="54" t="s">
        <v>198</v>
      </c>
      <c r="H489" s="55">
        <f>SQRT(2/$V$3 * A489 * SQRT(Performance!$E$23 / (3 * Performance!$E$12)))</f>
        <v>19.241094249511576</v>
      </c>
      <c r="I489" s="55">
        <f>SQRT(2/$V$3 * A489 * (SQRT(Performance!$E$23)/(SQRT(3*Performance!$E$12 + 4* Performance!$E$23 * Performance!$E$11^2) - SQRT(Performance!$E$23)*Performance!$E$11)))</f>
        <v>20.240381219221021</v>
      </c>
      <c r="J489" t="e">
        <f xml:space="preserve"> $AC$3/G489 + $AC$6/A489 * Performance!$E$12 + Performance!$E$23/Constraints!$AC$6 * Constraints!A489</f>
        <v>#VALUE!</v>
      </c>
      <c r="K489">
        <f xml:space="preserve"> $AC$3/H489 + $AC$6/A489 * Performance!$E$12 + Performance!$E$23/Constraints!$AC$6 * Constraints!A489</f>
        <v>1.0477581949700234</v>
      </c>
      <c r="L489">
        <f xml:space="preserve"> $AC$3/I489 + $AC$6/A489 * Performance!$E$12 + Performance!$E$23/Constraints!$AC$6 * Constraints!A489</f>
        <v>1.0347233616593603</v>
      </c>
      <c r="M489">
        <f>SIN($AC$9 * PI()/180) + 1/Performance!$AE$5</f>
        <v>0.24073077270730886</v>
      </c>
      <c r="N489">
        <f>SIN($AC$9 * PI()/180) + 1/Performance!$AE$8</f>
        <v>0.22738716112204788</v>
      </c>
      <c r="O489" s="60">
        <f>$AC$16 * (Performance!$E$12/Constraints!A489 + Performance!$E$23 * (Constraints!$AC$13/Constraints!$AC$17)^2 * Constraints!A489)</f>
        <v>2.1102032981447805E-4</v>
      </c>
      <c r="P489" t="e">
        <f t="shared" si="31"/>
        <v>#VALUE!</v>
      </c>
      <c r="Q489">
        <f t="shared" si="32"/>
        <v>97.208122985422236</v>
      </c>
      <c r="R489">
        <f t="shared" si="33"/>
        <v>107.56733263223396</v>
      </c>
      <c r="S489" t="e">
        <f xml:space="preserve"> 1.667/G489 + P489/A489 * Performance!$E$12 + Performance!$E$23 / Constraints!P489 * Constraints!A489</f>
        <v>#VALUE!</v>
      </c>
      <c r="T489">
        <f xml:space="preserve"> 1.667/H489 + Q489/A489 * Performance!$E$12 + Performance!$E$23 / Constraints!Q489 * Constraints!A489</f>
        <v>0.19255045181611416</v>
      </c>
      <c r="U489">
        <f xml:space="preserve"> 1.667/I489 + R489/A489 * Performance!$E$12 + Performance!$E$23 / Constraints!R489 * Constraints!A489</f>
        <v>0.18050285450492842</v>
      </c>
    </row>
    <row r="490" spans="1:21" x14ac:dyDescent="0.3">
      <c r="A490" s="51">
        <v>244</v>
      </c>
      <c r="B490" s="50">
        <f>$V$4*Performance!$E$12*(1/A490)+Performance!$E$23*(1/Constraints!$V$4)*Constraints!A490</f>
        <v>0.12605735381937327</v>
      </c>
      <c r="C490" s="50">
        <f>$V$5*Performance!$E$12*(1/A490)+Performance!$E$23*(1/Constraints!$V$5)*Constraints!A490</f>
        <v>0.18789037241005566</v>
      </c>
      <c r="D490" s="52">
        <f t="shared" si="30"/>
        <v>0.38145042759537129</v>
      </c>
      <c r="E490" s="52">
        <f>$V$4*Performance!$E$12*(1/A490)+Performance!$E$23*(1/Constraints!$V$9)*Constraints!A490</f>
        <v>0.12495541073810526</v>
      </c>
      <c r="F490" s="52">
        <f xml:space="preserve"> 1.21 / (9.81 * Constraints!$N$7 * Performance!$E$15 * Constraints!$N$5 ) * Constraints!A490 + 0.605 /Performance!$E$15 * (Performance!$E$16  - Constraints!$N$6 * Performance!$E$14) + Constraints!$N$6</f>
        <v>0.38131497863757785</v>
      </c>
      <c r="G490" s="54" t="s">
        <v>198</v>
      </c>
      <c r="H490" s="55">
        <f>SQRT(2/$V$3 * A490 * SQRT(Performance!$E$23 / (3 * Performance!$E$12)))</f>
        <v>19.260838835773484</v>
      </c>
      <c r="I490" s="55">
        <f>SQRT(2/$V$3 * A490 * (SQRT(Performance!$E$23)/(SQRT(3*Performance!$E$12 + 4* Performance!$E$23 * Performance!$E$11^2) - SQRT(Performance!$E$23)*Performance!$E$11)))</f>
        <v>20.26115124132966</v>
      </c>
      <c r="J490" t="e">
        <f xml:space="preserve"> $AC$3/G490 + $AC$6/A490 * Performance!$E$12 + Performance!$E$23/Constraints!$AC$6 * Constraints!A490</f>
        <v>#VALUE!</v>
      </c>
      <c r="K490">
        <f xml:space="preserve"> $AC$3/H490 + $AC$6/A490 * Performance!$E$12 + Performance!$E$23/Constraints!$AC$6 * Constraints!A490</f>
        <v>1.0490909681656686</v>
      </c>
      <c r="L490">
        <f xml:space="preserve"> $AC$3/I490 + $AC$6/A490 * Performance!$E$12 + Performance!$E$23/Constraints!$AC$6 * Constraints!A490</f>
        <v>1.0360694970659095</v>
      </c>
      <c r="M490">
        <f>SIN($AC$9 * PI()/180) + 1/Performance!$AE$5</f>
        <v>0.24073077270730886</v>
      </c>
      <c r="N490">
        <f>SIN($AC$9 * PI()/180) + 1/Performance!$AE$8</f>
        <v>0.22738716112204788</v>
      </c>
      <c r="O490" s="60">
        <f>$AC$16 * (Performance!$E$12/Constraints!A490 + Performance!$E$23 * (Constraints!$AC$13/Constraints!$AC$17)^2 * Constraints!A490)</f>
        <v>2.1103961868002322E-4</v>
      </c>
      <c r="P490" t="e">
        <f t="shared" si="31"/>
        <v>#VALUE!</v>
      </c>
      <c r="Q490">
        <f t="shared" si="32"/>
        <v>97.407728987445708</v>
      </c>
      <c r="R490">
        <f t="shared" si="33"/>
        <v>107.78821011197161</v>
      </c>
      <c r="S490" t="e">
        <f xml:space="preserve"> 1.667/G490 + P490/A490 * Performance!$E$12 + Performance!$E$23 / Constraints!P490 * Constraints!A490</f>
        <v>#VALUE!</v>
      </c>
      <c r="T490">
        <f xml:space="preserve"> 1.667/H490 + Q490/A490 * Performance!$E$12 + Performance!$E$23 / Constraints!Q490 * Constraints!A490</f>
        <v>0.19246163837990404</v>
      </c>
      <c r="U490">
        <f xml:space="preserve"> 1.667/I490 + R490/A490 * Performance!$E$12 + Performance!$E$23 / Constraints!R490 * Constraints!A490</f>
        <v>0.18041842587296575</v>
      </c>
    </row>
    <row r="491" spans="1:21" x14ac:dyDescent="0.3">
      <c r="A491" s="51">
        <v>244.5</v>
      </c>
      <c r="B491" s="50">
        <f>$V$4*Performance!$E$12*(1/A491)+Performance!$E$23*(1/Constraints!$V$4)*Constraints!A491</f>
        <v>0.12583914129356272</v>
      </c>
      <c r="C491" s="50">
        <f>$V$5*Performance!$E$12*(1/A491)+Performance!$E$23*(1/Constraints!$V$5)*Constraints!A491</f>
        <v>0.18753148827532004</v>
      </c>
      <c r="D491" s="52">
        <f t="shared" si="30"/>
        <v>0.38172271330765684</v>
      </c>
      <c r="E491" s="52">
        <f>$V$4*Performance!$E$12*(1/A491)+Performance!$E$23*(1/Constraints!$V$9)*Constraints!A491</f>
        <v>0.12473494013221013</v>
      </c>
      <c r="F491" s="52">
        <f xml:space="preserve"> 1.21 / (9.81 * Constraints!$N$7 * Performance!$E$15 * Constraints!$N$5 ) * Constraints!A491 + 0.605 /Performance!$E$15 * (Performance!$E$16  - Constraints!$N$6 * Performance!$E$14) + Constraints!$N$6</f>
        <v>0.38158698679052372</v>
      </c>
      <c r="G491" s="54" t="s">
        <v>198</v>
      </c>
      <c r="H491" s="55">
        <f>SQRT(2/$V$3 * A491 * SQRT(Performance!$E$23 / (3 * Performance!$E$12)))</f>
        <v>19.280563202269082</v>
      </c>
      <c r="I491" s="55">
        <f>SQRT(2/$V$3 * A491 * (SQRT(Performance!$E$23)/(SQRT(3*Performance!$E$12 + 4* Performance!$E$23 * Performance!$E$11^2) - SQRT(Performance!$E$23)*Performance!$E$11)))</f>
        <v>20.281899993557651</v>
      </c>
      <c r="J491" t="e">
        <f xml:space="preserve"> $AC$3/G491 + $AC$6/A491 * Performance!$E$12 + Performance!$E$23/Constraints!$AC$6 * Constraints!A491</f>
        <v>#VALUE!</v>
      </c>
      <c r="K491">
        <f xml:space="preserve"> $AC$3/H491 + $AC$6/A491 * Performance!$E$12 + Performance!$E$23/Constraints!$AC$6 * Constraints!A491</f>
        <v>1.0504245840514446</v>
      </c>
      <c r="L491">
        <f xml:space="preserve"> $AC$3/I491 + $AC$6/A491 * Performance!$E$12 + Performance!$E$23/Constraints!$AC$6 * Constraints!A491</f>
        <v>1.0374164341532286</v>
      </c>
      <c r="M491">
        <f>SIN($AC$9 * PI()/180) + 1/Performance!$AE$5</f>
        <v>0.24073077270730886</v>
      </c>
      <c r="N491">
        <f>SIN($AC$9 * PI()/180) + 1/Performance!$AE$8</f>
        <v>0.22738716112204788</v>
      </c>
      <c r="O491" s="60">
        <f>$AC$16 * (Performance!$E$12/Constraints!A491 + Performance!$E$23 * (Constraints!$AC$13/Constraints!$AC$17)^2 * Constraints!A491)</f>
        <v>2.1105975333929623E-4</v>
      </c>
      <c r="P491" t="e">
        <f t="shared" si="31"/>
        <v>#VALUE!</v>
      </c>
      <c r="Q491">
        <f t="shared" si="32"/>
        <v>97.607334989469166</v>
      </c>
      <c r="R491">
        <f t="shared" si="33"/>
        <v>108.00908759170926</v>
      </c>
      <c r="S491" t="e">
        <f xml:space="preserve"> 1.667/G491 + P491/A491 * Performance!$E$12 + Performance!$E$23 / Constraints!P491 * Constraints!A491</f>
        <v>#VALUE!</v>
      </c>
      <c r="T491">
        <f xml:space="preserve"> 1.667/H491 + Q491/A491 * Performance!$E$12 + Performance!$E$23 / Constraints!Q491 * Constraints!A491</f>
        <v>0.19237309751701875</v>
      </c>
      <c r="U491">
        <f xml:space="preserve"> 1.667/I491 + R491/A491 * Performance!$E$12 + Performance!$E$23 / Constraints!R491 * Constraints!A491</f>
        <v>0.1803342563571223</v>
      </c>
    </row>
    <row r="492" spans="1:21" x14ac:dyDescent="0.3">
      <c r="A492" s="51">
        <v>245</v>
      </c>
      <c r="B492" s="50">
        <f>$V$4*Performance!$E$12*(1/A492)+Performance!$E$23*(1/Constraints!$V$4)*Constraints!A492</f>
        <v>0.12562190027597772</v>
      </c>
      <c r="C492" s="50">
        <f>$V$5*Performance!$E$12*(1/A492)+Performance!$E$23*(1/Constraints!$V$5)*Constraints!A492</f>
        <v>0.18717412076093479</v>
      </c>
      <c r="D492" s="52">
        <f t="shared" si="30"/>
        <v>0.38199499901994249</v>
      </c>
      <c r="E492" s="52">
        <f>$V$4*Performance!$E$12*(1/A492)+Performance!$E$23*(1/Constraints!$V$9)*Constraints!A492</f>
        <v>0.12451544103454057</v>
      </c>
      <c r="F492" s="52">
        <f xml:space="preserve"> 1.21 / (9.81 * Constraints!$N$7 * Performance!$E$15 * Constraints!$N$5 ) * Constraints!A492 + 0.605 /Performance!$E$15 * (Performance!$E$16  - Constraints!$N$6 * Performance!$E$14) + Constraints!$N$6</f>
        <v>0.38185899494346953</v>
      </c>
      <c r="G492" s="54" t="s">
        <v>198</v>
      </c>
      <c r="H492" s="55">
        <f>SQRT(2/$V$3 * A492 * SQRT(Performance!$E$23 / (3 * Performance!$E$12)))</f>
        <v>19.300267410990578</v>
      </c>
      <c r="I492" s="55">
        <f>SQRT(2/$V$3 * A492 * (SQRT(Performance!$E$23)/(SQRT(3*Performance!$E$12 + 4* Performance!$E$23 * Performance!$E$11^2) - SQRT(Performance!$E$23)*Performance!$E$11)))</f>
        <v>20.30262754111677</v>
      </c>
      <c r="J492" t="e">
        <f xml:space="preserve"> $AC$3/G492 + $AC$6/A492 * Performance!$E$12 + Performance!$E$23/Constraints!$AC$6 * Constraints!A492</f>
        <v>#VALUE!</v>
      </c>
      <c r="K492">
        <f xml:space="preserve"> $AC$3/H492 + $AC$6/A492 * Performance!$E$12 + Performance!$E$23/Constraints!$AC$6 * Constraints!A492</f>
        <v>1.0517590383134474</v>
      </c>
      <c r="L492">
        <f xml:space="preserve"> $AC$3/I492 + $AC$6/A492 * Performance!$E$12 + Performance!$E$23/Constraints!$AC$6 * Constraints!A492</f>
        <v>1.0387641688167522</v>
      </c>
      <c r="M492">
        <f>SIN($AC$9 * PI()/180) + 1/Performance!$AE$5</f>
        <v>0.24073077270730886</v>
      </c>
      <c r="N492">
        <f>SIN($AC$9 * PI()/180) + 1/Performance!$AE$8</f>
        <v>0.22738716112204788</v>
      </c>
      <c r="O492" s="60">
        <f>$AC$16 * (Performance!$E$12/Constraints!A492 + Performance!$E$23 * (Constraints!$AC$13/Constraints!$AC$17)^2 * Constraints!A492)</f>
        <v>2.1108072861396814E-4</v>
      </c>
      <c r="P492" t="e">
        <f t="shared" si="31"/>
        <v>#VALUE!</v>
      </c>
      <c r="Q492">
        <f t="shared" si="32"/>
        <v>97.806940991492567</v>
      </c>
      <c r="R492">
        <f t="shared" si="33"/>
        <v>108.22996507144688</v>
      </c>
      <c r="S492" t="e">
        <f xml:space="preserve"> 1.667/G492 + P492/A492 * Performance!$E$12 + Performance!$E$23 / Constraints!P492 * Constraints!A492</f>
        <v>#VALUE!</v>
      </c>
      <c r="T492">
        <f xml:space="preserve"> 1.667/H492 + Q492/A492 * Performance!$E$12 + Performance!$E$23 / Constraints!Q492 * Constraints!A492</f>
        <v>0.19228482783606737</v>
      </c>
      <c r="U492">
        <f xml:space="preserve"> 1.667/I492 + R492/A492 * Performance!$E$12 + Performance!$E$23 / Constraints!R492 * Constraints!A492</f>
        <v>0.18025034463470135</v>
      </c>
    </row>
    <row r="493" spans="1:21" x14ac:dyDescent="0.3">
      <c r="A493" s="51">
        <v>245.5</v>
      </c>
      <c r="B493" s="50">
        <f>$V$4*Performance!$E$12*(1/A493)+Performance!$E$23*(1/Constraints!$V$4)*Constraints!A493</f>
        <v>0.12540562483072282</v>
      </c>
      <c r="C493" s="50">
        <f>$V$5*Performance!$E$12*(1/A493)+Performance!$E$23*(1/Constraints!$V$5)*Constraints!A493</f>
        <v>0.1868182606003804</v>
      </c>
      <c r="D493" s="52">
        <f t="shared" si="30"/>
        <v>0.38226728473222804</v>
      </c>
      <c r="E493" s="52">
        <f>$V$4*Performance!$E$12*(1/A493)+Performance!$E$23*(1/Constraints!$V$9)*Constraints!A493</f>
        <v>0.12429690750920108</v>
      </c>
      <c r="F493" s="52">
        <f xml:space="preserve"> 1.21 / (9.81 * Constraints!$N$7 * Performance!$E$15 * Constraints!$N$5 ) * Constraints!A493 + 0.605 /Performance!$E$15 * (Performance!$E$16  - Constraints!$N$6 * Performance!$E$14) + Constraints!$N$6</f>
        <v>0.3821310030964154</v>
      </c>
      <c r="G493" s="54" t="s">
        <v>198</v>
      </c>
      <c r="H493" s="55">
        <f>SQRT(2/$V$3 * A493 * SQRT(Performance!$E$23 / (3 * Performance!$E$12)))</f>
        <v>19.319951523614069</v>
      </c>
      <c r="I493" s="55">
        <f>SQRT(2/$V$3 * A493 * (SQRT(Performance!$E$23)/(SQRT(3*Performance!$E$12 + 4* Performance!$E$23 * Performance!$E$11^2) - SQRT(Performance!$E$23)*Performance!$E$11)))</f>
        <v>20.323333948886258</v>
      </c>
      <c r="J493" t="e">
        <f xml:space="preserve"> $AC$3/G493 + $AC$6/A493 * Performance!$E$12 + Performance!$E$23/Constraints!$AC$6 * Constraints!A493</f>
        <v>#VALUE!</v>
      </c>
      <c r="K493">
        <f xml:space="preserve"> $AC$3/H493 + $AC$6/A493 * Performance!$E$12 + Performance!$E$23/Constraints!$AC$6 * Constraints!A493</f>
        <v>1.0530943266686146</v>
      </c>
      <c r="L493">
        <f xml:space="preserve"> $AC$3/I493 + $AC$6/A493 * Performance!$E$12 + Performance!$E$23/Constraints!$AC$6 * Constraints!A493</f>
        <v>1.0401126969812629</v>
      </c>
      <c r="M493">
        <f>SIN($AC$9 * PI()/180) + 1/Performance!$AE$5</f>
        <v>0.24073077270730886</v>
      </c>
      <c r="N493">
        <f>SIN($AC$9 * PI()/180) + 1/Performance!$AE$8</f>
        <v>0.22738716112204788</v>
      </c>
      <c r="O493" s="60">
        <f>$AC$16 * (Performance!$E$12/Constraints!A493 + Performance!$E$23 * (Constraints!$AC$13/Constraints!$AC$17)^2 * Constraints!A493)</f>
        <v>2.1110253936789593E-4</v>
      </c>
      <c r="P493" t="e">
        <f t="shared" si="31"/>
        <v>#VALUE!</v>
      </c>
      <c r="Q493">
        <f t="shared" si="32"/>
        <v>98.006546993516039</v>
      </c>
      <c r="R493">
        <f t="shared" si="33"/>
        <v>108.45084255118455</v>
      </c>
      <c r="S493" t="e">
        <f xml:space="preserve"> 1.667/G493 + P493/A493 * Performance!$E$12 + Performance!$E$23 / Constraints!P493 * Constraints!A493</f>
        <v>#VALUE!</v>
      </c>
      <c r="T493">
        <f xml:space="preserve"> 1.667/H493 + Q493/A493 * Performance!$E$12 + Performance!$E$23 / Constraints!Q493 * Constraints!A493</f>
        <v>0.19219682795558204</v>
      </c>
      <c r="U493">
        <f xml:space="preserve"> 1.667/I493 + R493/A493 * Performance!$E$12 + Performance!$E$23 / Constraints!R493 * Constraints!A493</f>
        <v>0.18016668939243966</v>
      </c>
    </row>
    <row r="494" spans="1:21" x14ac:dyDescent="0.3">
      <c r="A494" s="51">
        <v>246</v>
      </c>
      <c r="B494" s="50">
        <f>$V$4*Performance!$E$12*(1/A494)+Performance!$E$23*(1/Constraints!$V$4)*Constraints!A494</f>
        <v>0.12519030907016188</v>
      </c>
      <c r="C494" s="50">
        <f>$V$5*Performance!$E$12*(1/A494)+Performance!$E$23*(1/Constraints!$V$5)*Constraints!A494</f>
        <v>0.18646389860247506</v>
      </c>
      <c r="D494" s="52">
        <f t="shared" si="30"/>
        <v>0.38253957044451364</v>
      </c>
      <c r="E494" s="52">
        <f>$V$4*Performance!$E$12*(1/A494)+Performance!$E$23*(1/Constraints!$V$9)*Constraints!A494</f>
        <v>0.1240793336685556</v>
      </c>
      <c r="F494" s="52">
        <f xml:space="preserve"> 1.21 / (9.81 * Constraints!$N$7 * Performance!$E$15 * Constraints!$N$5 ) * Constraints!A494 + 0.605 /Performance!$E$15 * (Performance!$E$16  - Constraints!$N$6 * Performance!$E$14) + Constraints!$N$6</f>
        <v>0.38240301124936127</v>
      </c>
      <c r="G494" s="54" t="s">
        <v>198</v>
      </c>
      <c r="H494" s="55">
        <f>SQRT(2/$V$3 * A494 * SQRT(Performance!$E$23 / (3 * Performance!$E$12)))</f>
        <v>19.339615601501755</v>
      </c>
      <c r="I494" s="55">
        <f>SQRT(2/$V$3 * A494 * (SQRT(Performance!$E$23)/(SQRT(3*Performance!$E$12 + 4* Performance!$E$23 * Performance!$E$11^2) - SQRT(Performance!$E$23)*Performance!$E$11)))</f>
        <v>20.344019281415168</v>
      </c>
      <c r="J494" t="e">
        <f xml:space="preserve"> $AC$3/G494 + $AC$6/A494 * Performance!$E$12 + Performance!$E$23/Constraints!$AC$6 * Constraints!A494</f>
        <v>#VALUE!</v>
      </c>
      <c r="K494">
        <f xml:space="preserve"> $AC$3/H494 + $AC$6/A494 * Performance!$E$12 + Performance!$E$23/Constraints!$AC$6 * Constraints!A494</f>
        <v>1.0544304448644417</v>
      </c>
      <c r="L494">
        <f xml:space="preserve"> $AC$3/I494 + $AC$6/A494 * Performance!$E$12 + Performance!$E$23/Constraints!$AC$6 * Constraints!A494</f>
        <v>1.0414620146006228</v>
      </c>
      <c r="M494">
        <f>SIN($AC$9 * PI()/180) + 1/Performance!$AE$5</f>
        <v>0.24073077270730886</v>
      </c>
      <c r="N494">
        <f>SIN($AC$9 * PI()/180) + 1/Performance!$AE$8</f>
        <v>0.22738716112204788</v>
      </c>
      <c r="O494" s="60">
        <f>$AC$16 * (Performance!$E$12/Constraints!A494 + Performance!$E$23 * (Constraints!$AC$13/Constraints!$AC$17)^2 * Constraints!A494)</f>
        <v>2.1112518050669398E-4</v>
      </c>
      <c r="P494" t="e">
        <f t="shared" si="31"/>
        <v>#VALUE!</v>
      </c>
      <c r="Q494">
        <f t="shared" si="32"/>
        <v>98.206152995539497</v>
      </c>
      <c r="R494">
        <f t="shared" si="33"/>
        <v>108.6717200309222</v>
      </c>
      <c r="S494" t="e">
        <f xml:space="preserve"> 1.667/G494 + P494/A494 * Performance!$E$12 + Performance!$E$23 / Constraints!P494 * Constraints!A494</f>
        <v>#VALUE!</v>
      </c>
      <c r="T494">
        <f xml:space="preserve"> 1.667/H494 + Q494/A494 * Performance!$E$12 + Performance!$E$23 / Constraints!Q494 * Constraints!A494</f>
        <v>0.19210909650392785</v>
      </c>
      <c r="U494">
        <f xml:space="preserve"> 1.667/I494 + R494/A494 * Performance!$E$12 + Performance!$E$23 / Constraints!R494 * Constraints!A494</f>
        <v>0.18008328932642104</v>
      </c>
    </row>
    <row r="495" spans="1:21" x14ac:dyDescent="0.3">
      <c r="A495" s="51">
        <v>246.5</v>
      </c>
      <c r="B495" s="50">
        <f>$V$4*Performance!$E$12*(1/A495)+Performance!$E$23*(1/Constraints!$V$4)*Constraints!A495</f>
        <v>0.12497594715442858</v>
      </c>
      <c r="C495" s="50">
        <f>$V$5*Performance!$E$12*(1/A495)+Performance!$E$23*(1/Constraints!$V$5)*Constraints!A495</f>
        <v>0.18611102565061027</v>
      </c>
      <c r="D495" s="52">
        <f t="shared" si="30"/>
        <v>0.38281185615679925</v>
      </c>
      <c r="E495" s="52">
        <f>$V$4*Performance!$E$12*(1/A495)+Performance!$E$23*(1/Constraints!$V$9)*Constraints!A495</f>
        <v>0.12386271367273774</v>
      </c>
      <c r="F495" s="52">
        <f xml:space="preserve"> 1.21 / (9.81 * Constraints!$N$7 * Performance!$E$15 * Constraints!$N$5 ) * Constraints!A495 + 0.605 /Performance!$E$15 * (Performance!$E$16  - Constraints!$N$6 * Performance!$E$14) + Constraints!$N$6</f>
        <v>0.38267501940230708</v>
      </c>
      <c r="G495" s="54" t="s">
        <v>198</v>
      </c>
      <c r="H495" s="55">
        <f>SQRT(2/$V$3 * A495 * SQRT(Performance!$E$23 / (3 * Performance!$E$12)))</f>
        <v>19.359259705704211</v>
      </c>
      <c r="I495" s="55">
        <f>SQRT(2/$V$3 * A495 * (SQRT(Performance!$E$23)/(SQRT(3*Performance!$E$12 + 4* Performance!$E$23 * Performance!$E$11^2) - SQRT(Performance!$E$23)*Performance!$E$11)))</f>
        <v>20.364683602924732</v>
      </c>
      <c r="J495" t="e">
        <f xml:space="preserve"> $AC$3/G495 + $AC$6/A495 * Performance!$E$12 + Performance!$E$23/Constraints!$AC$6 * Constraints!A495</f>
        <v>#VALUE!</v>
      </c>
      <c r="K495">
        <f xml:space="preserve"> $AC$3/H495 + $AC$6/A495 * Performance!$E$12 + Performance!$E$23/Constraints!$AC$6 * Constraints!A495</f>
        <v>1.055767388678704</v>
      </c>
      <c r="L495">
        <f xml:space="preserve"> $AC$3/I495 + $AC$6/A495 * Performance!$E$12 + Performance!$E$23/Constraints!$AC$6 * Constraints!A495</f>
        <v>1.0428121176575069</v>
      </c>
      <c r="M495">
        <f>SIN($AC$9 * PI()/180) + 1/Performance!$AE$5</f>
        <v>0.24073077270730886</v>
      </c>
      <c r="N495">
        <f>SIN($AC$9 * PI()/180) + 1/Performance!$AE$8</f>
        <v>0.22738716112204788</v>
      </c>
      <c r="O495" s="60">
        <f>$AC$16 * (Performance!$E$12/Constraints!A495 + Performance!$E$23 * (Constraints!$AC$13/Constraints!$AC$17)^2 * Constraints!A495)</f>
        <v>2.1114864697731025E-4</v>
      </c>
      <c r="P495" t="e">
        <f t="shared" si="31"/>
        <v>#VALUE!</v>
      </c>
      <c r="Q495">
        <f t="shared" si="32"/>
        <v>98.405758997562955</v>
      </c>
      <c r="R495">
        <f t="shared" si="33"/>
        <v>108.89259751065983</v>
      </c>
      <c r="S495" t="e">
        <f xml:space="preserve"> 1.667/G495 + P495/A495 * Performance!$E$12 + Performance!$E$23 / Constraints!P495 * Constraints!A495</f>
        <v>#VALUE!</v>
      </c>
      <c r="T495">
        <f xml:space="preserve"> 1.667/H495 + Q495/A495 * Performance!$E$12 + Performance!$E$23 / Constraints!Q495 * Constraints!A495</f>
        <v>0.1920216321192123</v>
      </c>
      <c r="U495">
        <f xml:space="preserve"> 1.667/I495 + R495/A495 * Performance!$E$12 + Performance!$E$23 / Constraints!R495 * Constraints!A495</f>
        <v>0.18000014314199103</v>
      </c>
    </row>
    <row r="496" spans="1:21" x14ac:dyDescent="0.3">
      <c r="A496" s="51">
        <v>247</v>
      </c>
      <c r="B496" s="50">
        <f>$V$4*Performance!$E$12*(1/A496)+Performance!$E$23*(1/Constraints!$V$4)*Constraints!A496</f>
        <v>0.12476253329094303</v>
      </c>
      <c r="C496" s="50">
        <f>$V$5*Performance!$E$12*(1/A496)+Performance!$E$23*(1/Constraints!$V$5)*Constraints!A496</f>
        <v>0.18575963270199636</v>
      </c>
      <c r="D496" s="52">
        <f t="shared" si="30"/>
        <v>0.38308414186908485</v>
      </c>
      <c r="E496" s="52">
        <f>$V$4*Performance!$E$12*(1/A496)+Performance!$E$23*(1/Constraints!$V$9)*Constraints!A496</f>
        <v>0.12364704172916761</v>
      </c>
      <c r="F496" s="52">
        <f xml:space="preserve"> 1.21 / (9.81 * Constraints!$N$7 * Performance!$E$15 * Constraints!$N$5 ) * Constraints!A496 + 0.605 /Performance!$E$15 * (Performance!$E$16  - Constraints!$N$6 * Performance!$E$14) + Constraints!$N$6</f>
        <v>0.38294702755525301</v>
      </c>
      <c r="G496" s="54" t="s">
        <v>198</v>
      </c>
      <c r="H496" s="55">
        <f>SQRT(2/$V$3 * A496 * SQRT(Performance!$E$23 / (3 * Performance!$E$12)))</f>
        <v>19.37888389696257</v>
      </c>
      <c r="I496" s="55">
        <f>SQRT(2/$V$3 * A496 * (SQRT(Performance!$E$23)/(SQRT(3*Performance!$E$12 + 4* Performance!$E$23 * Performance!$E$11^2) - SQRT(Performance!$E$23)*Performance!$E$11)))</f>
        <v>20.385326977310687</v>
      </c>
      <c r="J496" t="e">
        <f xml:space="preserve"> $AC$3/G496 + $AC$6/A496 * Performance!$E$12 + Performance!$E$23/Constraints!$AC$6 * Constraints!A496</f>
        <v>#VALUE!</v>
      </c>
      <c r="K496">
        <f xml:space="preserve"> $AC$3/H496 + $AC$6/A496 * Performance!$E$12 + Performance!$E$23/Constraints!$AC$6 * Constraints!A496</f>
        <v>1.0571051539191783</v>
      </c>
      <c r="L496">
        <f xml:space="preserve"> $AC$3/I496 + $AC$6/A496 * Performance!$E$12 + Performance!$E$23/Constraints!$AC$6 * Constraints!A496</f>
        <v>1.0441630021631396</v>
      </c>
      <c r="M496">
        <f>SIN($AC$9 * PI()/180) + 1/Performance!$AE$5</f>
        <v>0.24073077270730886</v>
      </c>
      <c r="N496">
        <f>SIN($AC$9 * PI()/180) + 1/Performance!$AE$8</f>
        <v>0.22738716112204788</v>
      </c>
      <c r="O496" s="60">
        <f>$AC$16 * (Performance!$E$12/Constraints!A496 + Performance!$E$23 * (Constraints!$AC$13/Constraints!$AC$17)^2 * Constraints!A496)</f>
        <v>2.1117293376760827E-4</v>
      </c>
      <c r="P496" t="e">
        <f t="shared" si="31"/>
        <v>#VALUE!</v>
      </c>
      <c r="Q496">
        <f t="shared" si="32"/>
        <v>98.605364999586399</v>
      </c>
      <c r="R496">
        <f t="shared" si="33"/>
        <v>109.11347499039746</v>
      </c>
      <c r="S496" t="e">
        <f xml:space="preserve"> 1.667/G496 + P496/A496 * Performance!$E$12 + Performance!$E$23 / Constraints!P496 * Constraints!A496</f>
        <v>#VALUE!</v>
      </c>
      <c r="T496">
        <f xml:space="preserve"> 1.667/H496 + Q496/A496 * Performance!$E$12 + Performance!$E$23 / Constraints!Q496 * Constraints!A496</f>
        <v>0.19193443344919692</v>
      </c>
      <c r="U496">
        <f xml:space="preserve"> 1.667/I496 + R496/A496 * Performance!$E$12 + Performance!$E$23 / Constraints!R496 * Constraints!A496</f>
        <v>0.17991724955367244</v>
      </c>
    </row>
    <row r="497" spans="1:21" x14ac:dyDescent="0.3">
      <c r="A497" s="51">
        <v>247.5</v>
      </c>
      <c r="B497" s="50">
        <f>$V$4*Performance!$E$12*(1/A497)+Performance!$E$23*(1/Constraints!$V$4)*Constraints!A497</f>
        <v>0.124550061733934</v>
      </c>
      <c r="C497" s="50">
        <f>$V$5*Performance!$E$12*(1/A497)+Performance!$E$23*(1/Constraints!$V$5)*Constraints!A497</f>
        <v>0.18540971078691665</v>
      </c>
      <c r="D497" s="52">
        <f t="shared" si="30"/>
        <v>0.38335642758137045</v>
      </c>
      <c r="E497" s="52">
        <f>$V$4*Performance!$E$12*(1/A497)+Performance!$E$23*(1/Constraints!$V$9)*Constraints!A497</f>
        <v>0.12343231209207402</v>
      </c>
      <c r="F497" s="52">
        <f xml:space="preserve"> 1.21 / (9.81 * Constraints!$N$7 * Performance!$E$15 * Constraints!$N$5 ) * Constraints!A497 + 0.605 /Performance!$E$15 * (Performance!$E$16  - Constraints!$N$6 * Performance!$E$14) + Constraints!$N$6</f>
        <v>0.38321903570819882</v>
      </c>
      <c r="G497" s="54" t="s">
        <v>198</v>
      </c>
      <c r="H497" s="55">
        <f>SQRT(2/$V$3 * A497 * SQRT(Performance!$E$23 / (3 * Performance!$E$12)))</f>
        <v>19.398488235710733</v>
      </c>
      <c r="I497" s="55">
        <f>SQRT(2/$V$3 * A497 * (SQRT(Performance!$E$23)/(SQRT(3*Performance!$E$12 + 4* Performance!$E$23 * Performance!$E$11^2) - SQRT(Performance!$E$23)*Performance!$E$11)))</f>
        <v>20.405949468145565</v>
      </c>
      <c r="J497" t="e">
        <f xml:space="preserve"> $AC$3/G497 + $AC$6/A497 * Performance!$E$12 + Performance!$E$23/Constraints!$AC$6 * Constraints!A497</f>
        <v>#VALUE!</v>
      </c>
      <c r="K497">
        <f xml:space="preserve"> $AC$3/H497 + $AC$6/A497 * Performance!$E$12 + Performance!$E$23/Constraints!$AC$6 * Constraints!A497</f>
        <v>1.0584437364233705</v>
      </c>
      <c r="L497">
        <f xml:space="preserve"> $AC$3/I497 + $AC$6/A497 * Performance!$E$12 + Performance!$E$23/Constraints!$AC$6 * Constraints!A497</f>
        <v>1.0455146641570363</v>
      </c>
      <c r="M497">
        <f>SIN($AC$9 * PI()/180) + 1/Performance!$AE$5</f>
        <v>0.24073077270730886</v>
      </c>
      <c r="N497">
        <f>SIN($AC$9 * PI()/180) + 1/Performance!$AE$8</f>
        <v>0.22738716112204788</v>
      </c>
      <c r="O497" s="60">
        <f>$AC$16 * (Performance!$E$12/Constraints!A497 + Performance!$E$23 * (Constraints!$AC$13/Constraints!$AC$17)^2 * Constraints!A497)</f>
        <v>2.1119803590595359E-4</v>
      </c>
      <c r="P497" t="e">
        <f t="shared" si="31"/>
        <v>#VALUE!</v>
      </c>
      <c r="Q497">
        <f t="shared" si="32"/>
        <v>98.804971001609857</v>
      </c>
      <c r="R497">
        <f t="shared" si="33"/>
        <v>109.33435247013512</v>
      </c>
      <c r="S497" t="e">
        <f xml:space="preserve"> 1.667/G497 + P497/A497 * Performance!$E$12 + Performance!$E$23 / Constraints!P497 * Constraints!A497</f>
        <v>#VALUE!</v>
      </c>
      <c r="T497">
        <f xml:space="preserve"> 1.667/H497 + Q497/A497 * Performance!$E$12 + Performance!$E$23 / Constraints!Q497 * Constraints!A497</f>
        <v>0.19184749915120941</v>
      </c>
      <c r="U497">
        <f xml:space="preserve"> 1.667/I497 + R497/A497 * Performance!$E$12 + Performance!$E$23 / Constraints!R497 * Constraints!A497</f>
        <v>0.17983460728508194</v>
      </c>
    </row>
    <row r="498" spans="1:21" x14ac:dyDescent="0.3">
      <c r="A498" s="51">
        <v>248</v>
      </c>
      <c r="B498" s="50">
        <f>$V$4*Performance!$E$12*(1/A498)+Performance!$E$23*(1/Constraints!$V$4)*Constraints!A498</f>
        <v>0.12433852678396715</v>
      </c>
      <c r="C498" s="50">
        <f>$V$5*Performance!$E$12*(1/A498)+Performance!$E$23*(1/Constraints!$V$5)*Constraints!A498</f>
        <v>0.1850612510079909</v>
      </c>
      <c r="D498" s="52">
        <f t="shared" si="30"/>
        <v>0.383628713293656</v>
      </c>
      <c r="E498" s="52">
        <f>$V$4*Performance!$E$12*(1/A498)+Performance!$E$23*(1/Constraints!$V$9)*Constraints!A498</f>
        <v>0.12321851906202261</v>
      </c>
      <c r="F498" s="52">
        <f xml:space="preserve"> 1.21 / (9.81 * Constraints!$N$7 * Performance!$E$15 * Constraints!$N$5 ) * Constraints!A498 + 0.605 /Performance!$E$15 * (Performance!$E$16  - Constraints!$N$6 * Performance!$E$14) + Constraints!$N$6</f>
        <v>0.38349104386114469</v>
      </c>
      <c r="G498" s="54" t="s">
        <v>198</v>
      </c>
      <c r="H498" s="55">
        <f>SQRT(2/$V$3 * A498 * SQRT(Performance!$E$23 / (3 * Performance!$E$12)))</f>
        <v>19.41807278207753</v>
      </c>
      <c r="I498" s="55">
        <f>SQRT(2/$V$3 * A498 * (SQRT(Performance!$E$23)/(SQRT(3*Performance!$E$12 + 4* Performance!$E$23 * Performance!$E$11^2) - SQRT(Performance!$E$23)*Performance!$E$11)))</f>
        <v>20.426551138680992</v>
      </c>
      <c r="J498" t="e">
        <f xml:space="preserve"> $AC$3/G498 + $AC$6/A498 * Performance!$E$12 + Performance!$E$23/Constraints!$AC$6 * Constraints!A498</f>
        <v>#VALUE!</v>
      </c>
      <c r="K498">
        <f xml:space="preserve"> $AC$3/H498 + $AC$6/A498 * Performance!$E$12 + Performance!$E$23/Constraints!$AC$6 * Constraints!A498</f>
        <v>1.0597831320582454</v>
      </c>
      <c r="L498">
        <f xml:space="preserve"> $AC$3/I498 + $AC$6/A498 * Performance!$E$12 + Performance!$E$23/Constraints!$AC$6 * Constraints!A498</f>
        <v>1.0468670997067431</v>
      </c>
      <c r="M498">
        <f>SIN($AC$9 * PI()/180) + 1/Performance!$AE$5</f>
        <v>0.24073077270730886</v>
      </c>
      <c r="N498">
        <f>SIN($AC$9 * PI()/180) + 1/Performance!$AE$8</f>
        <v>0.22738716112204788</v>
      </c>
      <c r="O498" s="60">
        <f>$AC$16 * (Performance!$E$12/Constraints!A498 + Performance!$E$23 * (Constraints!$AC$13/Constraints!$AC$17)^2 * Constraints!A498)</f>
        <v>2.1122394846080555E-4</v>
      </c>
      <c r="P498" t="e">
        <f t="shared" si="31"/>
        <v>#VALUE!</v>
      </c>
      <c r="Q498">
        <f t="shared" si="32"/>
        <v>99.004577003633287</v>
      </c>
      <c r="R498">
        <f t="shared" si="33"/>
        <v>109.55522994987277</v>
      </c>
      <c r="S498" t="e">
        <f xml:space="preserve"> 1.667/G498 + P498/A498 * Performance!$E$12 + Performance!$E$23 / Constraints!P498 * Constraints!A498</f>
        <v>#VALUE!</v>
      </c>
      <c r="T498">
        <f xml:space="preserve"> 1.667/H498 + Q498/A498 * Performance!$E$12 + Performance!$E$23 / Constraints!Q498 * Constraints!A498</f>
        <v>0.19176082789205667</v>
      </c>
      <c r="U498">
        <f xml:space="preserve"> 1.667/I498 + R498/A498 * Performance!$E$12 + Performance!$E$23 / Constraints!R498 * Constraints!A498</f>
        <v>0.17975221506884745</v>
      </c>
    </row>
    <row r="499" spans="1:21" x14ac:dyDescent="0.3">
      <c r="A499" s="51">
        <v>248.5</v>
      </c>
      <c r="B499" s="50">
        <f>$V$4*Performance!$E$12*(1/A499)+Performance!$E$23*(1/Constraints!$V$4)*Constraints!A499</f>
        <v>0.12412792278747889</v>
      </c>
      <c r="C499" s="50">
        <f>$V$5*Performance!$E$12*(1/A499)+Performance!$E$23*(1/Constraints!$V$5)*Constraints!A499</f>
        <v>0.18471424453944754</v>
      </c>
      <c r="D499" s="52">
        <f t="shared" si="30"/>
        <v>0.38390099900594166</v>
      </c>
      <c r="E499" s="52">
        <f>$V$4*Performance!$E$12*(1/A499)+Performance!$E$23*(1/Constraints!$V$9)*Constraints!A499</f>
        <v>0.12300565698544977</v>
      </c>
      <c r="F499" s="52">
        <f xml:space="preserve"> 1.21 / (9.81 * Constraints!$N$7 * Performance!$E$15 * Constraints!$N$5 ) * Constraints!A499 + 0.605 /Performance!$E$15 * (Performance!$E$16  - Constraints!$N$6 * Performance!$E$14) + Constraints!$N$6</f>
        <v>0.38376305201409056</v>
      </c>
      <c r="G499" s="54" t="s">
        <v>198</v>
      </c>
      <c r="H499" s="55">
        <f>SQRT(2/$V$3 * A499 * SQRT(Performance!$E$23 / (3 * Performance!$E$12)))</f>
        <v>19.43763759588888</v>
      </c>
      <c r="I499" s="55">
        <f>SQRT(2/$V$3 * A499 * (SQRT(Performance!$E$23)/(SQRT(3*Performance!$E$12 + 4* Performance!$E$23 * Performance!$E$11^2) - SQRT(Performance!$E$23)*Performance!$E$11)))</f>
        <v>20.447132051849941</v>
      </c>
      <c r="J499" t="e">
        <f xml:space="preserve"> $AC$3/G499 + $AC$6/A499 * Performance!$E$12 + Performance!$E$23/Constraints!$AC$6 * Constraints!A499</f>
        <v>#VALUE!</v>
      </c>
      <c r="K499">
        <f xml:space="preserve"> $AC$3/H499 + $AC$6/A499 * Performance!$E$12 + Performance!$E$23/Constraints!$AC$6 * Constraints!A499</f>
        <v>1.0611233367199582</v>
      </c>
      <c r="L499">
        <f xml:space="preserve"> $AC$3/I499 + $AC$6/A499 * Performance!$E$12 + Performance!$E$23/Constraints!$AC$6 * Constraints!A499</f>
        <v>1.0482203049075847</v>
      </c>
      <c r="M499">
        <f>SIN($AC$9 * PI()/180) + 1/Performance!$AE$5</f>
        <v>0.24073077270730886</v>
      </c>
      <c r="N499">
        <f>SIN($AC$9 * PI()/180) + 1/Performance!$AE$8</f>
        <v>0.22738716112204788</v>
      </c>
      <c r="O499" s="60">
        <f>$AC$16 * (Performance!$E$12/Constraints!A499 + Performance!$E$23 * (Constraints!$AC$13/Constraints!$AC$17)^2 * Constraints!A499)</f>
        <v>2.1125066654031403E-4</v>
      </c>
      <c r="P499" t="e">
        <f t="shared" si="31"/>
        <v>#VALUE!</v>
      </c>
      <c r="Q499">
        <f t="shared" si="32"/>
        <v>99.204183005656773</v>
      </c>
      <c r="R499">
        <f t="shared" si="33"/>
        <v>109.77610742961043</v>
      </c>
      <c r="S499" t="e">
        <f xml:space="preserve"> 1.667/G499 + P499/A499 * Performance!$E$12 + Performance!$E$23 / Constraints!P499 * Constraints!A499</f>
        <v>#VALUE!</v>
      </c>
      <c r="T499">
        <f xml:space="preserve"> 1.667/H499 + Q499/A499 * Performance!$E$12 + Performance!$E$23 / Constraints!Q499 * Constraints!A499</f>
        <v>0.191674418347939</v>
      </c>
      <c r="U499">
        <f xml:space="preserve"> 1.667/I499 + R499/A499 * Performance!$E$12 + Performance!$E$23 / Constraints!R499 * Constraints!A499</f>
        <v>0.1796700716465266</v>
      </c>
    </row>
    <row r="500" spans="1:21" x14ac:dyDescent="0.3">
      <c r="A500" s="51">
        <v>249</v>
      </c>
      <c r="B500" s="50">
        <f>$V$4*Performance!$E$12*(1/A500)+Performance!$E$23*(1/Constraints!$V$4)*Constraints!A500</f>
        <v>0.12391824413631565</v>
      </c>
      <c r="C500" s="50">
        <f>$V$5*Performance!$E$12*(1/A500)+Performance!$E$23*(1/Constraints!$V$5)*Constraints!A500</f>
        <v>0.18436868262640474</v>
      </c>
      <c r="D500" s="52">
        <f t="shared" si="30"/>
        <v>0.3841732847182272</v>
      </c>
      <c r="E500" s="52">
        <f>$V$4*Performance!$E$12*(1/A500)+Performance!$E$23*(1/Constraints!$V$9)*Constraints!A500</f>
        <v>0.12279372025420197</v>
      </c>
      <c r="F500" s="52">
        <f xml:space="preserve"> 1.21 / (9.81 * Constraints!$N$7 * Performance!$E$15 * Constraints!$N$5 ) * Constraints!A500 + 0.605 /Performance!$E$15 * (Performance!$E$16  - Constraints!$N$6 * Performance!$E$14) + Constraints!$N$6</f>
        <v>0.38403506016703637</v>
      </c>
      <c r="G500" s="54" t="s">
        <v>198</v>
      </c>
      <c r="H500" s="55">
        <f>SQRT(2/$V$3 * A500 * SQRT(Performance!$E$23 / (3 * Performance!$E$12)))</f>
        <v>19.457182736669907</v>
      </c>
      <c r="I500" s="55">
        <f>SQRT(2/$V$3 * A500 * (SQRT(Performance!$E$23)/(SQRT(3*Performance!$E$12 + 4* Performance!$E$23 * Performance!$E$11^2) - SQRT(Performance!$E$23)*Performance!$E$11)))</f>
        <v>20.46769227026898</v>
      </c>
      <c r="J500" t="e">
        <f xml:space="preserve"> $AC$3/G500 + $AC$6/A500 * Performance!$E$12 + Performance!$E$23/Constraints!$AC$6 * Constraints!A500</f>
        <v>#VALUE!</v>
      </c>
      <c r="K500">
        <f xml:space="preserve"> $AC$3/H500 + $AC$6/A500 * Performance!$E$12 + Performance!$E$23/Constraints!$AC$6 * Constraints!A500</f>
        <v>1.062464346333591</v>
      </c>
      <c r="L500">
        <f xml:space="preserve"> $AC$3/I500 + $AC$6/A500 * Performance!$E$12 + Performance!$E$23/Constraints!$AC$6 * Constraints!A500</f>
        <v>1.0495742758824118</v>
      </c>
      <c r="M500">
        <f>SIN($AC$9 * PI()/180) + 1/Performance!$AE$5</f>
        <v>0.24073077270730886</v>
      </c>
      <c r="N500">
        <f>SIN($AC$9 * PI()/180) + 1/Performance!$AE$8</f>
        <v>0.22738716112204788</v>
      </c>
      <c r="O500" s="60">
        <f>$AC$16 * (Performance!$E$12/Constraints!A500 + Performance!$E$23 * (Constraints!$AC$13/Constraints!$AC$17)^2 * Constraints!A500)</f>
        <v>2.112781852919209E-4</v>
      </c>
      <c r="P500" t="e">
        <f t="shared" si="31"/>
        <v>#VALUE!</v>
      </c>
      <c r="Q500">
        <f t="shared" si="32"/>
        <v>99.403789007680246</v>
      </c>
      <c r="R500">
        <f t="shared" si="33"/>
        <v>109.99698490934806</v>
      </c>
      <c r="S500" t="e">
        <f xml:space="preserve"> 1.667/G500 + P500/A500 * Performance!$E$12 + Performance!$E$23 / Constraints!P500 * Constraints!A500</f>
        <v>#VALUE!</v>
      </c>
      <c r="T500">
        <f xml:space="preserve"> 1.667/H500 + Q500/A500 * Performance!$E$12 + Performance!$E$23 / Constraints!Q500 * Constraints!A500</f>
        <v>0.19158826920436528</v>
      </c>
      <c r="U500">
        <f xml:space="preserve"> 1.667/I500 + R500/A500 * Performance!$E$12 + Performance!$E$23 / Constraints!R500 * Constraints!A500</f>
        <v>0.17958817576852598</v>
      </c>
    </row>
    <row r="501" spans="1:21" x14ac:dyDescent="0.3">
      <c r="A501" s="51">
        <v>249.5</v>
      </c>
      <c r="B501" s="50">
        <f>$V$4*Performance!$E$12*(1/A501)+Performance!$E$23*(1/Constraints!$V$4)*Constraints!A501</f>
        <v>0.12370948526727919</v>
      </c>
      <c r="C501" s="50">
        <f>$V$5*Performance!$E$12*(1/A501)+Performance!$E$23*(1/Constraints!$V$5)*Constraints!A501</f>
        <v>0.18402455658416009</v>
      </c>
      <c r="D501" s="52">
        <f t="shared" si="30"/>
        <v>0.38444557043051286</v>
      </c>
      <c r="E501" s="52">
        <f>$V$4*Performance!$E$12*(1/A501)+Performance!$E$23*(1/Constraints!$V$9)*Constraints!A501</f>
        <v>0.12258270330508095</v>
      </c>
      <c r="F501" s="52">
        <f xml:space="preserve"> 1.21 / (9.81 * Constraints!$N$7 * Performance!$E$15 * Constraints!$N$5 ) * Constraints!A501 + 0.605 /Performance!$E$15 * (Performance!$E$16  - Constraints!$N$6 * Performance!$E$14) + Constraints!$N$6</f>
        <v>0.38430706831998229</v>
      </c>
      <c r="G501" s="54" t="s">
        <v>198</v>
      </c>
      <c r="H501" s="55">
        <f>SQRT(2/$V$3 * A501 * SQRT(Performance!$E$23 / (3 * Performance!$E$12)))</f>
        <v>19.476708263647069</v>
      </c>
      <c r="I501" s="55">
        <f>SQRT(2/$V$3 * A501 * (SQRT(Performance!$E$23)/(SQRT(3*Performance!$E$12 + 4* Performance!$E$23 * Performance!$E$11^2) - SQRT(Performance!$E$23)*Performance!$E$11)))</f>
        <v>20.4882318562405</v>
      </c>
      <c r="J501" t="e">
        <f xml:space="preserve"> $AC$3/G501 + $AC$6/A501 * Performance!$E$12 + Performance!$E$23/Constraints!$AC$6 * Constraints!A501</f>
        <v>#VALUE!</v>
      </c>
      <c r="K501">
        <f xml:space="preserve"> $AC$3/H501 + $AC$6/A501 * Performance!$E$12 + Performance!$E$23/Constraints!$AC$6 * Constraints!A501</f>
        <v>1.0638061568528903</v>
      </c>
      <c r="L501">
        <f xml:space="preserve"> $AC$3/I501 + $AC$6/A501 * Performance!$E$12 + Performance!$E$23/Constraints!$AC$6 * Constraints!A501</f>
        <v>1.0509290087813519</v>
      </c>
      <c r="M501">
        <f>SIN($AC$9 * PI()/180) + 1/Performance!$AE$5</f>
        <v>0.24073077270730886</v>
      </c>
      <c r="N501">
        <f>SIN($AC$9 * PI()/180) + 1/Performance!$AE$8</f>
        <v>0.22738716112204788</v>
      </c>
      <c r="O501" s="60">
        <f>$AC$16 * (Performance!$E$12/Constraints!A501 + Performance!$E$23 * (Constraints!$AC$13/Constraints!$AC$17)^2 * Constraints!A501)</f>
        <v>2.1130649990196623E-4</v>
      </c>
      <c r="P501" t="e">
        <f t="shared" si="31"/>
        <v>#VALUE!</v>
      </c>
      <c r="Q501">
        <f t="shared" si="32"/>
        <v>99.603395009703718</v>
      </c>
      <c r="R501">
        <f t="shared" si="33"/>
        <v>110.21786238908572</v>
      </c>
      <c r="S501" t="e">
        <f xml:space="preserve"> 1.667/G501 + P501/A501 * Performance!$E$12 + Performance!$E$23 / Constraints!P501 * Constraints!A501</f>
        <v>#VALUE!</v>
      </c>
      <c r="T501">
        <f xml:space="preserve"> 1.667/H501 + Q501/A501 * Performance!$E$12 + Performance!$E$23 / Constraints!Q501 * Constraints!A501</f>
        <v>0.19150237915606888</v>
      </c>
      <c r="U501">
        <f xml:space="preserve"> 1.667/I501 + R501/A501 * Performance!$E$12 + Performance!$E$23 / Constraints!R501 * Constraints!A501</f>
        <v>0.17950652619402108</v>
      </c>
    </row>
    <row r="502" spans="1:21" x14ac:dyDescent="0.3">
      <c r="A502" s="51">
        <v>250</v>
      </c>
      <c r="B502" s="50">
        <f>$V$4*Performance!$E$12*(1/A502)+Performance!$E$23*(1/Constraints!$V$4)*Constraints!A502</f>
        <v>0.12350164066167668</v>
      </c>
      <c r="C502" s="50">
        <f>$V$5*Performance!$E$12*(1/A502)+Performance!$E$23*(1/Constraints!$V$5)*Constraints!A502</f>
        <v>0.18368185779748886</v>
      </c>
      <c r="D502" s="52">
        <f t="shared" si="30"/>
        <v>0.38471785614279841</v>
      </c>
      <c r="E502" s="52">
        <f>$V$4*Performance!$E$12*(1/A502)+Performance!$E$23*(1/Constraints!$V$9)*Constraints!A502</f>
        <v>0.12237260061939388</v>
      </c>
      <c r="F502" s="52">
        <f xml:space="preserve"> 1.21 / (9.81 * Constraints!$N$7 * Performance!$E$15 * Constraints!$N$5 ) * Constraints!A502 + 0.605 /Performance!$E$15 * (Performance!$E$16  - Constraints!$N$6 * Performance!$E$14) + Constraints!$N$6</f>
        <v>0.38457907647292811</v>
      </c>
      <c r="G502" s="54" t="s">
        <v>198</v>
      </c>
      <c r="H502" s="55">
        <f>SQRT(2/$V$3 * A502 * SQRT(Performance!$E$23 / (3 * Performance!$E$12)))</f>
        <v>19.496214235750244</v>
      </c>
      <c r="I502" s="55">
        <f>SQRT(2/$V$3 * A502 * (SQRT(Performance!$E$23)/(SQRT(3*Performance!$E$12 + 4* Performance!$E$23 * Performance!$E$11^2) - SQRT(Performance!$E$23)*Performance!$E$11)))</f>
        <v>20.508750871754902</v>
      </c>
      <c r="J502" t="e">
        <f xml:space="preserve"> $AC$3/G502 + $AC$6/A502 * Performance!$E$12 + Performance!$E$23/Constraints!$AC$6 * Constraints!A502</f>
        <v>#VALUE!</v>
      </c>
      <c r="K502">
        <f xml:space="preserve"> $AC$3/H502 + $AC$6/A502 * Performance!$E$12 + Performance!$E$23/Constraints!$AC$6 * Constraints!A502</f>
        <v>1.0651487642600102</v>
      </c>
      <c r="L502">
        <f xml:space="preserve"> $AC$3/I502 + $AC$6/A502 * Performance!$E$12 + Performance!$E$23/Constraints!$AC$6 * Constraints!A502</f>
        <v>1.0522844997815639</v>
      </c>
      <c r="M502">
        <f>SIN($AC$9 * PI()/180) + 1/Performance!$AE$5</f>
        <v>0.24073077270730886</v>
      </c>
      <c r="N502">
        <f>SIN($AC$9 * PI()/180) + 1/Performance!$AE$8</f>
        <v>0.22738716112204788</v>
      </c>
      <c r="O502" s="60">
        <f>$AC$16 * (Performance!$E$12/Constraints!A502 + Performance!$E$23 * (Constraints!$AC$13/Constraints!$AC$17)^2 * Constraints!A502)</f>
        <v>2.1133560559529935E-4</v>
      </c>
      <c r="P502" t="e">
        <f t="shared" si="31"/>
        <v>#VALUE!</v>
      </c>
      <c r="Q502">
        <f t="shared" si="32"/>
        <v>99.803001011727133</v>
      </c>
      <c r="R502">
        <f t="shared" si="33"/>
        <v>110.43873986882338</v>
      </c>
      <c r="S502" t="e">
        <f xml:space="preserve"> 1.667/G502 + P502/A502 * Performance!$E$12 + Performance!$E$23 / Constraints!P502 * Constraints!A502</f>
        <v>#VALUE!</v>
      </c>
      <c r="T502">
        <f xml:space="preserve"> 1.667/H502 + Q502/A502 * Performance!$E$12 + Performance!$E$23 / Constraints!Q502 * Constraints!A502</f>
        <v>0.19141674690692462</v>
      </c>
      <c r="U502">
        <f xml:space="preserve"> 1.667/I502 + R502/A502 * Performance!$E$12 + Performance!$E$23 / Constraints!R502 * Constraints!A502</f>
        <v>0.17942512169087771</v>
      </c>
    </row>
    <row r="503" spans="1:21" x14ac:dyDescent="0.3">
      <c r="A503" s="51">
        <v>250.5</v>
      </c>
      <c r="B503" s="50">
        <f>$V$4*Performance!$E$12*(1/A503)+Performance!$E$23*(1/Constraints!$V$4)*Constraints!A503</f>
        <v>0.1232947048448768</v>
      </c>
      <c r="C503" s="50">
        <f>$V$5*Performance!$E$12*(1/A503)+Performance!$E$23*(1/Constraints!$V$5)*Constraints!A503</f>
        <v>0.18334057771995044</v>
      </c>
      <c r="D503" s="52">
        <f t="shared" si="30"/>
        <v>0.38499014185508401</v>
      </c>
      <c r="E503" s="52">
        <f>$V$4*Performance!$E$12*(1/A503)+Performance!$E$23*(1/Constraints!$V$9)*Constraints!A503</f>
        <v>0.12216340672250943</v>
      </c>
      <c r="F503" s="52">
        <f xml:space="preserve"> 1.21 / (9.81 * Constraints!$N$7 * Performance!$E$15 * Constraints!$N$5 ) * Constraints!A503 + 0.605 /Performance!$E$15 * (Performance!$E$16  - Constraints!$N$6 * Performance!$E$14) + Constraints!$N$6</f>
        <v>0.38485108462587397</v>
      </c>
      <c r="G503" s="54" t="s">
        <v>198</v>
      </c>
      <c r="H503" s="55">
        <f>SQRT(2/$V$3 * A503 * SQRT(Performance!$E$23 / (3 * Performance!$E$12)))</f>
        <v>19.515700711614816</v>
      </c>
      <c r="I503" s="55">
        <f>SQRT(2/$V$3 * A503 * (SQRT(Performance!$E$23)/(SQRT(3*Performance!$E$12 + 4* Performance!$E$23 * Performance!$E$11^2) - SQRT(Performance!$E$23)*Performance!$E$11)))</f>
        <v>20.529249378492793</v>
      </c>
      <c r="J503" t="e">
        <f xml:space="preserve"> $AC$3/G503 + $AC$6/A503 * Performance!$E$12 + Performance!$E$23/Constraints!$AC$6 * Constraints!A503</f>
        <v>#VALUE!</v>
      </c>
      <c r="K503">
        <f xml:space="preserve"> $AC$3/H503 + $AC$6/A503 * Performance!$E$12 + Performance!$E$23/Constraints!$AC$6 * Constraints!A503</f>
        <v>1.0664921645652541</v>
      </c>
      <c r="L503">
        <f xml:space="preserve"> $AC$3/I503 + $AC$6/A503 * Performance!$E$12 + Performance!$E$23/Constraints!$AC$6 * Constraints!A503</f>
        <v>1.053640745086994</v>
      </c>
      <c r="M503">
        <f>SIN($AC$9 * PI()/180) + 1/Performance!$AE$5</f>
        <v>0.24073077270730886</v>
      </c>
      <c r="N503">
        <f>SIN($AC$9 * PI()/180) + 1/Performance!$AE$8</f>
        <v>0.22738716112204788</v>
      </c>
      <c r="O503" s="60">
        <f>$AC$16 * (Performance!$E$12/Constraints!A503 + Performance!$E$23 * (Constraints!$AC$13/Constraints!$AC$17)^2 * Constraints!A503)</f>
        <v>2.1136549763489467E-4</v>
      </c>
      <c r="P503" t="e">
        <f t="shared" si="31"/>
        <v>#VALUE!</v>
      </c>
      <c r="Q503">
        <f t="shared" si="32"/>
        <v>100.00260701375059</v>
      </c>
      <c r="R503">
        <f t="shared" si="33"/>
        <v>110.65961734856099</v>
      </c>
      <c r="S503" t="e">
        <f xml:space="preserve"> 1.667/G503 + P503/A503 * Performance!$E$12 + Performance!$E$23 / Constraints!P503 * Constraints!A503</f>
        <v>#VALUE!</v>
      </c>
      <c r="T503">
        <f xml:space="preserve"> 1.667/H503 + Q503/A503 * Performance!$E$12 + Performance!$E$23 / Constraints!Q503 * Constraints!A503</f>
        <v>0.19133137116986648</v>
      </c>
      <c r="U503">
        <f xml:space="preserve"> 1.667/I503 + R503/A503 * Performance!$E$12 + Performance!$E$23 / Constraints!R503 * Constraints!A503</f>
        <v>0.17934396103557365</v>
      </c>
    </row>
    <row r="504" spans="1:21" x14ac:dyDescent="0.3">
      <c r="A504" s="51">
        <v>251</v>
      </c>
      <c r="B504" s="50">
        <f>$V$4*Performance!$E$12*(1/A504)+Performance!$E$23*(1/Constraints!$V$4)*Constraints!A504</f>
        <v>0.12308867238587078</v>
      </c>
      <c r="C504" s="50">
        <f>$V$5*Performance!$E$12*(1/A504)+Performance!$E$23*(1/Constraints!$V$5)*Constraints!A504</f>
        <v>0.18300070787320338</v>
      </c>
      <c r="D504" s="52">
        <f t="shared" si="30"/>
        <v>0.38526242756736961</v>
      </c>
      <c r="E504" s="52">
        <f>$V$4*Performance!$E$12*(1/A504)+Performance!$E$23*(1/Constraints!$V$9)*Constraints!A504</f>
        <v>0.12195511618341884</v>
      </c>
      <c r="F504" s="52">
        <f xml:space="preserve"> 1.21 / (9.81 * Constraints!$N$7 * Performance!$E$15 * Constraints!$N$5 ) * Constraints!A504 + 0.605 /Performance!$E$15 * (Performance!$E$16  - Constraints!$N$6 * Performance!$E$14) + Constraints!$N$6</f>
        <v>0.38512309277881984</v>
      </c>
      <c r="G504" s="54" t="s">
        <v>198</v>
      </c>
      <c r="H504" s="55">
        <f>SQRT(2/$V$3 * A504 * SQRT(Performance!$E$23 / (3 * Performance!$E$12)))</f>
        <v>19.535167749583714</v>
      </c>
      <c r="I504" s="55">
        <f>SQRT(2/$V$3 * A504 * (SQRT(Performance!$E$23)/(SQRT(3*Performance!$E$12 + 4* Performance!$E$23 * Performance!$E$11^2) - SQRT(Performance!$E$23)*Performance!$E$11)))</f>
        <v>20.549727437827155</v>
      </c>
      <c r="J504" t="e">
        <f xml:space="preserve"> $AC$3/G504 + $AC$6/A504 * Performance!$E$12 + Performance!$E$23/Constraints!$AC$6 * Constraints!A504</f>
        <v>#VALUE!</v>
      </c>
      <c r="K504">
        <f xml:space="preserve"> $AC$3/H504 + $AC$6/A504 * Performance!$E$12 + Performance!$E$23/Constraints!$AC$6 * Constraints!A504</f>
        <v>1.0678363538068227</v>
      </c>
      <c r="L504">
        <f xml:space="preserve"> $AC$3/I504 + $AC$6/A504 * Performance!$E$12 + Performance!$E$23/Constraints!$AC$6 * Constraints!A504</f>
        <v>1.0549977409281346</v>
      </c>
      <c r="M504">
        <f>SIN($AC$9 * PI()/180) + 1/Performance!$AE$5</f>
        <v>0.24073077270730886</v>
      </c>
      <c r="N504">
        <f>SIN($AC$9 * PI()/180) + 1/Performance!$AE$8</f>
        <v>0.22738716112204788</v>
      </c>
      <c r="O504" s="60">
        <f>$AC$16 * (Performance!$E$12/Constraints!A504 + Performance!$E$23 * (Constraints!$AC$13/Constraints!$AC$17)^2 * Constraints!A504)</f>
        <v>2.1139617132147161E-4</v>
      </c>
      <c r="P504" t="e">
        <f t="shared" si="31"/>
        <v>#VALUE!</v>
      </c>
      <c r="Q504">
        <f t="shared" si="32"/>
        <v>100.20221301577406</v>
      </c>
      <c r="R504">
        <f t="shared" si="33"/>
        <v>110.88049482829865</v>
      </c>
      <c r="S504" t="e">
        <f xml:space="preserve"> 1.667/G504 + P504/A504 * Performance!$E$12 + Performance!$E$23 / Constraints!P504 * Constraints!A504</f>
        <v>#VALUE!</v>
      </c>
      <c r="T504">
        <f xml:space="preserve"> 1.667/H504 + Q504/A504 * Performance!$E$12 + Performance!$E$23 / Constraints!Q504 * Constraints!A504</f>
        <v>0.19124625066680667</v>
      </c>
      <c r="U504">
        <f xml:space="preserve"> 1.667/I504 + R504/A504 * Performance!$E$12 + Performance!$E$23 / Constraints!R504 * Constraints!A504</f>
        <v>0.17926304301312135</v>
      </c>
    </row>
    <row r="505" spans="1:21" x14ac:dyDescent="0.3">
      <c r="A505" s="51">
        <v>251.5</v>
      </c>
      <c r="B505" s="50">
        <f>$V$4*Performance!$E$12*(1/A505)+Performance!$E$23*(1/Constraints!$V$4)*Constraints!A505</f>
        <v>0.12288353789683873</v>
      </c>
      <c r="C505" s="50">
        <f>$V$5*Performance!$E$12*(1/A505)+Performance!$E$23*(1/Constraints!$V$5)*Constraints!A505</f>
        <v>0.18266223984632848</v>
      </c>
      <c r="D505" s="52">
        <f t="shared" si="30"/>
        <v>0.38553471327965522</v>
      </c>
      <c r="E505" s="52">
        <f>$V$4*Performance!$E$12*(1/A505)+Performance!$E$23*(1/Constraints!$V$9)*Constraints!A505</f>
        <v>0.12174772361430222</v>
      </c>
      <c r="F505" s="52">
        <f xml:space="preserve"> 1.21 / (9.81 * Constraints!$N$7 * Performance!$E$15 * Constraints!$N$5 ) * Constraints!A505 + 0.605 /Performance!$E$15 * (Performance!$E$16  - Constraints!$N$6 * Performance!$E$14) + Constraints!$N$6</f>
        <v>0.38539510093176566</v>
      </c>
      <c r="G505" s="54" t="s">
        <v>198</v>
      </c>
      <c r="H505" s="55">
        <f>SQRT(2/$V$3 * A505 * SQRT(Performance!$E$23 / (3 * Performance!$E$12)))</f>
        <v>19.554615407709456</v>
      </c>
      <c r="I505" s="55">
        <f>SQRT(2/$V$3 * A505 * (SQRT(Performance!$E$23)/(SQRT(3*Performance!$E$12 + 4* Performance!$E$23 * Performance!$E$11^2) - SQRT(Performance!$E$23)*Performance!$E$11)))</f>
        <v>20.570185110825467</v>
      </c>
      <c r="J505" t="e">
        <f xml:space="preserve"> $AC$3/G505 + $AC$6/A505 * Performance!$E$12 + Performance!$E$23/Constraints!$AC$6 * Constraints!A505</f>
        <v>#VALUE!</v>
      </c>
      <c r="K505">
        <f xml:space="preserve"> $AC$3/H505 + $AC$6/A505 * Performance!$E$12 + Performance!$E$23/Constraints!$AC$6 * Constraints!A505</f>
        <v>1.0691813280505655</v>
      </c>
      <c r="L505">
        <f xml:space="preserve"> $AC$3/I505 + $AC$6/A505 * Performance!$E$12 + Performance!$E$23/Constraints!$AC$6 * Constraints!A505</f>
        <v>1.0563554835617877</v>
      </c>
      <c r="M505">
        <f>SIN($AC$9 * PI()/180) + 1/Performance!$AE$5</f>
        <v>0.24073077270730886</v>
      </c>
      <c r="N505">
        <f>SIN($AC$9 * PI()/180) + 1/Performance!$AE$8</f>
        <v>0.22738716112204788</v>
      </c>
      <c r="O505" s="60">
        <f>$AC$16 * (Performance!$E$12/Constraints!A505 + Performance!$E$23 * (Constraints!$AC$13/Constraints!$AC$17)^2 * Constraints!A505)</f>
        <v>2.1142762199311986E-4</v>
      </c>
      <c r="P505" t="e">
        <f t="shared" si="31"/>
        <v>#VALUE!</v>
      </c>
      <c r="Q505">
        <f t="shared" si="32"/>
        <v>100.40181901779749</v>
      </c>
      <c r="R505">
        <f t="shared" si="33"/>
        <v>111.10137230803632</v>
      </c>
      <c r="S505" t="e">
        <f xml:space="preserve"> 1.667/G505 + P505/A505 * Performance!$E$12 + Performance!$E$23 / Constraints!P505 * Constraints!A505</f>
        <v>#VALUE!</v>
      </c>
      <c r="T505">
        <f xml:space="preserve"> 1.667/H505 + Q505/A505 * Performance!$E$12 + Performance!$E$23 / Constraints!Q505 * Constraints!A505</f>
        <v>0.19116138412855505</v>
      </c>
      <c r="U505">
        <f xml:space="preserve"> 1.667/I505 + R505/A505 * Performance!$E$12 + Performance!$E$23 / Constraints!R505 * Constraints!A505</f>
        <v>0.17918236641699187</v>
      </c>
    </row>
    <row r="506" spans="1:21" x14ac:dyDescent="0.3">
      <c r="A506" s="51">
        <v>252</v>
      </c>
      <c r="B506" s="50">
        <f>$V$4*Performance!$E$12*(1/A506)+Performance!$E$23*(1/Constraints!$V$4)*Constraints!A506</f>
        <v>0.12267929603272133</v>
      </c>
      <c r="C506" s="50">
        <f>$V$5*Performance!$E$12*(1/A506)+Performance!$E$23*(1/Constraints!$V$5)*Constraints!A506</f>
        <v>0.18232516529515985</v>
      </c>
      <c r="D506" s="52">
        <f t="shared" si="30"/>
        <v>0.38580699899194082</v>
      </c>
      <c r="E506" s="52">
        <f>$V$4*Performance!$E$12*(1/A506)+Performance!$E$23*(1/Constraints!$V$9)*Constraints!A506</f>
        <v>0.12154122367010026</v>
      </c>
      <c r="F506" s="52">
        <f xml:space="preserve"> 1.21 / (9.81 * Constraints!$N$7 * Performance!$E$15 * Constraints!$N$5 ) * Constraints!A506 + 0.605 /Performance!$E$15 * (Performance!$E$16  - Constraints!$N$6 * Performance!$E$14) + Constraints!$N$6</f>
        <v>0.38566710908471158</v>
      </c>
      <c r="G506" s="54" t="s">
        <v>198</v>
      </c>
      <c r="H506" s="55">
        <f>SQRT(2/$V$3 * A506 * SQRT(Performance!$E$23 / (3 * Performance!$E$12)))</f>
        <v>19.574043743756185</v>
      </c>
      <c r="I506" s="55">
        <f>SQRT(2/$V$3 * A506 * (SQRT(Performance!$E$23)/(SQRT(3*Performance!$E$12 + 4* Performance!$E$23 * Performance!$E$11^2) - SQRT(Performance!$E$23)*Performance!$E$11)))</f>
        <v>20.59062245825184</v>
      </c>
      <c r="J506" t="e">
        <f xml:space="preserve"> $AC$3/G506 + $AC$6/A506 * Performance!$E$12 + Performance!$E$23/Constraints!$AC$6 * Constraints!A506</f>
        <v>#VALUE!</v>
      </c>
      <c r="K506">
        <f xml:space="preserve"> $AC$3/H506 + $AC$6/A506 * Performance!$E$12 + Performance!$E$23/Constraints!$AC$6 * Constraints!A506</f>
        <v>1.0705270833897302</v>
      </c>
      <c r="L506">
        <f xml:space="preserve"> $AC$3/I506 + $AC$6/A506 * Performance!$E$12 + Performance!$E$23/Constraints!$AC$6 * Constraints!A506</f>
        <v>1.0577139692708275</v>
      </c>
      <c r="M506">
        <f>SIN($AC$9 * PI()/180) + 1/Performance!$AE$5</f>
        <v>0.24073077270730886</v>
      </c>
      <c r="N506">
        <f>SIN($AC$9 * PI()/180) + 1/Performance!$AE$8</f>
        <v>0.22738716112204788</v>
      </c>
      <c r="O506" s="60">
        <f>$AC$16 * (Performance!$E$12/Constraints!A506 + Performance!$E$23 * (Constraints!$AC$13/Constraints!$AC$17)^2 * Constraints!A506)</f>
        <v>2.1145984502492823E-4</v>
      </c>
      <c r="P506" t="e">
        <f t="shared" si="31"/>
        <v>#VALUE!</v>
      </c>
      <c r="Q506">
        <f t="shared" si="32"/>
        <v>100.60142501982095</v>
      </c>
      <c r="R506">
        <f t="shared" si="33"/>
        <v>111.32224978777394</v>
      </c>
      <c r="S506" t="e">
        <f xml:space="preserve"> 1.667/G506 + P506/A506 * Performance!$E$12 + Performance!$E$23 / Constraints!P506 * Constraints!A506</f>
        <v>#VALUE!</v>
      </c>
      <c r="T506">
        <f xml:space="preserve"> 1.667/H506 + Q506/A506 * Performance!$E$12 + Performance!$E$23 / Constraints!Q506 * Constraints!A506</f>
        <v>0.19107677029473952</v>
      </c>
      <c r="U506">
        <f xml:space="preserve"> 1.667/I506 + R506/A506 * Performance!$E$12 + Performance!$E$23 / Constraints!R506 * Constraints!A506</f>
        <v>0.17910193004903896</v>
      </c>
    </row>
    <row r="507" spans="1:21" x14ac:dyDescent="0.3">
      <c r="A507" s="51">
        <v>252.5</v>
      </c>
      <c r="B507" s="50">
        <f>$V$4*Performance!$E$12*(1/A507)+Performance!$E$23*(1/Constraints!$V$4)*Constraints!A507</f>
        <v>0.12247594149079633</v>
      </c>
      <c r="C507" s="50">
        <f>$V$5*Performance!$E$12*(1/A507)+Performance!$E$23*(1/Constraints!$V$5)*Constraints!A507</f>
        <v>0.18198947594162396</v>
      </c>
      <c r="D507" s="52">
        <f t="shared" si="30"/>
        <v>0.38607928470422637</v>
      </c>
      <c r="E507" s="52">
        <f>$V$4*Performance!$E$12*(1/A507)+Performance!$E$23*(1/Constraints!$V$9)*Constraints!A507</f>
        <v>0.12133561104809068</v>
      </c>
      <c r="F507" s="52">
        <f xml:space="preserve"> 1.21 / (9.81 * Constraints!$N$7 * Performance!$E$15 * Constraints!$N$5 ) * Constraints!A507 + 0.605 /Performance!$E$15 * (Performance!$E$16  - Constraints!$N$6 * Performance!$E$14) + Constraints!$N$6</f>
        <v>0.38593911723765739</v>
      </c>
      <c r="G507" s="54" t="s">
        <v>198</v>
      </c>
      <c r="H507" s="55">
        <f>SQRT(2/$V$3 * A507 * SQRT(Performance!$E$23 / (3 * Performance!$E$12)))</f>
        <v>19.593452815201644</v>
      </c>
      <c r="I507" s="55">
        <f>SQRT(2/$V$3 * A507 * (SQRT(Performance!$E$23)/(SQRT(3*Performance!$E$12 + 4* Performance!$E$23 * Performance!$E$11^2) - SQRT(Performance!$E$23)*Performance!$E$11)))</f>
        <v>20.611039540569138</v>
      </c>
      <c r="J507" t="e">
        <f xml:space="preserve"> $AC$3/G507 + $AC$6/A507 * Performance!$E$12 + Performance!$E$23/Constraints!$AC$6 * Constraints!A507</f>
        <v>#VALUE!</v>
      </c>
      <c r="K507">
        <f xml:space="preserve"> $AC$3/H507 + $AC$6/A507 * Performance!$E$12 + Performance!$E$23/Constraints!$AC$6 * Constraints!A507</f>
        <v>1.0718736159447202</v>
      </c>
      <c r="L507">
        <f xml:space="preserve"> $AC$3/I507 + $AC$6/A507 * Performance!$E$12 + Performance!$E$23/Constraints!$AC$6 * Constraints!A507</f>
        <v>1.0590731943639689</v>
      </c>
      <c r="M507">
        <f>SIN($AC$9 * PI()/180) + 1/Performance!$AE$5</f>
        <v>0.24073077270730886</v>
      </c>
      <c r="N507">
        <f>SIN($AC$9 * PI()/180) + 1/Performance!$AE$8</f>
        <v>0.22738716112204788</v>
      </c>
      <c r="O507" s="60">
        <f>$AC$16 * (Performance!$E$12/Constraints!A507 + Performance!$E$23 * (Constraints!$AC$13/Constraints!$AC$17)^2 * Constraints!A507)</f>
        <v>2.1149283582861858E-4</v>
      </c>
      <c r="P507" t="e">
        <f t="shared" si="31"/>
        <v>#VALUE!</v>
      </c>
      <c r="Q507">
        <f t="shared" si="32"/>
        <v>100.80103102184442</v>
      </c>
      <c r="R507">
        <f t="shared" si="33"/>
        <v>111.54312726751159</v>
      </c>
      <c r="S507" t="e">
        <f xml:space="preserve"> 1.667/G507 + P507/A507 * Performance!$E$12 + Performance!$E$23 / Constraints!P507 * Constraints!A507</f>
        <v>#VALUE!</v>
      </c>
      <c r="T507">
        <f xml:space="preserve"> 1.667/H507 + Q507/A507 * Performance!$E$12 + Performance!$E$23 / Constraints!Q507 * Constraints!A507</f>
        <v>0.19099240791372774</v>
      </c>
      <c r="U507">
        <f xml:space="preserve"> 1.667/I507 + R507/A507 * Performance!$E$12 + Performance!$E$23 / Constraints!R507 * Constraints!A507</f>
        <v>0.17902173271942445</v>
      </c>
    </row>
    <row r="508" spans="1:21" x14ac:dyDescent="0.3">
      <c r="A508" s="51">
        <v>253</v>
      </c>
      <c r="B508" s="50">
        <f>$V$4*Performance!$E$12*(1/A508)+Performance!$E$23*(1/Constraints!$V$4)*Constraints!A508</f>
        <v>0.12227346901026014</v>
      </c>
      <c r="C508" s="50">
        <f>$V$5*Performance!$E$12*(1/A508)+Performance!$E$23*(1/Constraints!$V$5)*Constraints!A508</f>
        <v>0.18165516357308661</v>
      </c>
      <c r="D508" s="52">
        <f t="shared" si="30"/>
        <v>0.38635157041651202</v>
      </c>
      <c r="E508" s="52">
        <f>$V$4*Performance!$E$12*(1/A508)+Performance!$E$23*(1/Constraints!$V$9)*Constraints!A508</f>
        <v>0.12113088048746994</v>
      </c>
      <c r="F508" s="52">
        <f xml:space="preserve"> 1.21 / (9.81 * Constraints!$N$7 * Performance!$E$15 * Constraints!$N$5 ) * Constraints!A508 + 0.605 /Performance!$E$15 * (Performance!$E$16  - Constraints!$N$6 * Performance!$E$14) + Constraints!$N$6</f>
        <v>0.38621112539060326</v>
      </c>
      <c r="G508" s="54" t="s">
        <v>198</v>
      </c>
      <c r="H508" s="55">
        <f>SQRT(2/$V$3 * A508 * SQRT(Performance!$E$23 / (3 * Performance!$E$12)))</f>
        <v>19.612842679239176</v>
      </c>
      <c r="I508" s="55">
        <f>SQRT(2/$V$3 * A508 * (SQRT(Performance!$E$23)/(SQRT(3*Performance!$E$12 + 4* Performance!$E$23 * Performance!$E$11^2) - SQRT(Performance!$E$23)*Performance!$E$11)))</f>
        <v>20.631436417941043</v>
      </c>
      <c r="J508" t="e">
        <f xml:space="preserve"> $AC$3/G508 + $AC$6/A508 * Performance!$E$12 + Performance!$E$23/Constraints!$AC$6 * Constraints!A508</f>
        <v>#VALUE!</v>
      </c>
      <c r="K508">
        <f xml:space="preserve"> $AC$3/H508 + $AC$6/A508 * Performance!$E$12 + Performance!$E$23/Constraints!$AC$6 * Constraints!A508</f>
        <v>1.0732209218628515</v>
      </c>
      <c r="L508">
        <f xml:space="preserve"> $AC$3/I508 + $AC$6/A508 * Performance!$E$12 + Performance!$E$23/Constraints!$AC$6 * Constraints!A508</f>
        <v>1.0604331551755355</v>
      </c>
      <c r="M508">
        <f>SIN($AC$9 * PI()/180) + 1/Performance!$AE$5</f>
        <v>0.24073077270730886</v>
      </c>
      <c r="N508">
        <f>SIN($AC$9 * PI()/180) + 1/Performance!$AE$8</f>
        <v>0.22738716112204788</v>
      </c>
      <c r="O508" s="60">
        <f>$AC$16 * (Performance!$E$12/Constraints!A508 + Performance!$E$23 * (Constraints!$AC$13/Constraints!$AC$17)^2 * Constraints!A508)</f>
        <v>2.1152658985218364E-4</v>
      </c>
      <c r="P508" t="e">
        <f t="shared" si="31"/>
        <v>#VALUE!</v>
      </c>
      <c r="Q508">
        <f t="shared" si="32"/>
        <v>101.00063702386787</v>
      </c>
      <c r="R508">
        <f t="shared" si="33"/>
        <v>111.76400474724925</v>
      </c>
      <c r="S508" t="e">
        <f xml:space="preserve"> 1.667/G508 + P508/A508 * Performance!$E$12 + Performance!$E$23 / Constraints!P508 * Constraints!A508</f>
        <v>#VALUE!</v>
      </c>
      <c r="T508">
        <f xml:space="preserve"> 1.667/H508 + Q508/A508 * Performance!$E$12 + Performance!$E$23 / Constraints!Q508 * Constraints!A508</f>
        <v>0.19090829574254919</v>
      </c>
      <c r="U508">
        <f xml:space="preserve"> 1.667/I508 + R508/A508 * Performance!$E$12 + Performance!$E$23 / Constraints!R508 * Constraints!A508</f>
        <v>0.17894177324654453</v>
      </c>
    </row>
    <row r="509" spans="1:21" x14ac:dyDescent="0.3">
      <c r="A509" s="51">
        <v>253.5</v>
      </c>
      <c r="B509" s="50">
        <f>$V$4*Performance!$E$12*(1/A509)+Performance!$E$23*(1/Constraints!$V$4)*Constraints!A509</f>
        <v>0.12207187337181467</v>
      </c>
      <c r="C509" s="50">
        <f>$V$5*Performance!$E$12*(1/A509)+Performance!$E$23*(1/Constraints!$V$5)*Constraints!A509</f>
        <v>0.18132222004170762</v>
      </c>
      <c r="D509" s="52">
        <f t="shared" si="30"/>
        <v>0.38662385612879757</v>
      </c>
      <c r="E509" s="52">
        <f>$V$4*Performance!$E$12*(1/A509)+Performance!$E$23*(1/Constraints!$V$9)*Constraints!A509</f>
        <v>0.1209270267689399</v>
      </c>
      <c r="F509" s="52">
        <f xml:space="preserve"> 1.21 / (9.81 * Constraints!$N$7 * Performance!$E$15 * Constraints!$N$5 ) * Constraints!A509 + 0.605 /Performance!$E$15 * (Performance!$E$16  - Constraints!$N$6 * Performance!$E$14) + Constraints!$N$6</f>
        <v>0.38648313354354913</v>
      </c>
      <c r="G509" s="54" t="s">
        <v>198</v>
      </c>
      <c r="H509" s="55">
        <f>SQRT(2/$V$3 * A509 * SQRT(Performance!$E$23 / (3 * Performance!$E$12)))</f>
        <v>19.63221339277969</v>
      </c>
      <c r="I509" s="55">
        <f>SQRT(2/$V$3 * A509 * (SQRT(Performance!$E$23)/(SQRT(3*Performance!$E$12 + 4* Performance!$E$23 * Performance!$E$11^2) - SQRT(Performance!$E$23)*Performance!$E$11)))</f>
        <v>20.65181315023413</v>
      </c>
      <c r="J509" t="e">
        <f xml:space="preserve"> $AC$3/G509 + $AC$6/A509 * Performance!$E$12 + Performance!$E$23/Constraints!$AC$6 * Constraints!A509</f>
        <v>#VALUE!</v>
      </c>
      <c r="K509">
        <f xml:space="preserve"> $AC$3/H509 + $AC$6/A509 * Performance!$E$12 + Performance!$E$23/Constraints!$AC$6 * Constraints!A509</f>
        <v>1.0745689973181132</v>
      </c>
      <c r="L509">
        <f xml:space="preserve"> $AC$3/I509 + $AC$6/A509 * Performance!$E$12 + Performance!$E$23/Constraints!$AC$6 * Constraints!A509</f>
        <v>1.0617938480652336</v>
      </c>
      <c r="M509">
        <f>SIN($AC$9 * PI()/180) + 1/Performance!$AE$5</f>
        <v>0.24073077270730886</v>
      </c>
      <c r="N509">
        <f>SIN($AC$9 * PI()/180) + 1/Performance!$AE$8</f>
        <v>0.22738716112204788</v>
      </c>
      <c r="O509" s="60">
        <f>$AC$16 * (Performance!$E$12/Constraints!A509 + Performance!$E$23 * (Constraints!$AC$13/Constraints!$AC$17)^2 * Constraints!A509)</f>
        <v>2.1156110257952948E-4</v>
      </c>
      <c r="P509" t="e">
        <f t="shared" si="31"/>
        <v>#VALUE!</v>
      </c>
      <c r="Q509">
        <f t="shared" si="32"/>
        <v>101.2002430258913</v>
      </c>
      <c r="R509">
        <f t="shared" si="33"/>
        <v>111.9848822269869</v>
      </c>
      <c r="S509" t="e">
        <f xml:space="preserve"> 1.667/G509 + P509/A509 * Performance!$E$12 + Performance!$E$23 / Constraints!P509 * Constraints!A509</f>
        <v>#VALUE!</v>
      </c>
      <c r="T509">
        <f xml:space="preserve"> 1.667/H509 + Q509/A509 * Performance!$E$12 + Performance!$E$23 / Constraints!Q509 * Constraints!A509</f>
        <v>0.19082443254681811</v>
      </c>
      <c r="U509">
        <f xml:space="preserve"> 1.667/I509 + R509/A509 * Performance!$E$12 + Performance!$E$23 / Constraints!R509 * Constraints!A509</f>
        <v>0.17886205045695619</v>
      </c>
    </row>
    <row r="510" spans="1:21" x14ac:dyDescent="0.3">
      <c r="A510" s="51">
        <v>254</v>
      </c>
      <c r="B510" s="50">
        <f>$V$4*Performance!$E$12*(1/A510)+Performance!$E$23*(1/Constraints!$V$4)*Constraints!A510</f>
        <v>0.12187114939725854</v>
      </c>
      <c r="C510" s="50">
        <f>$V$5*Performance!$E$12*(1/A510)+Performance!$E$23*(1/Constraints!$V$5)*Constraints!A510</f>
        <v>0.18099063726380293</v>
      </c>
      <c r="D510" s="52">
        <f t="shared" si="30"/>
        <v>0.38689614184108323</v>
      </c>
      <c r="E510" s="52">
        <f>$V$4*Performance!$E$12*(1/A510)+Performance!$E$23*(1/Constraints!$V$9)*Constraints!A510</f>
        <v>0.12072404471429922</v>
      </c>
      <c r="F510" s="52">
        <f xml:space="preserve"> 1.21 / (9.81 * Constraints!$N$7 * Performance!$E$15 * Constraints!$N$5 ) * Constraints!A510 + 0.605 /Performance!$E$15 * (Performance!$E$16  - Constraints!$N$6 * Performance!$E$14) + Constraints!$N$6</f>
        <v>0.38675514169649494</v>
      </c>
      <c r="G510" s="54" t="s">
        <v>198</v>
      </c>
      <c r="H510" s="55">
        <f>SQRT(2/$V$3 * A510 * SQRT(Performance!$E$23 / (3 * Performance!$E$12)))</f>
        <v>19.651565012453609</v>
      </c>
      <c r="I510" s="55">
        <f>SQRT(2/$V$3 * A510 * (SQRT(Performance!$E$23)/(SQRT(3*Performance!$E$12 + 4* Performance!$E$23 * Performance!$E$11^2) - SQRT(Performance!$E$23)*Performance!$E$11)))</f>
        <v>20.672169797019922</v>
      </c>
      <c r="J510" t="e">
        <f xml:space="preserve"> $AC$3/G510 + $AC$6/A510 * Performance!$E$12 + Performance!$E$23/Constraints!$AC$6 * Constraints!A510</f>
        <v>#VALUE!</v>
      </c>
      <c r="K510">
        <f xml:space="preserve"> $AC$3/H510 + $AC$6/A510 * Performance!$E$12 + Performance!$E$23/Constraints!$AC$6 * Constraints!A510</f>
        <v>1.0759178385109314</v>
      </c>
      <c r="L510">
        <f xml:space="preserve"> $AC$3/I510 + $AC$6/A510 * Performance!$E$12 + Performance!$E$23/Constraints!$AC$6 * Constraints!A510</f>
        <v>1.0631552694179254</v>
      </c>
      <c r="M510">
        <f>SIN($AC$9 * PI()/180) + 1/Performance!$AE$5</f>
        <v>0.24073077270730886</v>
      </c>
      <c r="N510">
        <f>SIN($AC$9 * PI()/180) + 1/Performance!$AE$8</f>
        <v>0.22738716112204788</v>
      </c>
      <c r="O510" s="60">
        <f>$AC$16 * (Performance!$E$12/Constraints!A510 + Performance!$E$23 * (Constraints!$AC$13/Constraints!$AC$17)^2 * Constraints!A510)</f>
        <v>2.1159636953012204E-4</v>
      </c>
      <c r="P510" t="e">
        <f t="shared" si="31"/>
        <v>#VALUE!</v>
      </c>
      <c r="Q510">
        <f t="shared" si="32"/>
        <v>101.39984902791478</v>
      </c>
      <c r="R510">
        <f t="shared" si="33"/>
        <v>112.20575970672454</v>
      </c>
      <c r="S510" t="e">
        <f xml:space="preserve"> 1.667/G510 + P510/A510 * Performance!$E$12 + Performance!$E$23 / Constraints!P510 * Constraints!A510</f>
        <v>#VALUE!</v>
      </c>
      <c r="T510">
        <f xml:space="preserve"> 1.667/H510 + Q510/A510 * Performance!$E$12 + Performance!$E$23 / Constraints!Q510 * Constraints!A510</f>
        <v>0.19074081710065766</v>
      </c>
      <c r="U510">
        <f xml:space="preserve"> 1.667/I510 + R510/A510 * Performance!$E$12 + Performance!$E$23 / Constraints!R510 * Constraints!A510</f>
        <v>0.17878256318530544</v>
      </c>
    </row>
    <row r="511" spans="1:21" x14ac:dyDescent="0.3">
      <c r="A511" s="51">
        <v>254.5</v>
      </c>
      <c r="B511" s="50">
        <f>$V$4*Performance!$E$12*(1/A511)+Performance!$E$23*(1/Constraints!$V$4)*Constraints!A511</f>
        <v>0.12167129194908363</v>
      </c>
      <c r="C511" s="50">
        <f>$V$5*Performance!$E$12*(1/A511)+Performance!$E$23*(1/Constraints!$V$5)*Constraints!A511</f>
        <v>0.18066040721921459</v>
      </c>
      <c r="D511" s="52">
        <f t="shared" si="30"/>
        <v>0.38716842755336878</v>
      </c>
      <c r="E511" s="52">
        <f>$V$4*Performance!$E$12*(1/A511)+Performance!$E$23*(1/Constraints!$V$9)*Constraints!A511</f>
        <v>0.12052192918603974</v>
      </c>
      <c r="F511" s="52">
        <f xml:space="preserve"> 1.21 / (9.81 * Constraints!$N$7 * Performance!$E$15 * Constraints!$N$5 ) * Constraints!A511 + 0.605 /Performance!$E$15 * (Performance!$E$16  - Constraints!$N$6 * Performance!$E$14) + Constraints!$N$6</f>
        <v>0.38702714984944081</v>
      </c>
      <c r="G511" s="54" t="s">
        <v>198</v>
      </c>
      <c r="H511" s="55">
        <f>SQRT(2/$V$3 * A511 * SQRT(Performance!$E$23 / (3 * Performance!$E$12)))</f>
        <v>19.670897594612793</v>
      </c>
      <c r="I511" s="55">
        <f>SQRT(2/$V$3 * A511 * (SQRT(Performance!$E$23)/(SQRT(3*Performance!$E$12 + 4* Performance!$E$23 * Performance!$E$11^2) - SQRT(Performance!$E$23)*Performance!$E$11)))</f>
        <v>20.692506417576922</v>
      </c>
      <c r="J511" t="e">
        <f xml:space="preserve"> $AC$3/G511 + $AC$6/A511 * Performance!$E$12 + Performance!$E$23/Constraints!$AC$6 * Constraints!A511</f>
        <v>#VALUE!</v>
      </c>
      <c r="K511">
        <f xml:space="preserve"> $AC$3/H511 + $AC$6/A511 * Performance!$E$12 + Performance!$E$23/Constraints!$AC$6 * Constraints!A511</f>
        <v>1.0772674416679342</v>
      </c>
      <c r="L511">
        <f xml:space="preserve"> $AC$3/I511 + $AC$6/A511 * Performance!$E$12 + Performance!$E$23/Constraints!$AC$6 * Constraints!A511</f>
        <v>1.0645174156434061</v>
      </c>
      <c r="M511">
        <f>SIN($AC$9 * PI()/180) + 1/Performance!$AE$5</f>
        <v>0.24073077270730886</v>
      </c>
      <c r="N511">
        <f>SIN($AC$9 * PI()/180) + 1/Performance!$AE$8</f>
        <v>0.22738716112204788</v>
      </c>
      <c r="O511" s="60">
        <f>$AC$16 * (Performance!$E$12/Constraints!A511 + Performance!$E$23 * (Constraints!$AC$13/Constraints!$AC$17)^2 * Constraints!A511)</f>
        <v>2.1163238625863761E-4</v>
      </c>
      <c r="P511" t="e">
        <f t="shared" si="31"/>
        <v>#VALUE!</v>
      </c>
      <c r="Q511">
        <f t="shared" si="32"/>
        <v>101.59945502993823</v>
      </c>
      <c r="R511">
        <f t="shared" si="33"/>
        <v>112.42663718646217</v>
      </c>
      <c r="S511" t="e">
        <f xml:space="preserve"> 1.667/G511 + P511/A511 * Performance!$E$12 + Performance!$E$23 / Constraints!P511 * Constraints!A511</f>
        <v>#VALUE!</v>
      </c>
      <c r="T511">
        <f xml:space="preserve"> 1.667/H511 + Q511/A511 * Performance!$E$12 + Performance!$E$23 / Constraints!Q511 * Constraints!A511</f>
        <v>0.19065744818662461</v>
      </c>
      <c r="U511">
        <f xml:space="preserve"> 1.667/I511 + R511/A511 * Performance!$E$12 + Performance!$E$23 / Constraints!R511 * Constraints!A511</f>
        <v>0.17870331027425518</v>
      </c>
    </row>
    <row r="512" spans="1:21" x14ac:dyDescent="0.3">
      <c r="A512" s="51">
        <v>255</v>
      </c>
      <c r="B512" s="50">
        <f>$V$4*Performance!$E$12*(1/A512)+Performance!$E$23*(1/Constraints!$V$4)*Constraints!A512</f>
        <v>0.12147229593007589</v>
      </c>
      <c r="C512" s="50">
        <f>$V$5*Performance!$E$12*(1/A512)+Performance!$E$23*(1/Constraints!$V$5)*Constraints!A512</f>
        <v>0.18033152195068775</v>
      </c>
      <c r="D512" s="52">
        <f t="shared" si="30"/>
        <v>0.38744071326565438</v>
      </c>
      <c r="E512" s="52">
        <f>$V$4*Performance!$E$12*(1/A512)+Performance!$E$23*(1/Constraints!$V$9)*Constraints!A512</f>
        <v>0.12032067508694742</v>
      </c>
      <c r="F512" s="52">
        <f xml:space="preserve"> 1.21 / (9.81 * Constraints!$N$7 * Performance!$E$15 * Constraints!$N$5 ) * Constraints!A512 + 0.605 /Performance!$E$15 * (Performance!$E$16  - Constraints!$N$6 * Performance!$E$14) + Constraints!$N$6</f>
        <v>0.38729915800238668</v>
      </c>
      <c r="G512" s="54" t="s">
        <v>198</v>
      </c>
      <c r="H512" s="55">
        <f>SQRT(2/$V$3 * A512 * SQRT(Performance!$E$23 / (3 * Performance!$E$12)))</f>
        <v>19.690211195332463</v>
      </c>
      <c r="I512" s="55">
        <f>SQRT(2/$V$3 * A512 * (SQRT(Performance!$E$23)/(SQRT(3*Performance!$E$12 + 4* Performance!$E$23 * Performance!$E$11^2) - SQRT(Performance!$E$23)*Performance!$E$11)))</f>
        <v>20.712823070892618</v>
      </c>
      <c r="J512" t="e">
        <f xml:space="preserve"> $AC$3/G512 + $AC$6/A512 * Performance!$E$12 + Performance!$E$23/Constraints!$AC$6 * Constraints!A512</f>
        <v>#VALUE!</v>
      </c>
      <c r="K512">
        <f xml:space="preserve"> $AC$3/H512 + $AC$6/A512 * Performance!$E$12 + Performance!$E$23/Constraints!$AC$6 * Constraints!A512</f>
        <v>1.0786178030417195</v>
      </c>
      <c r="L512">
        <f xml:space="preserve"> $AC$3/I512 + $AC$6/A512 * Performance!$E$12 + Performance!$E$23/Constraints!$AC$6 * Constraints!A512</f>
        <v>1.0658802831761838</v>
      </c>
      <c r="M512">
        <f>SIN($AC$9 * PI()/180) + 1/Performance!$AE$5</f>
        <v>0.24073077270730886</v>
      </c>
      <c r="N512">
        <f>SIN($AC$9 * PI()/180) + 1/Performance!$AE$8</f>
        <v>0.22738716112204788</v>
      </c>
      <c r="O512" s="60">
        <f>$AC$16 * (Performance!$E$12/Constraints!A512 + Performance!$E$23 * (Constraints!$AC$13/Constraints!$AC$17)^2 * Constraints!A512)</f>
        <v>2.1166914835461784E-4</v>
      </c>
      <c r="P512" t="e">
        <f t="shared" si="31"/>
        <v>#VALUE!</v>
      </c>
      <c r="Q512">
        <f t="shared" si="32"/>
        <v>101.79906103196168</v>
      </c>
      <c r="R512">
        <f t="shared" si="33"/>
        <v>112.64751466619983</v>
      </c>
      <c r="S512" t="e">
        <f xml:space="preserve"> 1.667/G512 + P512/A512 * Performance!$E$12 + Performance!$E$23 / Constraints!P512 * Constraints!A512</f>
        <v>#VALUE!</v>
      </c>
      <c r="T512">
        <f xml:space="preserve"> 1.667/H512 + Q512/A512 * Performance!$E$12 + Performance!$E$23 / Constraints!Q512 * Constraints!A512</f>
        <v>0.1905743245956347</v>
      </c>
      <c r="U512">
        <f xml:space="preserve"> 1.667/I512 + R512/A512 * Performance!$E$12 + Performance!$E$23 / Constraints!R512 * Constraints!A512</f>
        <v>0.17862429057441495</v>
      </c>
    </row>
    <row r="513" spans="1:21" x14ac:dyDescent="0.3">
      <c r="A513" s="51">
        <v>255.5</v>
      </c>
      <c r="B513" s="50">
        <f>$V$4*Performance!$E$12*(1/A513)+Performance!$E$23*(1/Constraints!$V$4)*Constraints!A513</f>
        <v>0.12127415628292124</v>
      </c>
      <c r="C513" s="50">
        <f>$V$5*Performance!$E$12*(1/A513)+Performance!$E$23*(1/Constraints!$V$5)*Constraints!A513</f>
        <v>0.18000397356325534</v>
      </c>
      <c r="D513" s="52">
        <f t="shared" si="30"/>
        <v>0.38771299897793998</v>
      </c>
      <c r="E513" s="52">
        <f>$V$4*Performance!$E$12*(1/A513)+Performance!$E$23*(1/Constraints!$V$9)*Constraints!A513</f>
        <v>0.12012027735970821</v>
      </c>
      <c r="F513" s="52">
        <f xml:space="preserve"> 1.21 / (9.81 * Constraints!$N$7 * Performance!$E$15 * Constraints!$N$5 ) * Constraints!A513 + 0.605 /Performance!$E$15 * (Performance!$E$16  - Constraints!$N$6 * Performance!$E$14) + Constraints!$N$6</f>
        <v>0.38757116615533249</v>
      </c>
      <c r="G513" s="54" t="s">
        <v>198</v>
      </c>
      <c r="H513" s="55">
        <f>SQRT(2/$V$3 * A513 * SQRT(Performance!$E$23 / (3 * Performance!$E$12)))</f>
        <v>19.7095058704131</v>
      </c>
      <c r="I513" s="55">
        <f>SQRT(2/$V$3 * A513 * (SQRT(Performance!$E$23)/(SQRT(3*Performance!$E$12 + 4* Performance!$E$23 * Performance!$E$11^2) - SQRT(Performance!$E$23)*Performance!$E$11)))</f>
        <v>20.733119815665489</v>
      </c>
      <c r="J513" t="e">
        <f xml:space="preserve"> $AC$3/G513 + $AC$6/A513 * Performance!$E$12 + Performance!$E$23/Constraints!$AC$6 * Constraints!A513</f>
        <v>#VALUE!</v>
      </c>
      <c r="K513">
        <f xml:space="preserve"> $AC$3/H513 + $AC$6/A513 * Performance!$E$12 + Performance!$E$23/Constraints!$AC$6 * Constraints!A513</f>
        <v>1.0799689189106263</v>
      </c>
      <c r="L513">
        <f xml:space="preserve"> $AC$3/I513 + $AC$6/A513 * Performance!$E$12 + Performance!$E$23/Constraints!$AC$6 * Constraints!A513</f>
        <v>1.0672438684752608</v>
      </c>
      <c r="M513">
        <f>SIN($AC$9 * PI()/180) + 1/Performance!$AE$5</f>
        <v>0.24073077270730886</v>
      </c>
      <c r="N513">
        <f>SIN($AC$9 * PI()/180) + 1/Performance!$AE$8</f>
        <v>0.22738716112204788</v>
      </c>
      <c r="O513" s="60">
        <f>$AC$16 * (Performance!$E$12/Constraints!A513 + Performance!$E$23 * (Constraints!$AC$13/Constraints!$AC$17)^2 * Constraints!A513)</f>
        <v>2.1170665144212841E-4</v>
      </c>
      <c r="P513" t="e">
        <f t="shared" si="31"/>
        <v>#VALUE!</v>
      </c>
      <c r="Q513">
        <f t="shared" si="32"/>
        <v>101.99866703398513</v>
      </c>
      <c r="R513">
        <f t="shared" si="33"/>
        <v>112.86839214593748</v>
      </c>
      <c r="S513" t="e">
        <f xml:space="preserve"> 1.667/G513 + P513/A513 * Performance!$E$12 + Performance!$E$23 / Constraints!P513 * Constraints!A513</f>
        <v>#VALUE!</v>
      </c>
      <c r="T513">
        <f xml:space="preserve"> 1.667/H513 + Q513/A513 * Performance!$E$12 + Performance!$E$23 / Constraints!Q513 * Constraints!A513</f>
        <v>0.19049144512688923</v>
      </c>
      <c r="U513">
        <f xml:space="preserve"> 1.667/I513 + R513/A513 * Performance!$E$12 + Performance!$E$23 / Constraints!R513 * Constraints!A513</f>
        <v>0.1785455029442706</v>
      </c>
    </row>
    <row r="514" spans="1:21" x14ac:dyDescent="0.3">
      <c r="A514" s="51">
        <v>256</v>
      </c>
      <c r="B514" s="50">
        <f>$V$4*Performance!$E$12*(1/A514)+Performance!$E$23*(1/Constraints!$V$4)*Constraints!A514</f>
        <v>0.12107686798981585</v>
      </c>
      <c r="C514" s="50">
        <f>$V$5*Performance!$E$12*(1/A514)+Performance!$E$23*(1/Constraints!$V$5)*Constraints!A514</f>
        <v>0.17967775422362969</v>
      </c>
      <c r="D514" s="52">
        <f t="shared" si="30"/>
        <v>0.38798528469022558</v>
      </c>
      <c r="E514" s="52">
        <f>$V$4*Performance!$E$12*(1/A514)+Performance!$E$23*(1/Constraints!$V$9)*Constraints!A514</f>
        <v>0.11992073098651825</v>
      </c>
      <c r="F514" s="52">
        <f xml:space="preserve"> 1.21 / (9.81 * Constraints!$N$7 * Performance!$E$15 * Constraints!$N$5 ) * Constraints!A514 + 0.605 /Performance!$E$15 * (Performance!$E$16  - Constraints!$N$6 * Performance!$E$14) + Constraints!$N$6</f>
        <v>0.38784317430827842</v>
      </c>
      <c r="G514" s="54" t="s">
        <v>198</v>
      </c>
      <c r="H514" s="55">
        <f>SQRT(2/$V$3 * A514 * SQRT(Performance!$E$23 / (3 * Performance!$E$12)))</f>
        <v>19.728781675382315</v>
      </c>
      <c r="I514" s="55">
        <f>SQRT(2/$V$3 * A514 * (SQRT(Performance!$E$23)/(SQRT(3*Performance!$E$12 + 4* Performance!$E$23 * Performance!$E$11^2) - SQRT(Performance!$E$23)*Performance!$E$11)))</f>
        <v>20.753396710306976</v>
      </c>
      <c r="J514" t="e">
        <f xml:space="preserve"> $AC$3/G514 + $AC$6/A514 * Performance!$E$12 + Performance!$E$23/Constraints!$AC$6 * Constraints!A514</f>
        <v>#VALUE!</v>
      </c>
      <c r="K514">
        <f xml:space="preserve"> $AC$3/H514 + $AC$6/A514 * Performance!$E$12 + Performance!$E$23/Constraints!$AC$6 * Constraints!A514</f>
        <v>1.0813207855785087</v>
      </c>
      <c r="L514">
        <f xml:space="preserve"> $AC$3/I514 + $AC$6/A514 * Performance!$E$12 + Performance!$E$23/Constraints!$AC$6 * Constraints!A514</f>
        <v>1.0686081680239186</v>
      </c>
      <c r="M514">
        <f>SIN($AC$9 * PI()/180) + 1/Performance!$AE$5</f>
        <v>0.24073077270730886</v>
      </c>
      <c r="N514">
        <f>SIN($AC$9 * PI()/180) + 1/Performance!$AE$8</f>
        <v>0.22738716112204788</v>
      </c>
      <c r="O514" s="60">
        <f>$AC$16 * (Performance!$E$12/Constraints!A514 + Performance!$E$23 * (Constraints!$AC$13/Constraints!$AC$17)^2 * Constraints!A514)</f>
        <v>2.1174489117942221E-4</v>
      </c>
      <c r="P514" t="e">
        <f t="shared" si="31"/>
        <v>#VALUE!</v>
      </c>
      <c r="Q514">
        <f t="shared" si="32"/>
        <v>102.1982730360086</v>
      </c>
      <c r="R514">
        <f t="shared" si="33"/>
        <v>113.08926962567514</v>
      </c>
      <c r="S514" t="e">
        <f xml:space="preserve"> 1.667/G514 + P514/A514 * Performance!$E$12 + Performance!$E$23 / Constraints!P514 * Constraints!A514</f>
        <v>#VALUE!</v>
      </c>
      <c r="T514">
        <f xml:space="preserve"> 1.667/H514 + Q514/A514 * Performance!$E$12 + Performance!$E$23 / Constraints!Q514 * Constraints!A514</f>
        <v>0.19040880858780207</v>
      </c>
      <c r="U514">
        <f xml:space="preserve"> 1.667/I514 + R514/A514 * Performance!$E$12 + Performance!$E$23 / Constraints!R514 * Constraints!A514</f>
        <v>0.17846694625011505</v>
      </c>
    </row>
    <row r="515" spans="1:21" x14ac:dyDescent="0.3">
      <c r="A515" s="51">
        <v>256.5</v>
      </c>
      <c r="B515" s="50">
        <f>$V$4*Performance!$E$12*(1/A515)+Performance!$E$23*(1/Constraints!$V$4)*Constraints!A515</f>
        <v>0.12088042607208103</v>
      </c>
      <c r="C515" s="50">
        <f>$V$5*Performance!$E$12*(1/A515)+Performance!$E$23*(1/Constraints!$V$5)*Constraints!A515</f>
        <v>0.17935285615960142</v>
      </c>
      <c r="D515" s="52">
        <f t="shared" si="30"/>
        <v>0.38825757040251119</v>
      </c>
      <c r="E515" s="52">
        <f>$V$4*Performance!$E$12*(1/A515)+Performance!$E$23*(1/Constraints!$V$9)*Constraints!A515</f>
        <v>0.11972203098869888</v>
      </c>
      <c r="F515" s="52">
        <f xml:space="preserve"> 1.21 / (9.81 * Constraints!$N$7 * Performance!$E$15 * Constraints!$N$5 ) * Constraints!A515 + 0.605 /Performance!$E$15 * (Performance!$E$16  - Constraints!$N$6 * Performance!$E$14) + Constraints!$N$6</f>
        <v>0.38811518246122423</v>
      </c>
      <c r="G515" s="54" t="s">
        <v>198</v>
      </c>
      <c r="H515" s="55">
        <f>SQRT(2/$V$3 * A515 * SQRT(Performance!$E$23 / (3 * Performance!$E$12)))</f>
        <v>19.748038665496722</v>
      </c>
      <c r="I515" s="55">
        <f>SQRT(2/$V$3 * A515 * (SQRT(Performance!$E$23)/(SQRT(3*Performance!$E$12 + 4* Performance!$E$23 * Performance!$E$11^2) - SQRT(Performance!$E$23)*Performance!$E$11)))</f>
        <v>20.773653812943444</v>
      </c>
      <c r="J515" t="e">
        <f xml:space="preserve"> $AC$3/G515 + $AC$6/A515 * Performance!$E$12 + Performance!$E$23/Constraints!$AC$6 * Constraints!A515</f>
        <v>#VALUE!</v>
      </c>
      <c r="K515">
        <f xml:space="preserve"> $AC$3/H515 + $AC$6/A515 * Performance!$E$12 + Performance!$E$23/Constraints!$AC$6 * Constraints!A515</f>
        <v>1.0826733993745092</v>
      </c>
      <c r="L515">
        <f xml:space="preserve"> $AC$3/I515 + $AC$6/A515 * Performance!$E$12 + Performance!$E$23/Constraints!$AC$6 * Constraints!A515</f>
        <v>1.069973178329503</v>
      </c>
      <c r="M515">
        <f>SIN($AC$9 * PI()/180) + 1/Performance!$AE$5</f>
        <v>0.24073077270730886</v>
      </c>
      <c r="N515">
        <f>SIN($AC$9 * PI()/180) + 1/Performance!$AE$8</f>
        <v>0.22738716112204788</v>
      </c>
      <c r="O515" s="60">
        <f>$AC$16 * (Performance!$E$12/Constraints!A515 + Performance!$E$23 * (Constraints!$AC$13/Constraints!$AC$17)^2 * Constraints!A515)</f>
        <v>2.1178386325860571E-4</v>
      </c>
      <c r="P515" t="e">
        <f t="shared" si="31"/>
        <v>#VALUE!</v>
      </c>
      <c r="Q515">
        <f t="shared" si="32"/>
        <v>102.39787903803206</v>
      </c>
      <c r="R515">
        <f t="shared" si="33"/>
        <v>113.31014710541274</v>
      </c>
      <c r="S515" t="e">
        <f xml:space="preserve"> 1.667/G515 + P515/A515 * Performance!$E$12 + Performance!$E$23 / Constraints!P515 * Constraints!A515</f>
        <v>#VALUE!</v>
      </c>
      <c r="T515">
        <f xml:space="preserve"> 1.667/H515 + Q515/A515 * Performance!$E$12 + Performance!$E$23 / Constraints!Q515 * Constraints!A515</f>
        <v>0.19032641379392762</v>
      </c>
      <c r="U515">
        <f xml:space="preserve"> 1.667/I515 + R515/A515 * Performance!$E$12 + Performance!$E$23 / Constraints!R515 * Constraints!A515</f>
        <v>0.17838861936598005</v>
      </c>
    </row>
    <row r="516" spans="1:21" x14ac:dyDescent="0.3">
      <c r="A516" s="51">
        <v>257</v>
      </c>
      <c r="B516" s="50">
        <f>$V$4*Performance!$E$12*(1/A516)+Performance!$E$23*(1/Constraints!$V$4)*Constraints!A516</f>
        <v>0.1206848255897828</v>
      </c>
      <c r="C516" s="50">
        <f>$V$5*Performance!$E$12*(1/A516)+Performance!$E$23*(1/Constraints!$V$5)*Constraints!A516</f>
        <v>0.17902927165944527</v>
      </c>
      <c r="D516" s="52">
        <f t="shared" si="30"/>
        <v>0.38852985611479679</v>
      </c>
      <c r="E516" s="52">
        <f>$V$4*Performance!$E$12*(1/A516)+Performance!$E$23*(1/Constraints!$V$9)*Constraints!A516</f>
        <v>0.11952417242631608</v>
      </c>
      <c r="F516" s="52">
        <f xml:space="preserve"> 1.21 / (9.81 * Constraints!$N$7 * Performance!$E$15 * Constraints!$N$5 ) * Constraints!A516 + 0.605 /Performance!$E$15 * (Performance!$E$16  - Constraints!$N$6 * Performance!$E$14) + Constraints!$N$6</f>
        <v>0.3883871906141701</v>
      </c>
      <c r="G516" s="54" t="s">
        <v>198</v>
      </c>
      <c r="H516" s="55">
        <f>SQRT(2/$V$3 * A516 * SQRT(Performance!$E$23 / (3 * Performance!$E$12)))</f>
        <v>19.767276895743787</v>
      </c>
      <c r="I516" s="55">
        <f>SQRT(2/$V$3 * A516 * (SQRT(Performance!$E$23)/(SQRT(3*Performance!$E$12 + 4* Performance!$E$23 * Performance!$E$11^2) - SQRT(Performance!$E$23)*Performance!$E$11)))</f>
        <v>20.793891181418143</v>
      </c>
      <c r="J516" t="e">
        <f xml:space="preserve"> $AC$3/G516 + $AC$6/A516 * Performance!$E$12 + Performance!$E$23/Constraints!$AC$6 * Constraints!A516</f>
        <v>#VALUE!</v>
      </c>
      <c r="K516">
        <f xml:space="preserve"> $AC$3/H516 + $AC$6/A516 * Performance!$E$12 + Performance!$E$23/Constraints!$AC$6 * Constraints!A516</f>
        <v>1.084026756652839</v>
      </c>
      <c r="L516">
        <f xml:space="preserve"> $AC$3/I516 + $AC$6/A516 * Performance!$E$12 + Performance!$E$23/Constraints!$AC$6 * Constraints!A516</f>
        <v>1.0713388959232135</v>
      </c>
      <c r="M516">
        <f>SIN($AC$9 * PI()/180) + 1/Performance!$AE$5</f>
        <v>0.24073077270730886</v>
      </c>
      <c r="N516">
        <f>SIN($AC$9 * PI()/180) + 1/Performance!$AE$8</f>
        <v>0.22738716112204788</v>
      </c>
      <c r="O516" s="60">
        <f>$AC$16 * (Performance!$E$12/Constraints!A516 + Performance!$E$23 * (Constraints!$AC$13/Constraints!$AC$17)^2 * Constraints!A516)</f>
        <v>2.1182356340530988E-4</v>
      </c>
      <c r="P516" t="e">
        <f t="shared" si="31"/>
        <v>#VALUE!</v>
      </c>
      <c r="Q516">
        <f t="shared" si="32"/>
        <v>102.59748504005553</v>
      </c>
      <c r="R516">
        <f t="shared" si="33"/>
        <v>113.53102458515042</v>
      </c>
      <c r="S516" t="e">
        <f xml:space="preserve"> 1.667/G516 + P516/A516 * Performance!$E$12 + Performance!$E$23 / Constraints!P516 * Constraints!A516</f>
        <v>#VALUE!</v>
      </c>
      <c r="T516">
        <f xml:space="preserve"> 1.667/H516 + Q516/A516 * Performance!$E$12 + Performance!$E$23 / Constraints!Q516 * Constraints!A516</f>
        <v>0.19024425956888946</v>
      </c>
      <c r="U516">
        <f xml:space="preserve"> 1.667/I516 + R516/A516 * Performance!$E$12 + Performance!$E$23 / Constraints!R516 * Constraints!A516</f>
        <v>0.17831052117356783</v>
      </c>
    </row>
    <row r="517" spans="1:21" x14ac:dyDescent="0.3">
      <c r="A517" s="51">
        <v>257.5</v>
      </c>
      <c r="B517" s="50">
        <f>$V$4*Performance!$E$12*(1/A517)+Performance!$E$23*(1/Constraints!$V$4)*Constraints!A517</f>
        <v>0.12049006164135542</v>
      </c>
      <c r="C517" s="50">
        <f>$V$5*Performance!$E$12*(1/A517)+Performance!$E$23*(1/Constraints!$V$5)*Constraints!A517</f>
        <v>0.17870699307133278</v>
      </c>
      <c r="D517" s="52">
        <f t="shared" si="30"/>
        <v>0.38880214182708239</v>
      </c>
      <c r="E517" s="52">
        <f>$V$4*Performance!$E$12*(1/A517)+Performance!$E$23*(1/Constraints!$V$9)*Constraints!A517</f>
        <v>0.11932715039780414</v>
      </c>
      <c r="F517" s="52">
        <f xml:space="preserve"> 1.21 / (9.81 * Constraints!$N$7 * Performance!$E$15 * Constraints!$N$5 ) * Constraints!A517 + 0.605 /Performance!$E$15 * (Performance!$E$16  - Constraints!$N$6 * Performance!$E$14) + Constraints!$N$6</f>
        <v>0.38865919876711597</v>
      </c>
      <c r="G517" s="54" t="s">
        <v>198</v>
      </c>
      <c r="H517" s="55">
        <f>SQRT(2/$V$3 * A517 * SQRT(Performance!$E$23 / (3 * Performance!$E$12)))</f>
        <v>19.786496420843651</v>
      </c>
      <c r="I517" s="55">
        <f>SQRT(2/$V$3 * A517 * (SQRT(Performance!$E$23)/(SQRT(3*Performance!$E$12 + 4* Performance!$E$23 * Performance!$E$11^2) - SQRT(Performance!$E$23)*Performance!$E$11)))</f>
        <v>20.814108873293101</v>
      </c>
      <c r="J517" t="e">
        <f xml:space="preserve"> $AC$3/G517 + $AC$6/A517 * Performance!$E$12 + Performance!$E$23/Constraints!$AC$6 * Constraints!A517</f>
        <v>#VALUE!</v>
      </c>
      <c r="K517">
        <f xml:space="preserve"> $AC$3/H517 + $AC$6/A517 * Performance!$E$12 + Performance!$E$23/Constraints!$AC$6 * Constraints!A517</f>
        <v>1.0853808537925573</v>
      </c>
      <c r="L517">
        <f xml:space="preserve"> $AC$3/I517 + $AC$6/A517 * Performance!$E$12 + Performance!$E$23/Constraints!$AC$6 * Constraints!A517</f>
        <v>1.0727053173598953</v>
      </c>
      <c r="M517">
        <f>SIN($AC$9 * PI()/180) + 1/Performance!$AE$5</f>
        <v>0.24073077270730886</v>
      </c>
      <c r="N517">
        <f>SIN($AC$9 * PI()/180) + 1/Performance!$AE$8</f>
        <v>0.22738716112204788</v>
      </c>
      <c r="O517" s="60">
        <f>$AC$16 * (Performance!$E$12/Constraints!A517 + Performance!$E$23 * (Constraints!$AC$13/Constraints!$AC$17)^2 * Constraints!A517)</f>
        <v>2.1186398737836471E-4</v>
      </c>
      <c r="P517" t="e">
        <f t="shared" si="31"/>
        <v>#VALUE!</v>
      </c>
      <c r="Q517">
        <f t="shared" si="32"/>
        <v>102.79709104207896</v>
      </c>
      <c r="R517">
        <f t="shared" si="33"/>
        <v>113.75190206488806</v>
      </c>
      <c r="S517" t="e">
        <f xml:space="preserve"> 1.667/G517 + P517/A517 * Performance!$E$12 + Performance!$E$23 / Constraints!P517 * Constraints!A517</f>
        <v>#VALUE!</v>
      </c>
      <c r="T517">
        <f xml:space="preserve"> 1.667/H517 + Q517/A517 * Performance!$E$12 + Performance!$E$23 / Constraints!Q517 * Constraints!A517</f>
        <v>0.19016234474430996</v>
      </c>
      <c r="U517">
        <f xml:space="preserve"> 1.667/I517 + R517/A517 * Performance!$E$12 + Performance!$E$23 / Constraints!R517 * Constraints!A517</f>
        <v>0.17823265056218479</v>
      </c>
    </row>
    <row r="518" spans="1:21" x14ac:dyDescent="0.3">
      <c r="A518" s="51">
        <v>258</v>
      </c>
      <c r="B518" s="50">
        <f>$V$4*Performance!$E$12*(1/A518)+Performance!$E$23*(1/Constraints!$V$4)*Constraints!A518</f>
        <v>0.12029612936322993</v>
      </c>
      <c r="C518" s="50">
        <f>$V$5*Performance!$E$12*(1/A518)+Performance!$E$23*(1/Constraints!$V$5)*Constraints!A518</f>
        <v>0.17838601280275215</v>
      </c>
      <c r="D518" s="52">
        <f t="shared" si="30"/>
        <v>0.38907442753936794</v>
      </c>
      <c r="E518" s="52">
        <f>$V$4*Performance!$E$12*(1/A518)+Performance!$E$23*(1/Constraints!$V$9)*Constraints!A518</f>
        <v>0.11913096003959407</v>
      </c>
      <c r="F518" s="52">
        <f xml:space="preserve"> 1.21 / (9.81 * Constraints!$N$7 * Performance!$E$15 * Constraints!$N$5 ) * Constraints!A518 + 0.605 /Performance!$E$15 * (Performance!$E$16  - Constraints!$N$6 * Performance!$E$14) + Constraints!$N$6</f>
        <v>0.38893120692006178</v>
      </c>
      <c r="G518" s="54" t="s">
        <v>198</v>
      </c>
      <c r="H518" s="55">
        <f>SQRT(2/$V$3 * A518 * SQRT(Performance!$E$23 / (3 * Performance!$E$12)))</f>
        <v>19.805697295250958</v>
      </c>
      <c r="I518" s="55">
        <f>SQRT(2/$V$3 * A518 * (SQRT(Performance!$E$23)/(SQRT(3*Performance!$E$12 + 4* Performance!$E$23 * Performance!$E$11^2) - SQRT(Performance!$E$23)*Performance!$E$11)))</f>
        <v>20.834306945851068</v>
      </c>
      <c r="J518" t="e">
        <f xml:space="preserve"> $AC$3/G518 + $AC$6/A518 * Performance!$E$12 + Performance!$E$23/Constraints!$AC$6 * Constraints!A518</f>
        <v>#VALUE!</v>
      </c>
      <c r="K518">
        <f xml:space="preserve"> $AC$3/H518 + $AC$6/A518 * Performance!$E$12 + Performance!$E$23/Constraints!$AC$6 * Constraints!A518</f>
        <v>1.0867356871973546</v>
      </c>
      <c r="L518">
        <f xml:space="preserve"> $AC$3/I518 + $AC$6/A518 * Performance!$E$12 + Performance!$E$23/Constraints!$AC$6 * Constraints!A518</f>
        <v>1.0740724392178309</v>
      </c>
      <c r="M518">
        <f>SIN($AC$9 * PI()/180) + 1/Performance!$AE$5</f>
        <v>0.24073077270730886</v>
      </c>
      <c r="N518">
        <f>SIN($AC$9 * PI()/180) + 1/Performance!$AE$8</f>
        <v>0.22738716112204788</v>
      </c>
      <c r="O518" s="60">
        <f>$AC$16 * (Performance!$E$12/Constraints!A518 + Performance!$E$23 * (Constraints!$AC$13/Constraints!$AC$17)^2 * Constraints!A518)</f>
        <v>2.119051309694775E-4</v>
      </c>
      <c r="P518" t="e">
        <f t="shared" si="31"/>
        <v>#VALUE!</v>
      </c>
      <c r="Q518">
        <f t="shared" si="32"/>
        <v>102.9966970441024</v>
      </c>
      <c r="R518">
        <f t="shared" si="33"/>
        <v>113.97277954462572</v>
      </c>
      <c r="S518" t="e">
        <f xml:space="preserve"> 1.667/G518 + P518/A518 * Performance!$E$12 + Performance!$E$23 / Constraints!P518 * Constraints!A518</f>
        <v>#VALUE!</v>
      </c>
      <c r="T518">
        <f xml:space="preserve"> 1.667/H518 + Q518/A518 * Performance!$E$12 + Performance!$E$23 / Constraints!Q518 * Constraints!A518</f>
        <v>0.19008066815974028</v>
      </c>
      <c r="U518">
        <f xml:space="preserve"> 1.667/I518 + R518/A518 * Performance!$E$12 + Performance!$E$23 / Constraints!R518 * Constraints!A518</f>
        <v>0.17815500642867452</v>
      </c>
    </row>
    <row r="519" spans="1:21" x14ac:dyDescent="0.3">
      <c r="A519" s="51">
        <v>258.5</v>
      </c>
      <c r="B519" s="50">
        <f>$V$4*Performance!$E$12*(1/A519)+Performance!$E$23*(1/Constraints!$V$4)*Constraints!A519</f>
        <v>0.12010302392946647</v>
      </c>
      <c r="C519" s="50">
        <f>$V$5*Performance!$E$12*(1/A519)+Performance!$E$23*(1/Constraints!$V$5)*Constraints!A519</f>
        <v>0.1780663233199343</v>
      </c>
      <c r="D519" s="52">
        <f t="shared" si="30"/>
        <v>0.3893467132516536</v>
      </c>
      <c r="E519" s="52">
        <f>$V$4*Performance!$E$12*(1/A519)+Performance!$E$23*(1/Constraints!$V$9)*Constraints!A519</f>
        <v>0.11893559652574603</v>
      </c>
      <c r="F519" s="52">
        <f xml:space="preserve"> 1.21 / (9.81 * Constraints!$N$7 * Performance!$E$15 * Constraints!$N$5 ) * Constraints!A519 + 0.605 /Performance!$E$15 * (Performance!$E$16  - Constraints!$N$6 * Performance!$E$14) + Constraints!$N$6</f>
        <v>0.3892032150730077</v>
      </c>
      <c r="G519" s="54" t="s">
        <v>198</v>
      </c>
      <c r="H519" s="55">
        <f>SQRT(2/$V$3 * A519 * SQRT(Performance!$E$23 / (3 * Performance!$E$12)))</f>
        <v>19.824879573156647</v>
      </c>
      <c r="I519" s="55">
        <f>SQRT(2/$V$3 * A519 * (SQRT(Performance!$E$23)/(SQRT(3*Performance!$E$12 + 4* Performance!$E$23 * Performance!$E$11^2) - SQRT(Performance!$E$23)*Performance!$E$11)))</f>
        <v>20.854485456097386</v>
      </c>
      <c r="J519" t="e">
        <f xml:space="preserve"> $AC$3/G519 + $AC$6/A519 * Performance!$E$12 + Performance!$E$23/Constraints!$AC$6 * Constraints!A519</f>
        <v>#VALUE!</v>
      </c>
      <c r="K519">
        <f xml:space="preserve"> $AC$3/H519 + $AC$6/A519 * Performance!$E$12 + Performance!$E$23/Constraints!$AC$6 * Constraints!A519</f>
        <v>1.0880912532953362</v>
      </c>
      <c r="L519">
        <f xml:space="preserve"> $AC$3/I519 + $AC$6/A519 * Performance!$E$12 + Performance!$E$23/Constraints!$AC$6 * Constraints!A519</f>
        <v>1.0754402580985363</v>
      </c>
      <c r="M519">
        <f>SIN($AC$9 * PI()/180) + 1/Performance!$AE$5</f>
        <v>0.24073077270730886</v>
      </c>
      <c r="N519">
        <f>SIN($AC$9 * PI()/180) + 1/Performance!$AE$8</f>
        <v>0.22738716112204788</v>
      </c>
      <c r="O519" s="60">
        <f>$AC$16 * (Performance!$E$12/Constraints!A519 + Performance!$E$23 * (Constraints!$AC$13/Constraints!$AC$17)^2 * Constraints!A519)</f>
        <v>2.1194699000291476E-4</v>
      </c>
      <c r="P519" t="e">
        <f t="shared" si="31"/>
        <v>#VALUE!</v>
      </c>
      <c r="Q519">
        <f t="shared" si="32"/>
        <v>103.19630304612586</v>
      </c>
      <c r="R519">
        <f t="shared" si="33"/>
        <v>114.19365702436335</v>
      </c>
      <c r="S519" t="e">
        <f xml:space="preserve"> 1.667/G519 + P519/A519 * Performance!$E$12 + Performance!$E$23 / Constraints!P519 * Constraints!A519</f>
        <v>#VALUE!</v>
      </c>
      <c r="T519">
        <f xml:space="preserve"> 1.667/H519 + Q519/A519 * Performance!$E$12 + Performance!$E$23 / Constraints!Q519 * Constraints!A519</f>
        <v>0.18999922866259139</v>
      </c>
      <c r="U519">
        <f xml:space="preserve"> 1.667/I519 + R519/A519 * Performance!$E$12 + Performance!$E$23 / Constraints!R519 * Constraints!A519</f>
        <v>0.17807758767735249</v>
      </c>
    </row>
    <row r="520" spans="1:21" x14ac:dyDescent="0.3">
      <c r="A520" s="51">
        <v>259</v>
      </c>
      <c r="B520" s="50">
        <f>$V$4*Performance!$E$12*(1/A520)+Performance!$E$23*(1/Constraints!$V$4)*Constraints!A520</f>
        <v>0.11991074055139109</v>
      </c>
      <c r="C520" s="50">
        <f>$V$5*Performance!$E$12*(1/A520)+Performance!$E$23*(1/Constraints!$V$5)*Constraints!A520</f>
        <v>0.17774791714728602</v>
      </c>
      <c r="D520" s="52">
        <f t="shared" si="30"/>
        <v>0.38961899896393914</v>
      </c>
      <c r="E520" s="52">
        <f>$V$4*Performance!$E$12*(1/A520)+Performance!$E$23*(1/Constraints!$V$9)*Constraints!A520</f>
        <v>0.1187410550675861</v>
      </c>
      <c r="F520" s="52">
        <f xml:space="preserve"> 1.21 / (9.81 * Constraints!$N$7 * Performance!$E$15 * Constraints!$N$5 ) * Constraints!A520 + 0.605 /Performance!$E$15 * (Performance!$E$16  - Constraints!$N$6 * Performance!$E$14) + Constraints!$N$6</f>
        <v>0.38947522322595352</v>
      </c>
      <c r="G520" s="54" t="s">
        <v>198</v>
      </c>
      <c r="H520" s="55">
        <f>SQRT(2/$V$3 * A520 * SQRT(Performance!$E$23 / (3 * Performance!$E$12)))</f>
        <v>19.844043308489734</v>
      </c>
      <c r="I520" s="55">
        <f>SQRT(2/$V$3 * A520 * (SQRT(Performance!$E$23)/(SQRT(3*Performance!$E$12 + 4* Performance!$E$23 * Performance!$E$11^2) - SQRT(Performance!$E$23)*Performance!$E$11)))</f>
        <v>20.874644460761886</v>
      </c>
      <c r="J520" t="e">
        <f xml:space="preserve"> $AC$3/G520 + $AC$6/A520 * Performance!$E$12 + Performance!$E$23/Constraints!$AC$6 * Constraints!A520</f>
        <v>#VALUE!</v>
      </c>
      <c r="K520">
        <f xml:space="preserve"> $AC$3/H520 + $AC$6/A520 * Performance!$E$12 + Performance!$E$23/Constraints!$AC$6 * Constraints!A520</f>
        <v>1.0894475485388118</v>
      </c>
      <c r="L520">
        <f xml:space="preserve"> $AC$3/I520 + $AC$6/A520 * Performance!$E$12 + Performance!$E$23/Constraints!$AC$6 * Constraints!A520</f>
        <v>1.0768087706265583</v>
      </c>
      <c r="M520">
        <f>SIN($AC$9 * PI()/180) + 1/Performance!$AE$5</f>
        <v>0.24073077270730886</v>
      </c>
      <c r="N520">
        <f>SIN($AC$9 * PI()/180) + 1/Performance!$AE$8</f>
        <v>0.22738716112204788</v>
      </c>
      <c r="O520" s="60">
        <f>$AC$16 * (Performance!$E$12/Constraints!A520 + Performance!$E$23 * (Constraints!$AC$13/Constraints!$AC$17)^2 * Constraints!A520)</f>
        <v>2.1198956033518821E-4</v>
      </c>
      <c r="P520" t="e">
        <f t="shared" si="31"/>
        <v>#VALUE!</v>
      </c>
      <c r="Q520">
        <f t="shared" si="32"/>
        <v>103.39590904814931</v>
      </c>
      <c r="R520">
        <f t="shared" si="33"/>
        <v>114.414534504101</v>
      </c>
      <c r="S520" t="e">
        <f xml:space="preserve"> 1.667/G520 + P520/A520 * Performance!$E$12 + Performance!$E$23 / Constraints!P520 * Constraints!A520</f>
        <v>#VALUE!</v>
      </c>
      <c r="T520">
        <f xml:space="preserve"> 1.667/H520 + Q520/A520 * Performance!$E$12 + Performance!$E$23 / Constraints!Q520 * Constraints!A520</f>
        <v>0.18991802510806591</v>
      </c>
      <c r="U520">
        <f xml:space="preserve"> 1.667/I520 + R520/A520 * Performance!$E$12 + Performance!$E$23 / Constraints!R520 * Constraints!A520</f>
        <v>0.17800039321994096</v>
      </c>
    </row>
    <row r="521" spans="1:21" x14ac:dyDescent="0.3">
      <c r="A521" s="51">
        <v>259.5</v>
      </c>
      <c r="B521" s="50">
        <f>$V$4*Performance!$E$12*(1/A521)+Performance!$E$23*(1/Constraints!$V$4)*Constraints!A521</f>
        <v>0.11971927447723683</v>
      </c>
      <c r="C521" s="50">
        <f>$V$5*Performance!$E$12*(1/A521)+Performance!$E$23*(1/Constraints!$V$5)*Constraints!A521</f>
        <v>0.17743078686682945</v>
      </c>
      <c r="D521" s="52">
        <f t="shared" si="30"/>
        <v>0.3898912846762248</v>
      </c>
      <c r="E521" s="52">
        <f>$V$4*Performance!$E$12*(1/A521)+Performance!$E$23*(1/Constraints!$V$9)*Constraints!A521</f>
        <v>0.11854733091334728</v>
      </c>
      <c r="F521" s="52">
        <f xml:space="preserve"> 1.21 / (9.81 * Constraints!$N$7 * Performance!$E$15 * Constraints!$N$5 ) * Constraints!A521 + 0.605 /Performance!$E$15 * (Performance!$E$16  - Constraints!$N$6 * Performance!$E$14) + Constraints!$N$6</f>
        <v>0.38974723137889938</v>
      </c>
      <c r="G521" s="54" t="s">
        <v>198</v>
      </c>
      <c r="H521" s="55">
        <f>SQRT(2/$V$3 * A521 * SQRT(Performance!$E$23 / (3 * Performance!$E$12)))</f>
        <v>19.863188554919091</v>
      </c>
      <c r="I521" s="55">
        <f>SQRT(2/$V$3 * A521 * (SQRT(Performance!$E$23)/(SQRT(3*Performance!$E$12 + 4* Performance!$E$23 * Performance!$E$11^2) - SQRT(Performance!$E$23)*Performance!$E$11)))</f>
        <v>20.894784016300722</v>
      </c>
      <c r="J521" t="e">
        <f xml:space="preserve"> $AC$3/G521 + $AC$6/A521 * Performance!$E$12 + Performance!$E$23/Constraints!$AC$6 * Constraints!A521</f>
        <v>#VALUE!</v>
      </c>
      <c r="K521">
        <f xml:space="preserve"> $AC$3/H521 + $AC$6/A521 * Performance!$E$12 + Performance!$E$23/Constraints!$AC$6 * Constraints!A521</f>
        <v>1.090804569404084</v>
      </c>
      <c r="L521">
        <f xml:space="preserve"> $AC$3/I521 + $AC$6/A521 * Performance!$E$12 + Performance!$E$23/Constraints!$AC$6 * Constraints!A521</f>
        <v>1.0781779734492754</v>
      </c>
      <c r="M521">
        <f>SIN($AC$9 * PI()/180) + 1/Performance!$AE$5</f>
        <v>0.24073077270730886</v>
      </c>
      <c r="N521">
        <f>SIN($AC$9 * PI()/180) + 1/Performance!$AE$8</f>
        <v>0.22738716112204788</v>
      </c>
      <c r="O521" s="60">
        <f>$AC$16 * (Performance!$E$12/Constraints!A521 + Performance!$E$23 * (Constraints!$AC$13/Constraints!$AC$17)^2 * Constraints!A521)</f>
        <v>2.120328378547438E-4</v>
      </c>
      <c r="P521" t="e">
        <f t="shared" si="31"/>
        <v>#VALUE!</v>
      </c>
      <c r="Q521">
        <f t="shared" si="32"/>
        <v>103.59551505017278</v>
      </c>
      <c r="R521">
        <f t="shared" si="33"/>
        <v>114.63541198383862</v>
      </c>
      <c r="S521" t="e">
        <f xml:space="preserve"> 1.667/G521 + P521/A521 * Performance!$E$12 + Performance!$E$23 / Constraints!P521 * Constraints!A521</f>
        <v>#VALUE!</v>
      </c>
      <c r="T521">
        <f xml:space="preserve"> 1.667/H521 + Q521/A521 * Performance!$E$12 + Performance!$E$23 / Constraints!Q521 * Constraints!A521</f>
        <v>0.18983705635909032</v>
      </c>
      <c r="U521">
        <f xml:space="preserve"> 1.667/I521 + R521/A521 * Performance!$E$12 + Performance!$E$23 / Constraints!R521 * Constraints!A521</f>
        <v>0.1779234219755049</v>
      </c>
    </row>
    <row r="522" spans="1:21" x14ac:dyDescent="0.3">
      <c r="A522" s="51">
        <v>260</v>
      </c>
      <c r="B522" s="50">
        <f>$V$4*Performance!$E$12*(1/A522)+Performance!$E$23*(1/Constraints!$V$4)*Constraints!A522</f>
        <v>0.11952862099178879</v>
      </c>
      <c r="C522" s="50">
        <f>$V$5*Performance!$E$12*(1/A522)+Performance!$E$23*(1/Constraints!$V$5)*Constraints!A522</f>
        <v>0.17711492511764809</v>
      </c>
      <c r="D522" s="52">
        <f t="shared" si="30"/>
        <v>0.39016357038851035</v>
      </c>
      <c r="E522" s="52">
        <f>$V$4*Performance!$E$12*(1/A522)+Performance!$E$23*(1/Constraints!$V$9)*Constraints!A522</f>
        <v>0.11835441934781467</v>
      </c>
      <c r="F522" s="52">
        <f xml:space="preserve"> 1.21 / (9.81 * Constraints!$N$7 * Performance!$E$15 * Constraints!$N$5 ) * Constraints!A522 + 0.605 /Performance!$E$15 * (Performance!$E$16  - Constraints!$N$6 * Performance!$E$14) + Constraints!$N$6</f>
        <v>0.39001923953184525</v>
      </c>
      <c r="G522" s="54" t="s">
        <v>198</v>
      </c>
      <c r="H522" s="55">
        <f>SQRT(2/$V$3 * A522 * SQRT(Performance!$E$23 / (3 * Performance!$E$12)))</f>
        <v>19.882315365855188</v>
      </c>
      <c r="I522" s="55">
        <f>SQRT(2/$V$3 * A522 * (SQRT(Performance!$E$23)/(SQRT(3*Performance!$E$12 + 4* Performance!$E$23 * Performance!$E$11^2) - SQRT(Performance!$E$23)*Performance!$E$11)))</f>
        <v>20.914904178898254</v>
      </c>
      <c r="J522" t="e">
        <f xml:space="preserve"> $AC$3/G522 + $AC$6/A522 * Performance!$E$12 + Performance!$E$23/Constraints!$AC$6 * Constraints!A522</f>
        <v>#VALUE!</v>
      </c>
      <c r="K522">
        <f xml:space="preserve"> $AC$3/H522 + $AC$6/A522 * Performance!$E$12 + Performance!$E$23/Constraints!$AC$6 * Constraints!A522</f>
        <v>1.0921623123912396</v>
      </c>
      <c r="L522">
        <f xml:space="preserve"> $AC$3/I522 + $AC$6/A522 * Performance!$E$12 + Performance!$E$23/Constraints!$AC$6 * Constraints!A522</f>
        <v>1.0795478632366982</v>
      </c>
      <c r="M522">
        <f>SIN($AC$9 * PI()/180) + 1/Performance!$AE$5</f>
        <v>0.24073077270730886</v>
      </c>
      <c r="N522">
        <f>SIN($AC$9 * PI()/180) + 1/Performance!$AE$8</f>
        <v>0.22738716112204788</v>
      </c>
      <c r="O522" s="60">
        <f>$AC$16 * (Performance!$E$12/Constraints!A522 + Performance!$E$23 * (Constraints!$AC$13/Constraints!$AC$17)^2 * Constraints!A522)</f>
        <v>2.1207681848165502E-4</v>
      </c>
      <c r="P522" t="e">
        <f t="shared" si="31"/>
        <v>#VALUE!</v>
      </c>
      <c r="Q522">
        <f t="shared" si="32"/>
        <v>103.79512105219624</v>
      </c>
      <c r="R522">
        <f t="shared" si="33"/>
        <v>114.8562894635763</v>
      </c>
      <c r="S522" t="e">
        <f xml:space="preserve"> 1.667/G522 + P522/A522 * Performance!$E$12 + Performance!$E$23 / Constraints!P522 * Constraints!A522</f>
        <v>#VALUE!</v>
      </c>
      <c r="T522">
        <f xml:space="preserve"> 1.667/H522 + Q522/A522 * Performance!$E$12 + Performance!$E$23 / Constraints!Q522 * Constraints!A522</f>
        <v>0.18975632128624817</v>
      </c>
      <c r="U522">
        <f xml:space="preserve"> 1.667/I522 + R522/A522 * Performance!$E$12 + Performance!$E$23 / Constraints!R522 * Constraints!A522</f>
        <v>0.17784667287038813</v>
      </c>
    </row>
    <row r="523" spans="1:21" x14ac:dyDescent="0.3">
      <c r="A523" s="51">
        <v>260.5</v>
      </c>
      <c r="B523" s="50">
        <f>$V$4*Performance!$E$12*(1/A523)+Performance!$E$23*(1/Constraints!$V$4)*Constraints!A523</f>
        <v>0.11933877541603324</v>
      </c>
      <c r="C523" s="50">
        <f>$V$5*Performance!$E$12*(1/A523)+Performance!$E$23*(1/Constraints!$V$5)*Constraints!A523</f>
        <v>0.1768003245953392</v>
      </c>
      <c r="D523" s="52">
        <f t="shared" si="30"/>
        <v>0.39043585610079595</v>
      </c>
      <c r="E523" s="52">
        <f>$V$4*Performance!$E$12*(1/A523)+Performance!$E$23*(1/Constraints!$V$9)*Constraints!A523</f>
        <v>0.11816231569197455</v>
      </c>
      <c r="F523" s="52">
        <f xml:space="preserve"> 1.21 / (9.81 * Constraints!$N$7 * Performance!$E$15 * Constraints!$N$5 ) * Constraints!A523 + 0.605 /Performance!$E$15 * (Performance!$E$16  - Constraints!$N$6 * Performance!$E$14) + Constraints!$N$6</f>
        <v>0.39029124768479106</v>
      </c>
      <c r="G523" s="54" t="s">
        <v>198</v>
      </c>
      <c r="H523" s="55">
        <f>SQRT(2/$V$3 * A523 * SQRT(Performance!$E$23 / (3 * Performance!$E$12)))</f>
        <v>19.901423794451837</v>
      </c>
      <c r="I523" s="55">
        <f>SQRT(2/$V$3 * A523 * (SQRT(Performance!$E$23)/(SQRT(3*Performance!$E$12 + 4* Performance!$E$23 * Performance!$E$11^2) - SQRT(Performance!$E$23)*Performance!$E$11)))</f>
        <v>20.935005004468831</v>
      </c>
      <c r="J523" t="e">
        <f xml:space="preserve"> $AC$3/G523 + $AC$6/A523 * Performance!$E$12 + Performance!$E$23/Constraints!$AC$6 * Constraints!A523</f>
        <v>#VALUE!</v>
      </c>
      <c r="K523">
        <f xml:space="preserve"> $AC$3/H523 + $AC$6/A523 * Performance!$E$12 + Performance!$E$23/Constraints!$AC$6 * Constraints!A523</f>
        <v>1.093520774023945</v>
      </c>
      <c r="L523">
        <f xml:space="preserve"> $AC$3/I523 + $AC$6/A523 * Performance!$E$12 + Performance!$E$23/Constraints!$AC$6 * Constraints!A523</f>
        <v>1.0809184366812741</v>
      </c>
      <c r="M523">
        <f>SIN($AC$9 * PI()/180) + 1/Performance!$AE$5</f>
        <v>0.24073077270730886</v>
      </c>
      <c r="N523">
        <f>SIN($AC$9 * PI()/180) + 1/Performance!$AE$8</f>
        <v>0.22738716112204788</v>
      </c>
      <c r="O523" s="60">
        <f>$AC$16 * (Performance!$E$12/Constraints!A523 + Performance!$E$23 * (Constraints!$AC$13/Constraints!$AC$17)^2 * Constraints!A523)</f>
        <v>2.121214981673189E-4</v>
      </c>
      <c r="P523" t="e">
        <f t="shared" si="31"/>
        <v>#VALUE!</v>
      </c>
      <c r="Q523">
        <f t="shared" si="32"/>
        <v>103.99472705421965</v>
      </c>
      <c r="R523">
        <f t="shared" si="33"/>
        <v>115.07716694331391</v>
      </c>
      <c r="S523" t="e">
        <f xml:space="preserve"> 1.667/G523 + P523/A523 * Performance!$E$12 + Performance!$E$23 / Constraints!P523 * Constraints!A523</f>
        <v>#VALUE!</v>
      </c>
      <c r="T523">
        <f xml:space="preserve"> 1.667/H523 + Q523/A523 * Performance!$E$12 + Performance!$E$23 / Constraints!Q523 * Constraints!A523</f>
        <v>0.189675818767714</v>
      </c>
      <c r="U523">
        <f xml:space="preserve"> 1.667/I523 + R523/A523 * Performance!$E$12 + Performance!$E$23 / Constraints!R523 * Constraints!A523</f>
        <v>0.17777014483815085</v>
      </c>
    </row>
    <row r="524" spans="1:21" x14ac:dyDescent="0.3">
      <c r="A524" s="51">
        <v>261</v>
      </c>
      <c r="B524" s="50">
        <f>$V$4*Performance!$E$12*(1/A524)+Performance!$E$23*(1/Constraints!$V$4)*Constraints!A524</f>
        <v>0.11914973310681108</v>
      </c>
      <c r="C524" s="50">
        <f>$V$5*Performance!$E$12*(1/A524)+Performance!$E$23*(1/Constraints!$V$5)*Constraints!A524</f>
        <v>0.17648697805147248</v>
      </c>
      <c r="D524" s="52">
        <f t="shared" si="30"/>
        <v>0.39070814181308156</v>
      </c>
      <c r="E524" s="52">
        <f>$V$4*Performance!$E$12*(1/A524)+Performance!$E$23*(1/Constraints!$V$9)*Constraints!A524</f>
        <v>0.11797101530266782</v>
      </c>
      <c r="F524" s="52">
        <f xml:space="preserve"> 1.21 / (9.81 * Constraints!$N$7 * Performance!$E$15 * Constraints!$N$5 ) * Constraints!A524 + 0.605 /Performance!$E$15 * (Performance!$E$16  - Constraints!$N$6 * Performance!$E$14) + Constraints!$N$6</f>
        <v>0.39056325583773699</v>
      </c>
      <c r="G524" s="54" t="s">
        <v>198</v>
      </c>
      <c r="H524" s="55">
        <f>SQRT(2/$V$3 * A524 * SQRT(Performance!$E$23 / (3 * Performance!$E$12)))</f>
        <v>19.920513893607925</v>
      </c>
      <c r="I524" s="55">
        <f>SQRT(2/$V$3 * A524 * (SQRT(Performance!$E$23)/(SQRT(3*Performance!$E$12 + 4* Performance!$E$23 * Performance!$E$11^2) - SQRT(Performance!$E$23)*Performance!$E$11)))</f>
        <v>20.955086548658645</v>
      </c>
      <c r="J524" t="e">
        <f xml:space="preserve"> $AC$3/G524 + $AC$6/A524 * Performance!$E$12 + Performance!$E$23/Constraints!$AC$6 * Constraints!A524</f>
        <v>#VALUE!</v>
      </c>
      <c r="K524">
        <f xml:space="preserve"> $AC$3/H524 + $AC$6/A524 * Performance!$E$12 + Performance!$E$23/Constraints!$AC$6 * Constraints!A524</f>
        <v>1.0948799508492406</v>
      </c>
      <c r="L524">
        <f xml:space="preserve"> $AC$3/I524 + $AC$6/A524 * Performance!$E$12 + Performance!$E$23/Constraints!$AC$6 * Constraints!A524</f>
        <v>1.0822896904976933</v>
      </c>
      <c r="M524">
        <f>SIN($AC$9 * PI()/180) + 1/Performance!$AE$5</f>
        <v>0.24073077270730886</v>
      </c>
      <c r="N524">
        <f>SIN($AC$9 * PI()/180) + 1/Performance!$AE$8</f>
        <v>0.22738716112204788</v>
      </c>
      <c r="O524" s="60">
        <f>$AC$16 * (Performance!$E$12/Constraints!A524 + Performance!$E$23 * (Constraints!$AC$13/Constraints!$AC$17)^2 * Constraints!A524)</f>
        <v>2.1216687289415655E-4</v>
      </c>
      <c r="P524" t="e">
        <f t="shared" si="31"/>
        <v>#VALUE!</v>
      </c>
      <c r="Q524">
        <f t="shared" si="32"/>
        <v>104.19433305624312</v>
      </c>
      <c r="R524">
        <f t="shared" si="33"/>
        <v>115.29804442305158</v>
      </c>
      <c r="S524" t="e">
        <f xml:space="preserve"> 1.667/G524 + P524/A524 * Performance!$E$12 + Performance!$E$23 / Constraints!P524 * Constraints!A524</f>
        <v>#VALUE!</v>
      </c>
      <c r="T524">
        <f xml:space="preserve"> 1.667/H524 + Q524/A524 * Performance!$E$12 + Performance!$E$23 / Constraints!Q524 * Constraints!A524</f>
        <v>0.18959554768918757</v>
      </c>
      <c r="U524">
        <f xml:space="preserve"> 1.667/I524 + R524/A524 * Performance!$E$12 + Performance!$E$23 / Constraints!R524 * Constraints!A524</f>
        <v>0.1776938368195069</v>
      </c>
    </row>
    <row r="525" spans="1:21" x14ac:dyDescent="0.3">
      <c r="A525" s="51">
        <v>261.5</v>
      </c>
      <c r="B525" s="50">
        <f>$V$4*Performance!$E$12*(1/A525)+Performance!$E$23*(1/Constraints!$V$4)*Constraints!A525</f>
        <v>0.11896148945647488</v>
      </c>
      <c r="C525" s="50">
        <f>$V$5*Performance!$E$12*(1/A525)+Performance!$E$23*(1/Constraints!$V$5)*Constraints!A525</f>
        <v>0.17617487829305498</v>
      </c>
      <c r="D525" s="52">
        <f t="shared" si="30"/>
        <v>0.39098042752536716</v>
      </c>
      <c r="E525" s="52">
        <f>$V$4*Performance!$E$12*(1/A525)+Performance!$E$23*(1/Constraints!$V$9)*Constraints!A525</f>
        <v>0.11778051357224706</v>
      </c>
      <c r="F525" s="52">
        <f xml:space="preserve"> 1.21 / (9.81 * Constraints!$N$7 * Performance!$E$15 * Constraints!$N$5 ) * Constraints!A525 + 0.605 /Performance!$E$15 * (Performance!$E$16  - Constraints!$N$6 * Performance!$E$14) + Constraints!$N$6</f>
        <v>0.3908352639906828</v>
      </c>
      <c r="G525" s="54" t="s">
        <v>198</v>
      </c>
      <c r="H525" s="55">
        <f>SQRT(2/$V$3 * A525 * SQRT(Performance!$E$23 / (3 * Performance!$E$12)))</f>
        <v>19.939585715969098</v>
      </c>
      <c r="I525" s="55">
        <f>SQRT(2/$V$3 * A525 * (SQRT(Performance!$E$23)/(SQRT(3*Performance!$E$12 + 4* Performance!$E$23 * Performance!$E$11^2) - SQRT(Performance!$E$23)*Performance!$E$11)))</f>
        <v>20.975148866847501</v>
      </c>
      <c r="J525" t="e">
        <f xml:space="preserve"> $AC$3/G525 + $AC$6/A525 * Performance!$E$12 + Performance!$E$23/Constraints!$AC$6 * Constraints!A525</f>
        <v>#VALUE!</v>
      </c>
      <c r="K525">
        <f xml:space="preserve"> $AC$3/H525 + $AC$6/A525 * Performance!$E$12 + Performance!$E$23/Constraints!$AC$6 * Constraints!A525</f>
        <v>1.0962398394373409</v>
      </c>
      <c r="L525">
        <f xml:space="preserve"> $AC$3/I525 + $AC$6/A525 * Performance!$E$12 + Performance!$E$23/Constraints!$AC$6 * Constraints!A525</f>
        <v>1.0836616214226971</v>
      </c>
      <c r="M525">
        <f>SIN($AC$9 * PI()/180) + 1/Performance!$AE$5</f>
        <v>0.24073077270730886</v>
      </c>
      <c r="N525">
        <f>SIN($AC$9 * PI()/180) + 1/Performance!$AE$8</f>
        <v>0.22738716112204788</v>
      </c>
      <c r="O525" s="60">
        <f>$AC$16 * (Performance!$E$12/Constraints!A525 + Performance!$E$23 * (Constraints!$AC$13/Constraints!$AC$17)^2 * Constraints!A525)</f>
        <v>2.1221293867531603E-4</v>
      </c>
      <c r="P525" t="e">
        <f t="shared" si="31"/>
        <v>#VALUE!</v>
      </c>
      <c r="Q525">
        <f t="shared" si="32"/>
        <v>104.39393905826658</v>
      </c>
      <c r="R525">
        <f t="shared" si="33"/>
        <v>115.51892190278926</v>
      </c>
      <c r="S525" t="e">
        <f xml:space="preserve"> 1.667/G525 + P525/A525 * Performance!$E$12 + Performance!$E$23 / Constraints!P525 * Constraints!A525</f>
        <v>#VALUE!</v>
      </c>
      <c r="T525">
        <f xml:space="preserve"> 1.667/H525 + Q525/A525 * Performance!$E$12 + Performance!$E$23 / Constraints!Q525 * Constraints!A525</f>
        <v>0.18951550694382951</v>
      </c>
      <c r="U525">
        <f xml:space="preserve"> 1.667/I525 + R525/A525 * Performance!$E$12 + Performance!$E$23 / Constraints!R525 * Constraints!A525</f>
        <v>0.17761774776226258</v>
      </c>
    </row>
    <row r="526" spans="1:21" x14ac:dyDescent="0.3">
      <c r="A526" s="51">
        <v>262</v>
      </c>
      <c r="B526" s="50">
        <f>$V$4*Performance!$E$12*(1/A526)+Performance!$E$23*(1/Constraints!$V$4)*Constraints!A526</f>
        <v>0.1187740398925501</v>
      </c>
      <c r="C526" s="50">
        <f>$V$5*Performance!$E$12*(1/A526)+Performance!$E$23*(1/Constraints!$V$5)*Constraints!A526</f>
        <v>0.17586401818200206</v>
      </c>
      <c r="D526" s="52">
        <f t="shared" si="30"/>
        <v>0.39125271323765276</v>
      </c>
      <c r="E526" s="52">
        <f>$V$4*Performance!$E$12*(1/A526)+Performance!$E$23*(1/Constraints!$V$9)*Constraints!A526</f>
        <v>0.11759080592823772</v>
      </c>
      <c r="F526" s="52">
        <f xml:space="preserve"> 1.21 / (9.81 * Constraints!$N$7 * Performance!$E$15 * Constraints!$N$5 ) * Constraints!A526 + 0.605 /Performance!$E$15 * (Performance!$E$16  - Constraints!$N$6 * Performance!$E$14) + Constraints!$N$6</f>
        <v>0.39110727214362867</v>
      </c>
      <c r="G526" s="54" t="s">
        <v>198</v>
      </c>
      <c r="H526" s="55">
        <f>SQRT(2/$V$3 * A526 * SQRT(Performance!$E$23 / (3 * Performance!$E$12)))</f>
        <v>19.958639313929481</v>
      </c>
      <c r="I526" s="55">
        <f>SQRT(2/$V$3 * A526 * (SQRT(Performance!$E$23)/(SQRT(3*Performance!$E$12 + 4* Performance!$E$23 * Performance!$E$11^2) - SQRT(Performance!$E$23)*Performance!$E$11)))</f>
        <v>20.995192014150604</v>
      </c>
      <c r="J526" t="e">
        <f xml:space="preserve"> $AC$3/G526 + $AC$6/A526 * Performance!$E$12 + Performance!$E$23/Constraints!$AC$6 * Constraints!A526</f>
        <v>#VALUE!</v>
      </c>
      <c r="K526">
        <f xml:space="preserve"> $AC$3/H526 + $AC$6/A526 * Performance!$E$12 + Performance!$E$23/Constraints!$AC$6 * Constraints!A526</f>
        <v>1.0976004363814345</v>
      </c>
      <c r="L526">
        <f xml:space="preserve"> $AC$3/I526 + $AC$6/A526 * Performance!$E$12 + Performance!$E$23/Constraints!$AC$6 * Constraints!A526</f>
        <v>1.0850342262148875</v>
      </c>
      <c r="M526">
        <f>SIN($AC$9 * PI()/180) + 1/Performance!$AE$5</f>
        <v>0.24073077270730886</v>
      </c>
      <c r="N526">
        <f>SIN($AC$9 * PI()/180) + 1/Performance!$AE$8</f>
        <v>0.22738716112204788</v>
      </c>
      <c r="O526" s="60">
        <f>$AC$16 * (Performance!$E$12/Constraints!A526 + Performance!$E$23 * (Constraints!$AC$13/Constraints!$AC$17)^2 * Constraints!A526)</f>
        <v>2.1225969155437945E-4</v>
      </c>
      <c r="P526" t="e">
        <f t="shared" si="31"/>
        <v>#VALUE!</v>
      </c>
      <c r="Q526">
        <f t="shared" si="32"/>
        <v>104.59354506029005</v>
      </c>
      <c r="R526">
        <f t="shared" si="33"/>
        <v>115.73979938252685</v>
      </c>
      <c r="S526" t="e">
        <f xml:space="preserve"> 1.667/G526 + P526/A526 * Performance!$E$12 + Performance!$E$23 / Constraints!P526 * Constraints!A526</f>
        <v>#VALUE!</v>
      </c>
      <c r="T526">
        <f xml:space="preserve"> 1.667/H526 + Q526/A526 * Performance!$E$12 + Performance!$E$23 / Constraints!Q526 * Constraints!A526</f>
        <v>0.18943569543219685</v>
      </c>
      <c r="U526">
        <f xml:space="preserve"> 1.667/I526 + R526/A526 * Performance!$E$12 + Performance!$E$23 / Constraints!R526 * Constraints!A526</f>
        <v>0.17754187662125562</v>
      </c>
    </row>
    <row r="527" spans="1:21" x14ac:dyDescent="0.3">
      <c r="A527" s="51">
        <v>262.5</v>
      </c>
      <c r="B527" s="50">
        <f>$V$4*Performance!$E$12*(1/A527)+Performance!$E$23*(1/Constraints!$V$4)*Constraints!A527</f>
        <v>0.11858737987740012</v>
      </c>
      <c r="C527" s="50">
        <f>$V$5*Performance!$E$12*(1/A527)+Performance!$E$23*(1/Constraints!$V$5)*Constraints!A527</f>
        <v>0.17555439063461445</v>
      </c>
      <c r="D527" s="52">
        <f t="shared" si="30"/>
        <v>0.39152499894993831</v>
      </c>
      <c r="E527" s="52">
        <f>$V$4*Performance!$E$12*(1/A527)+Performance!$E$23*(1/Constraints!$V$9)*Constraints!A527</f>
        <v>0.11740188783300316</v>
      </c>
      <c r="F527" s="52">
        <f xml:space="preserve"> 1.21 / (9.81 * Constraints!$N$7 * Performance!$E$15 * Constraints!$N$5 ) * Constraints!A527 + 0.605 /Performance!$E$15 * (Performance!$E$16  - Constraints!$N$6 * Performance!$E$14) + Constraints!$N$6</f>
        <v>0.39137928029657454</v>
      </c>
      <c r="G527" s="54" t="s">
        <v>198</v>
      </c>
      <c r="H527" s="55">
        <f>SQRT(2/$V$3 * A527 * SQRT(Performance!$E$23 / (3 * Performance!$E$12)))</f>
        <v>19.97767473963334</v>
      </c>
      <c r="I527" s="55">
        <f>SQRT(2/$V$3 * A527 * (SQRT(Performance!$E$23)/(SQRT(3*Performance!$E$12 + 4* Performance!$E$23 * Performance!$E$11^2) - SQRT(Performance!$E$23)*Performance!$E$11)))</f>
        <v>21.015216045420345</v>
      </c>
      <c r="J527" t="e">
        <f xml:space="preserve"> $AC$3/G527 + $AC$6/A527 * Performance!$E$12 + Performance!$E$23/Constraints!$AC$6 * Constraints!A527</f>
        <v>#VALUE!</v>
      </c>
      <c r="K527">
        <f xml:space="preserve"> $AC$3/H527 + $AC$6/A527 * Performance!$E$12 + Performance!$E$23/Constraints!$AC$6 * Constraints!A527</f>
        <v>1.0989617382974854</v>
      </c>
      <c r="L527">
        <f xml:space="preserve"> $AC$3/I527 + $AC$6/A527 * Performance!$E$12 + Performance!$E$23/Constraints!$AC$6 * Constraints!A527</f>
        <v>1.0864075016545403</v>
      </c>
      <c r="M527">
        <f>SIN($AC$9 * PI()/180) + 1/Performance!$AE$5</f>
        <v>0.24073077270730886</v>
      </c>
      <c r="N527">
        <f>SIN($AC$9 * PI()/180) + 1/Performance!$AE$8</f>
        <v>0.22738716112204788</v>
      </c>
      <c r="O527" s="60">
        <f>$AC$16 * (Performance!$E$12/Constraints!A527 + Performance!$E$23 * (Constraints!$AC$13/Constraints!$AC$17)^2 * Constraints!A527)</f>
        <v>2.1230712760507314E-4</v>
      </c>
      <c r="P527" t="e">
        <f t="shared" si="31"/>
        <v>#VALUE!</v>
      </c>
      <c r="Q527">
        <f t="shared" si="32"/>
        <v>104.7931510623135</v>
      </c>
      <c r="R527">
        <f t="shared" si="33"/>
        <v>115.96067686226452</v>
      </c>
      <c r="S527" t="e">
        <f xml:space="preserve"> 1.667/G527 + P527/A527 * Performance!$E$12 + Performance!$E$23 / Constraints!P527 * Constraints!A527</f>
        <v>#VALUE!</v>
      </c>
      <c r="T527">
        <f xml:space="preserve"> 1.667/H527 + Q527/A527 * Performance!$E$12 + Performance!$E$23 / Constraints!Q527 * Constraints!A527</f>
        <v>0.18935611206217987</v>
      </c>
      <c r="U527">
        <f xml:space="preserve"> 1.667/I527 + R527/A527 * Performance!$E$12 + Performance!$E$23 / Constraints!R527 * Constraints!A527</f>
        <v>0.17746622235829457</v>
      </c>
    </row>
    <row r="528" spans="1:21" x14ac:dyDescent="0.3">
      <c r="A528" s="51">
        <v>263</v>
      </c>
      <c r="B528" s="50">
        <f>$V$4*Performance!$E$12*(1/A528)+Performance!$E$23*(1/Constraints!$V$4)*Constraints!A528</f>
        <v>0.11840150490789499</v>
      </c>
      <c r="C528" s="50">
        <f>$V$5*Performance!$E$12*(1/A528)+Performance!$E$23*(1/Constraints!$V$5)*Constraints!A528</f>
        <v>0.17524598862106144</v>
      </c>
      <c r="D528" s="52">
        <f t="shared" si="30"/>
        <v>0.39179728466222397</v>
      </c>
      <c r="E528" s="52">
        <f>$V$4*Performance!$E$12*(1/A528)+Performance!$E$23*(1/Constraints!$V$9)*Constraints!A528</f>
        <v>0.11721375478341348</v>
      </c>
      <c r="F528" s="52">
        <f xml:space="preserve"> 1.21 / (9.81 * Constraints!$N$7 * Performance!$E$15 * Constraints!$N$5 ) * Constraints!A528 + 0.605 /Performance!$E$15 * (Performance!$E$16  - Constraints!$N$6 * Performance!$E$14) + Constraints!$N$6</f>
        <v>0.39165128844952035</v>
      </c>
      <c r="G528" s="54" t="s">
        <v>198</v>
      </c>
      <c r="H528" s="55">
        <f>SQRT(2/$V$3 * A528 * SQRT(Performance!$E$23 / (3 * Performance!$E$12)))</f>
        <v>19.996692044976754</v>
      </c>
      <c r="I528" s="55">
        <f>SQRT(2/$V$3 * A528 * (SQRT(Performance!$E$23)/(SQRT(3*Performance!$E$12 + 4* Performance!$E$23 * Performance!$E$11^2) - SQRT(Performance!$E$23)*Performance!$E$11)))</f>
        <v>21.035221015248027</v>
      </c>
      <c r="J528" t="e">
        <f xml:space="preserve"> $AC$3/G528 + $AC$6/A528 * Performance!$E$12 + Performance!$E$23/Constraints!$AC$6 * Constraints!A528</f>
        <v>#VALUE!</v>
      </c>
      <c r="K528">
        <f xml:space="preserve"> $AC$3/H528 + $AC$6/A528 * Performance!$E$12 + Performance!$E$23/Constraints!$AC$6 * Constraints!A528</f>
        <v>1.1003237418240392</v>
      </c>
      <c r="L528">
        <f xml:space="preserve"> $AC$3/I528 + $AC$6/A528 * Performance!$E$12 + Performance!$E$23/Constraints!$AC$6 * Constraints!A528</f>
        <v>1.0877814445434175</v>
      </c>
      <c r="M528">
        <f>SIN($AC$9 * PI()/180) + 1/Performance!$AE$5</f>
        <v>0.24073077270730886</v>
      </c>
      <c r="N528">
        <f>SIN($AC$9 * PI()/180) + 1/Performance!$AE$8</f>
        <v>0.22738716112204788</v>
      </c>
      <c r="O528" s="60">
        <f>$AC$16 * (Performance!$E$12/Constraints!A528 + Performance!$E$23 * (Constraints!$AC$13/Constraints!$AC$17)^2 * Constraints!A528)</f>
        <v>2.123552429309809E-4</v>
      </c>
      <c r="P528" t="e">
        <f t="shared" si="31"/>
        <v>#VALUE!</v>
      </c>
      <c r="Q528">
        <f t="shared" si="32"/>
        <v>104.99275706433697</v>
      </c>
      <c r="R528">
        <f t="shared" si="33"/>
        <v>116.18155434200219</v>
      </c>
      <c r="S528" t="e">
        <f xml:space="preserve"> 1.667/G528 + P528/A528 * Performance!$E$12 + Performance!$E$23 / Constraints!P528 * Constraints!A528</f>
        <v>#VALUE!</v>
      </c>
      <c r="T528">
        <f xml:space="preserve"> 1.667/H528 + Q528/A528 * Performance!$E$12 + Performance!$E$23 / Constraints!Q528 * Constraints!A528</f>
        <v>0.18927675574893904</v>
      </c>
      <c r="U528">
        <f xml:space="preserve"> 1.667/I528 + R528/A528 * Performance!$E$12 + Performance!$E$23 / Constraints!R528 * Constraints!A528</f>
        <v>0.17739078394209956</v>
      </c>
    </row>
    <row r="529" spans="1:21" x14ac:dyDescent="0.3">
      <c r="A529" s="51">
        <v>263.5</v>
      </c>
      <c r="B529" s="50">
        <f>$V$4*Performance!$E$12*(1/A529)+Performance!$E$23*(1/Constraints!$V$4)*Constraints!A529</f>
        <v>0.11821641051508423</v>
      </c>
      <c r="C529" s="50">
        <f>$V$5*Performance!$E$12*(1/A529)+Performance!$E$23*(1/Constraints!$V$5)*Constraints!A529</f>
        <v>0.17493880516486948</v>
      </c>
      <c r="D529" s="52">
        <f t="shared" si="30"/>
        <v>0.39206957037450951</v>
      </c>
      <c r="E529" s="52">
        <f>$V$4*Performance!$E$12*(1/A529)+Performance!$E$23*(1/Constraints!$V$9)*Constraints!A529</f>
        <v>0.11702640231051815</v>
      </c>
      <c r="F529" s="52">
        <f xml:space="preserve"> 1.21 / (9.81 * Constraints!$N$7 * Performance!$E$15 * Constraints!$N$5 ) * Constraints!A529 + 0.605 /Performance!$E$15 * (Performance!$E$16  - Constraints!$N$6 * Performance!$E$14) + Constraints!$N$6</f>
        <v>0.39192329660246622</v>
      </c>
      <c r="G529" s="54" t="s">
        <v>198</v>
      </c>
      <c r="H529" s="55">
        <f>SQRT(2/$V$3 * A529 * SQRT(Performance!$E$23 / (3 * Performance!$E$12)))</f>
        <v>20.015691281609264</v>
      </c>
      <c r="I529" s="55">
        <f>SQRT(2/$V$3 * A529 * (SQRT(Performance!$E$23)/(SQRT(3*Performance!$E$12 + 4* Performance!$E$23 * Performance!$E$11^2) - SQRT(Performance!$E$23)*Performance!$E$11)))</f>
        <v>21.055206977965607</v>
      </c>
      <c r="J529" t="e">
        <f xml:space="preserve"> $AC$3/G529 + $AC$6/A529 * Performance!$E$12 + Performance!$E$23/Constraints!$AC$6 * Constraints!A529</f>
        <v>#VALUE!</v>
      </c>
      <c r="K529">
        <f xml:space="preserve"> $AC$3/H529 + $AC$6/A529 * Performance!$E$12 + Performance!$E$23/Constraints!$AC$6 * Constraints!A529</f>
        <v>1.1016864436220299</v>
      </c>
      <c r="L529">
        <f xml:space="preserve"> $AC$3/I529 + $AC$6/A529 * Performance!$E$12 + Performance!$E$23/Constraints!$AC$6 * Constraints!A529</f>
        <v>1.0891560517045855</v>
      </c>
      <c r="M529">
        <f>SIN($AC$9 * PI()/180) + 1/Performance!$AE$5</f>
        <v>0.24073077270730886</v>
      </c>
      <c r="N529">
        <f>SIN($AC$9 * PI()/180) + 1/Performance!$AE$8</f>
        <v>0.22738716112204788</v>
      </c>
      <c r="O529" s="60">
        <f>$AC$16 * (Performance!$E$12/Constraints!A529 + Performance!$E$23 * (Constraints!$AC$13/Constraints!$AC$17)^2 * Constraints!A529)</f>
        <v>2.1240403366526095E-4</v>
      </c>
      <c r="P529" t="e">
        <f t="shared" si="31"/>
        <v>#VALUE!</v>
      </c>
      <c r="Q529">
        <f t="shared" si="32"/>
        <v>105.19236306636041</v>
      </c>
      <c r="R529">
        <f t="shared" si="33"/>
        <v>116.40243182173982</v>
      </c>
      <c r="S529" t="e">
        <f xml:space="preserve"> 1.667/G529 + P529/A529 * Performance!$E$12 + Performance!$E$23 / Constraints!P529 * Constraints!A529</f>
        <v>#VALUE!</v>
      </c>
      <c r="T529">
        <f xml:space="preserve"> 1.667/H529 + Q529/A529 * Performance!$E$12 + Performance!$E$23 / Constraints!Q529 * Constraints!A529</f>
        <v>0.1891976254148432</v>
      </c>
      <c r="U529">
        <f xml:space="preserve"> 1.667/I529 + R529/A529 * Performance!$E$12 + Performance!$E$23 / Constraints!R529 * Constraints!A529</f>
        <v>0.17731556034824317</v>
      </c>
    </row>
    <row r="530" spans="1:21" x14ac:dyDescent="0.3">
      <c r="A530" s="51">
        <v>264</v>
      </c>
      <c r="B530" s="50">
        <f>$V$4*Performance!$E$12*(1/A530)+Performance!$E$23*(1/Constraints!$V$4)*Constraints!A530</f>
        <v>0.11803209226387296</v>
      </c>
      <c r="C530" s="50">
        <f>$V$5*Performance!$E$12*(1/A530)+Performance!$E$23*(1/Constraints!$V$5)*Constraints!A530</f>
        <v>0.17463283334241733</v>
      </c>
      <c r="D530" s="52">
        <f t="shared" si="30"/>
        <v>0.39234185608679517</v>
      </c>
      <c r="E530" s="52">
        <f>$V$4*Performance!$E$12*(1/A530)+Performance!$E$23*(1/Constraints!$V$9)*Constraints!A530</f>
        <v>0.11683982597922232</v>
      </c>
      <c r="F530" s="52">
        <f xml:space="preserve"> 1.21 / (9.81 * Constraints!$N$7 * Performance!$E$15 * Constraints!$N$5 ) * Constraints!A530 + 0.605 /Performance!$E$15 * (Performance!$E$16  - Constraints!$N$6 * Performance!$E$14) + Constraints!$N$6</f>
        <v>0.39219530475541209</v>
      </c>
      <c r="G530" s="54" t="s">
        <v>198</v>
      </c>
      <c r="H530" s="55">
        <f>SQRT(2/$V$3 * A530 * SQRT(Performance!$E$23 / (3 * Performance!$E$12)))</f>
        <v>20.034672500935514</v>
      </c>
      <c r="I530" s="55">
        <f>SQRT(2/$V$3 * A530 * (SQRT(Performance!$E$23)/(SQRT(3*Performance!$E$12 + 4* Performance!$E$23 * Performance!$E$11^2) - SQRT(Performance!$E$23)*Performance!$E$11)))</f>
        <v>21.075173987647435</v>
      </c>
      <c r="J530" t="e">
        <f xml:space="preserve"> $AC$3/G530 + $AC$6/A530 * Performance!$E$12 + Performance!$E$23/Constraints!$AC$6 * Constraints!A530</f>
        <v>#VALUE!</v>
      </c>
      <c r="K530">
        <f xml:space="preserve"> $AC$3/H530 + $AC$6/A530 * Performance!$E$12 + Performance!$E$23/Constraints!$AC$6 * Constraints!A530</f>
        <v>1.1030498403745872</v>
      </c>
      <c r="L530">
        <f xml:space="preserve"> $AC$3/I530 + $AC$6/A530 * Performance!$E$12 + Performance!$E$23/Constraints!$AC$6 * Constraints!A530</f>
        <v>1.0905313199822309</v>
      </c>
      <c r="M530">
        <f>SIN($AC$9 * PI()/180) + 1/Performance!$AE$5</f>
        <v>0.24073077270730886</v>
      </c>
      <c r="N530">
        <f>SIN($AC$9 * PI()/180) + 1/Performance!$AE$8</f>
        <v>0.22738716112204788</v>
      </c>
      <c r="O530" s="60">
        <f>$AC$16 * (Performance!$E$12/Constraints!A530 + Performance!$E$23 * (Constraints!$AC$13/Constraints!$AC$17)^2 * Constraints!A530)</f>
        <v>2.124534959703657E-4</v>
      </c>
      <c r="P530" t="e">
        <f t="shared" si="31"/>
        <v>#VALUE!</v>
      </c>
      <c r="Q530">
        <f t="shared" si="32"/>
        <v>105.39196906838389</v>
      </c>
      <c r="R530">
        <f t="shared" si="33"/>
        <v>116.62330930147749</v>
      </c>
      <c r="S530" t="e">
        <f xml:space="preserve"> 1.667/G530 + P530/A530 * Performance!$E$12 + Performance!$E$23 / Constraints!P530 * Constraints!A530</f>
        <v>#VALUE!</v>
      </c>
      <c r="T530">
        <f xml:space="preserve"> 1.667/H530 + Q530/A530 * Performance!$E$12 + Performance!$E$23 / Constraints!Q530 * Constraints!A530</f>
        <v>0.18911871998940788</v>
      </c>
      <c r="U530">
        <f xml:space="preserve"> 1.667/I530 + R530/A530 * Performance!$E$12 + Performance!$E$23 / Constraints!R530 * Constraints!A530</f>
        <v>0.17724055055909171</v>
      </c>
    </row>
    <row r="531" spans="1:21" x14ac:dyDescent="0.3">
      <c r="A531" s="51">
        <v>264.5</v>
      </c>
      <c r="B531" s="50">
        <f>$V$4*Performance!$E$12*(1/A531)+Performance!$E$23*(1/Constraints!$V$4)*Constraints!A531</f>
        <v>0.11784854575270202</v>
      </c>
      <c r="C531" s="50">
        <f>$V$5*Performance!$E$12*(1/A531)+Performance!$E$23*(1/Constraints!$V$5)*Constraints!A531</f>
        <v>0.17432806628243605</v>
      </c>
      <c r="D531" s="52">
        <f t="shared" si="30"/>
        <v>0.39261414179908072</v>
      </c>
      <c r="E531" s="52">
        <f>$V$4*Performance!$E$12*(1/A531)+Performance!$E$23*(1/Constraints!$V$9)*Constraints!A531</f>
        <v>0.11665402138796681</v>
      </c>
      <c r="F531" s="52">
        <f xml:space="preserve"> 1.21 / (9.81 * Constraints!$N$7 * Performance!$E$15 * Constraints!$N$5 ) * Constraints!A531 + 0.605 /Performance!$E$15 * (Performance!$E$16  - Constraints!$N$6 * Performance!$E$14) + Constraints!$N$6</f>
        <v>0.39246731290835796</v>
      </c>
      <c r="G531" s="54" t="s">
        <v>198</v>
      </c>
      <c r="H531" s="55">
        <f>SQRT(2/$V$3 * A531 * SQRT(Performance!$E$23 / (3 * Performance!$E$12)))</f>
        <v>20.053635754116861</v>
      </c>
      <c r="I531" s="55">
        <f>SQRT(2/$V$3 * A531 * (SQRT(Performance!$E$23)/(SQRT(3*Performance!$E$12 + 4* Performance!$E$23 * Performance!$E$11^2) - SQRT(Performance!$E$23)*Performance!$E$11)))</f>
        <v>21.095122098111933</v>
      </c>
      <c r="J531" t="e">
        <f xml:space="preserve"> $AC$3/G531 + $AC$6/A531 * Performance!$E$12 + Performance!$E$23/Constraints!$AC$6 * Constraints!A531</f>
        <v>#VALUE!</v>
      </c>
      <c r="K531">
        <f xml:space="preserve"> $AC$3/H531 + $AC$6/A531 * Performance!$E$12 + Performance!$E$23/Constraints!$AC$6 * Constraints!A531</f>
        <v>1.104413928786848</v>
      </c>
      <c r="L531">
        <f xml:space="preserve"> $AC$3/I531 + $AC$6/A531 * Performance!$E$12 + Performance!$E$23/Constraints!$AC$6 * Constraints!A531</f>
        <v>1.0919072462414821</v>
      </c>
      <c r="M531">
        <f>SIN($AC$9 * PI()/180) + 1/Performance!$AE$5</f>
        <v>0.24073077270730886</v>
      </c>
      <c r="N531">
        <f>SIN($AC$9 * PI()/180) + 1/Performance!$AE$8</f>
        <v>0.22738716112204788</v>
      </c>
      <c r="O531" s="60">
        <f>$AC$16 * (Performance!$E$12/Constraints!A531 + Performance!$E$23 * (Constraints!$AC$13/Constraints!$AC$17)^2 * Constraints!A531)</f>
        <v>2.1250362603776493E-4</v>
      </c>
      <c r="P531" t="e">
        <f t="shared" si="31"/>
        <v>#VALUE!</v>
      </c>
      <c r="Q531">
        <f t="shared" si="32"/>
        <v>105.5915750704073</v>
      </c>
      <c r="R531">
        <f t="shared" si="33"/>
        <v>116.84418678121511</v>
      </c>
      <c r="S531" t="e">
        <f xml:space="preserve"> 1.667/G531 + P531/A531 * Performance!$E$12 + Performance!$E$23 / Constraints!P531 * Constraints!A531</f>
        <v>#VALUE!</v>
      </c>
      <c r="T531">
        <f xml:space="preserve"> 1.667/H531 + Q531/A531 * Performance!$E$12 + Performance!$E$23 / Constraints!Q531 * Constraints!A531</f>
        <v>0.18904003840923467</v>
      </c>
      <c r="U531">
        <f xml:space="preserve"> 1.667/I531 + R531/A531 * Performance!$E$12 + Performance!$E$23 / Constraints!R531 * Constraints!A531</f>
        <v>0.17716575356374778</v>
      </c>
    </row>
    <row r="532" spans="1:21" x14ac:dyDescent="0.3">
      <c r="A532" s="51">
        <v>265</v>
      </c>
      <c r="B532" s="50">
        <f>$V$4*Performance!$E$12*(1/A532)+Performance!$E$23*(1/Constraints!$V$4)*Constraints!A532</f>
        <v>0.11766576661323155</v>
      </c>
      <c r="C532" s="50">
        <f>$V$5*Performance!$E$12*(1/A532)+Performance!$E$23*(1/Constraints!$V$5)*Constraints!A532</f>
        <v>0.17402449716551541</v>
      </c>
      <c r="D532" s="52">
        <f t="shared" si="30"/>
        <v>0.39288642751136632</v>
      </c>
      <c r="E532" s="52">
        <f>$V$4*Performance!$E$12*(1/A532)+Performance!$E$23*(1/Constraints!$V$9)*Constraints!A532</f>
        <v>0.11646898416841177</v>
      </c>
      <c r="F532" s="52">
        <f xml:space="preserve"> 1.21 / (9.81 * Constraints!$N$7 * Performance!$E$15 * Constraints!$N$5 ) * Constraints!A532 + 0.605 /Performance!$E$15 * (Performance!$E$16  - Constraints!$N$6 * Performance!$E$14) + Constraints!$N$6</f>
        <v>0.39273932106130383</v>
      </c>
      <c r="G532" s="54" t="s">
        <v>198</v>
      </c>
      <c r="H532" s="55">
        <f>SQRT(2/$V$3 * A532 * SQRT(Performance!$E$23 / (3 * Performance!$E$12)))</f>
        <v>20.072581092073005</v>
      </c>
      <c r="I532" s="55">
        <f>SQRT(2/$V$3 * A532 * (SQRT(Performance!$E$23)/(SQRT(3*Performance!$E$12 + 4* Performance!$E$23 * Performance!$E$11^2) - SQRT(Performance!$E$23)*Performance!$E$11)))</f>
        <v>21.115051362923317</v>
      </c>
      <c r="J532" t="e">
        <f xml:space="preserve"> $AC$3/G532 + $AC$6/A532 * Performance!$E$12 + Performance!$E$23/Constraints!$AC$6 * Constraints!A532</f>
        <v>#VALUE!</v>
      </c>
      <c r="K532">
        <f xml:space="preserve"> $AC$3/H532 + $AC$6/A532 * Performance!$E$12 + Performance!$E$23/Constraints!$AC$6 * Constraints!A532</f>
        <v>1.1057787055857693</v>
      </c>
      <c r="L532">
        <f xml:space="preserve"> $AC$3/I532 + $AC$6/A532 * Performance!$E$12 + Performance!$E$23/Constraints!$AC$6 * Constraints!A532</f>
        <v>1.0932838273682297</v>
      </c>
      <c r="M532">
        <f>SIN($AC$9 * PI()/180) + 1/Performance!$AE$5</f>
        <v>0.24073077270730886</v>
      </c>
      <c r="N532">
        <f>SIN($AC$9 * PI()/180) + 1/Performance!$AE$8</f>
        <v>0.22738716112204788</v>
      </c>
      <c r="O532" s="60">
        <f>$AC$16 * (Performance!$E$12/Constraints!A532 + Performance!$E$23 * (Constraints!$AC$13/Constraints!$AC$17)^2 * Constraints!A532)</f>
        <v>2.1255442008767211E-4</v>
      </c>
      <c r="P532" t="e">
        <f t="shared" si="31"/>
        <v>#VALUE!</v>
      </c>
      <c r="Q532">
        <f t="shared" si="32"/>
        <v>105.79118107243076</v>
      </c>
      <c r="R532">
        <f t="shared" si="33"/>
        <v>117.06506426095277</v>
      </c>
      <c r="S532" t="e">
        <f xml:space="preserve"> 1.667/G532 + P532/A532 * Performance!$E$12 + Performance!$E$23 / Constraints!P532 * Constraints!A532</f>
        <v>#VALUE!</v>
      </c>
      <c r="T532">
        <f xml:space="preserve"> 1.667/H532 + Q532/A532 * Performance!$E$12 + Performance!$E$23 / Constraints!Q532 * Constraints!A532</f>
        <v>0.18896157961795074</v>
      </c>
      <c r="U532">
        <f xml:space="preserve"> 1.667/I532 + R532/A532 * Performance!$E$12 + Performance!$E$23 / Constraints!R532 * Constraints!A532</f>
        <v>0.17709116835799271</v>
      </c>
    </row>
    <row r="533" spans="1:21" x14ac:dyDescent="0.3">
      <c r="A533" s="51">
        <v>265.5</v>
      </c>
      <c r="B533" s="50">
        <f>$V$4*Performance!$E$12*(1/A533)+Performance!$E$23*(1/Constraints!$V$4)*Constraints!A533</f>
        <v>0.11748375051002821</v>
      </c>
      <c r="C533" s="50">
        <f>$V$5*Performance!$E$12*(1/A533)+Performance!$E$23*(1/Constraints!$V$5)*Constraints!A533</f>
        <v>0.17372211922361561</v>
      </c>
      <c r="D533" s="52">
        <f t="shared" si="30"/>
        <v>0.39315871322365192</v>
      </c>
      <c r="E533" s="52">
        <f>$V$4*Performance!$E$12*(1/A533)+Performance!$E$23*(1/Constraints!$V$9)*Constraints!A533</f>
        <v>0.11628470998512387</v>
      </c>
      <c r="F533" s="52">
        <f xml:space="preserve"> 1.21 / (9.81 * Constraints!$N$7 * Performance!$E$15 * Constraints!$N$5 ) * Constraints!A533 + 0.605 /Performance!$E$15 * (Performance!$E$16  - Constraints!$N$6 * Performance!$E$14) + Constraints!$N$6</f>
        <v>0.39301132921424964</v>
      </c>
      <c r="G533" s="54" t="s">
        <v>198</v>
      </c>
      <c r="H533" s="55">
        <f>SQRT(2/$V$3 * A533 * SQRT(Performance!$E$23 / (3 * Performance!$E$12)))</f>
        <v>20.091508565483561</v>
      </c>
      <c r="I533" s="55">
        <f>SQRT(2/$V$3 * A533 * (SQRT(Performance!$E$23)/(SQRT(3*Performance!$E$12 + 4* Performance!$E$23 * Performance!$E$11^2) - SQRT(Performance!$E$23)*Performance!$E$11)))</f>
        <v>21.134961835393252</v>
      </c>
      <c r="J533" t="e">
        <f xml:space="preserve"> $AC$3/G533 + $AC$6/A533 * Performance!$E$12 + Performance!$E$23/Constraints!$AC$6 * Constraints!A533</f>
        <v>#VALUE!</v>
      </c>
      <c r="K533">
        <f xml:space="preserve"> $AC$3/H533 + $AC$6/A533 * Performance!$E$12 + Performance!$E$23/Constraints!$AC$6 * Constraints!A533</f>
        <v>1.1071441675199425</v>
      </c>
      <c r="L533">
        <f xml:space="preserve"> $AC$3/I533 + $AC$6/A533 * Performance!$E$12 + Performance!$E$23/Constraints!$AC$6 * Constraints!A533</f>
        <v>1.0946610602689513</v>
      </c>
      <c r="M533">
        <f>SIN($AC$9 * PI()/180) + 1/Performance!$AE$5</f>
        <v>0.24073077270730886</v>
      </c>
      <c r="N533">
        <f>SIN($AC$9 * PI()/180) + 1/Performance!$AE$8</f>
        <v>0.22738716112204788</v>
      </c>
      <c r="O533" s="60">
        <f>$AC$16 * (Performance!$E$12/Constraints!A533 + Performance!$E$23 * (Constraints!$AC$13/Constraints!$AC$17)^2 * Constraints!A533)</f>
        <v>2.1260587436877361E-4</v>
      </c>
      <c r="P533" t="e">
        <f t="shared" si="31"/>
        <v>#VALUE!</v>
      </c>
      <c r="Q533">
        <f t="shared" si="32"/>
        <v>105.99078707445425</v>
      </c>
      <c r="R533">
        <f t="shared" si="33"/>
        <v>117.28594174069043</v>
      </c>
      <c r="S533" t="e">
        <f xml:space="preserve"> 1.667/G533 + P533/A533 * Performance!$E$12 + Performance!$E$23 / Constraints!P533 * Constraints!A533</f>
        <v>#VALUE!</v>
      </c>
      <c r="T533">
        <f xml:space="preserve"> 1.667/H533 + Q533/A533 * Performance!$E$12 + Performance!$E$23 / Constraints!Q533 * Constraints!A533</f>
        <v>0.18888334256614964</v>
      </c>
      <c r="U533">
        <f xml:space="preserve"> 1.667/I533 + R533/A533 * Performance!$E$12 + Performance!$E$23 / Constraints!R533 * Constraints!A533</f>
        <v>0.1770167939442302</v>
      </c>
    </row>
    <row r="534" spans="1:21" x14ac:dyDescent="0.3">
      <c r="A534" s="51">
        <v>266</v>
      </c>
      <c r="B534" s="50">
        <f>$V$4*Performance!$E$12*(1/A534)+Performance!$E$23*(1/Constraints!$V$4)*Constraints!A534</f>
        <v>0.11730249314025594</v>
      </c>
      <c r="C534" s="50">
        <f>$V$5*Performance!$E$12*(1/A534)+Performance!$E$23*(1/Constraints!$V$5)*Constraints!A534</f>
        <v>0.1734209257395842</v>
      </c>
      <c r="D534" s="52">
        <f t="shared" si="30"/>
        <v>0.39343099893593753</v>
      </c>
      <c r="E534" s="52">
        <f>$V$4*Performance!$E$12*(1/A534)+Performance!$E$23*(1/Constraints!$V$9)*Constraints!A534</f>
        <v>0.11610119453526703</v>
      </c>
      <c r="F534" s="52">
        <f xml:space="preserve"> 1.21 / (9.81 * Constraints!$N$7 * Performance!$E$15 * Constraints!$N$5 ) * Constraints!A534 + 0.605 /Performance!$E$15 * (Performance!$E$16  - Constraints!$N$6 * Performance!$E$14) + Constraints!$N$6</f>
        <v>0.39328333736719551</v>
      </c>
      <c r="G534" s="54" t="s">
        <v>198</v>
      </c>
      <c r="H534" s="55">
        <f>SQRT(2/$V$3 * A534 * SQRT(Performance!$E$23 / (3 * Performance!$E$12)))</f>
        <v>20.110418224789655</v>
      </c>
      <c r="I534" s="55">
        <f>SQRT(2/$V$3 * A534 * (SQRT(Performance!$E$23)/(SQRT(3*Performance!$E$12 + 4* Performance!$E$23 * Performance!$E$11^2) - SQRT(Performance!$E$23)*Performance!$E$11)))</f>
        <v>21.154853568582521</v>
      </c>
      <c r="J534" t="e">
        <f xml:space="preserve"> $AC$3/G534 + $AC$6/A534 * Performance!$E$12 + Performance!$E$23/Constraints!$AC$6 * Constraints!A534</f>
        <v>#VALUE!</v>
      </c>
      <c r="K534">
        <f xml:space="preserve"> $AC$3/H534 + $AC$6/A534 * Performance!$E$12 + Performance!$E$23/Constraints!$AC$6 * Constraints!A534</f>
        <v>1.1085103113594101</v>
      </c>
      <c r="L534">
        <f xml:space="preserve"> $AC$3/I534 + $AC$6/A534 * Performance!$E$12 + Performance!$E$23/Constraints!$AC$6 * Constraints!A534</f>
        <v>1.0960389418705361</v>
      </c>
      <c r="M534">
        <f>SIN($AC$9 * PI()/180) + 1/Performance!$AE$5</f>
        <v>0.24073077270730886</v>
      </c>
      <c r="N534">
        <f>SIN($AC$9 * PI()/180) + 1/Performance!$AE$8</f>
        <v>0.22738716112204788</v>
      </c>
      <c r="O534" s="60">
        <f>$AC$16 * (Performance!$E$12/Constraints!A534 + Performance!$E$23 * (Constraints!$AC$13/Constraints!$AC$17)^2 * Constraints!A534)</f>
        <v>2.1265798515796122E-4</v>
      </c>
      <c r="P534" t="e">
        <f t="shared" si="31"/>
        <v>#VALUE!</v>
      </c>
      <c r="Q534">
        <f t="shared" si="32"/>
        <v>106.19039307647769</v>
      </c>
      <c r="R534">
        <f t="shared" si="33"/>
        <v>117.50681922042804</v>
      </c>
      <c r="S534" t="e">
        <f xml:space="preserve"> 1.667/G534 + P534/A534 * Performance!$E$12 + Performance!$E$23 / Constraints!P534 * Constraints!A534</f>
        <v>#VALUE!</v>
      </c>
      <c r="T534">
        <f xml:space="preserve"> 1.667/H534 + Q534/A534 * Performance!$E$12 + Performance!$E$23 / Constraints!Q534 * Constraints!A534</f>
        <v>0.18880532621133209</v>
      </c>
      <c r="U534">
        <f xml:space="preserve"> 1.667/I534 + R534/A534 * Performance!$E$12 + Performance!$E$23 / Constraints!R534 * Constraints!A534</f>
        <v>0.17694262933143026</v>
      </c>
    </row>
    <row r="535" spans="1:21" x14ac:dyDescent="0.3">
      <c r="A535" s="51">
        <v>266.5</v>
      </c>
      <c r="B535" s="50">
        <f>$V$4*Performance!$E$12*(1/A535)+Performance!$E$23*(1/Constraints!$V$4)*Constraints!A535</f>
        <v>0.11712199023337007</v>
      </c>
      <c r="C535" s="50">
        <f>$V$5*Performance!$E$12*(1/A535)+Performance!$E$23*(1/Constraints!$V$5)*Constraints!A535</f>
        <v>0.17312091004667901</v>
      </c>
      <c r="D535" s="52">
        <f t="shared" ref="D535:D598" si="34">1.21/(9.8*$N$7*$N$8*$N$5)*A535+0.605/$N$8*($N$11-$N$6*$N$10)+$N$6</f>
        <v>0.39370328464822313</v>
      </c>
      <c r="E535" s="52">
        <f>$V$4*Performance!$E$12*(1/A535)+Performance!$E$23*(1/Constraints!$V$9)*Constraints!A535</f>
        <v>0.1159184335482966</v>
      </c>
      <c r="F535" s="52">
        <f xml:space="preserve"> 1.21 / (9.81 * Constraints!$N$7 * Performance!$E$15 * Constraints!$N$5 ) * Constraints!A535 + 0.605 /Performance!$E$15 * (Performance!$E$16  - Constraints!$N$6 * Performance!$E$14) + Constraints!$N$6</f>
        <v>0.39355534552014138</v>
      </c>
      <c r="G535" s="54" t="s">
        <v>198</v>
      </c>
      <c r="H535" s="55">
        <f>SQRT(2/$V$3 * A535 * SQRT(Performance!$E$23 / (3 * Performance!$E$12)))</f>
        <v>20.129310120195484</v>
      </c>
      <c r="I535" s="55">
        <f>SQRT(2/$V$3 * A535 * (SQRT(Performance!$E$23)/(SQRT(3*Performance!$E$12 + 4* Performance!$E$23 * Performance!$E$11^2) - SQRT(Performance!$E$23)*Performance!$E$11)))</f>
        <v>21.174726615302689</v>
      </c>
      <c r="J535" t="e">
        <f xml:space="preserve"> $AC$3/G535 + $AC$6/A535 * Performance!$E$12 + Performance!$E$23/Constraints!$AC$6 * Constraints!A535</f>
        <v>#VALUE!</v>
      </c>
      <c r="K535">
        <f xml:space="preserve"> $AC$3/H535 + $AC$6/A535 * Performance!$E$12 + Performance!$E$23/Constraints!$AC$6 * Constraints!A535</f>
        <v>1.109877133895484</v>
      </c>
      <c r="L535">
        <f xml:space="preserve"> $AC$3/I535 + $AC$6/A535 * Performance!$E$12 + Performance!$E$23/Constraints!$AC$6 * Constraints!A535</f>
        <v>1.097417469120112</v>
      </c>
      <c r="M535">
        <f>SIN($AC$9 * PI()/180) + 1/Performance!$AE$5</f>
        <v>0.24073077270730886</v>
      </c>
      <c r="N535">
        <f>SIN($AC$9 * PI()/180) + 1/Performance!$AE$8</f>
        <v>0.22738716112204788</v>
      </c>
      <c r="O535" s="60">
        <f>$AC$16 * (Performance!$E$12/Constraints!A535 + Performance!$E$23 * (Constraints!$AC$13/Constraints!$AC$17)^2 * Constraints!A535)</f>
        <v>2.1271074876006742E-4</v>
      </c>
      <c r="P535" t="e">
        <f t="shared" ref="P535:P598" si="35" xml:space="preserve"> 0.5 * $AJ$4 * G535^2</f>
        <v>#VALUE!</v>
      </c>
      <c r="Q535">
        <f t="shared" ref="Q535:Q598" si="36" xml:space="preserve"> 0.5 * $AJ$4 * H535^2</f>
        <v>106.38999907850113</v>
      </c>
      <c r="R535">
        <f t="shared" ref="R535:R598" si="37" xml:space="preserve"> 0.5 * $AJ$4 * I535^2</f>
        <v>117.72769670016569</v>
      </c>
      <c r="S535" t="e">
        <f xml:space="preserve"> 1.667/G535 + P535/A535 * Performance!$E$12 + Performance!$E$23 / Constraints!P535 * Constraints!A535</f>
        <v>#VALUE!</v>
      </c>
      <c r="T535">
        <f xml:space="preserve"> 1.667/H535 + Q535/A535 * Performance!$E$12 + Performance!$E$23 / Constraints!Q535 * Constraints!A535</f>
        <v>0.18872752951784771</v>
      </c>
      <c r="U535">
        <f xml:space="preserve"> 1.667/I535 + R535/A535 * Performance!$E$12 + Performance!$E$23 / Constraints!R535 * Constraints!A535</f>
        <v>0.17686867353507341</v>
      </c>
    </row>
    <row r="536" spans="1:21" x14ac:dyDescent="0.3">
      <c r="A536" s="51">
        <v>267</v>
      </c>
      <c r="B536" s="50">
        <f>$V$4*Performance!$E$12*(1/A536)+Performance!$E$23*(1/Constraints!$V$4)*Constraints!A536</f>
        <v>0.11694223755081508</v>
      </c>
      <c r="C536" s="50">
        <f>$V$5*Performance!$E$12*(1/A536)+Performance!$E$23*(1/Constraints!$V$5)*Constraints!A536</f>
        <v>0.17282206552809593</v>
      </c>
      <c r="D536" s="52">
        <f t="shared" si="34"/>
        <v>0.39397557036050868</v>
      </c>
      <c r="E536" s="52">
        <f>$V$4*Performance!$E$12*(1/A536)+Performance!$E$23*(1/Constraints!$V$9)*Constraints!A536</f>
        <v>0.11573642278565704</v>
      </c>
      <c r="F536" s="52">
        <f xml:space="preserve"> 1.21 / (9.81 * Constraints!$N$7 * Performance!$E$15 * Constraints!$N$5 ) * Constraints!A536 + 0.605 /Performance!$E$15 * (Performance!$E$16  - Constraints!$N$6 * Performance!$E$14) + Constraints!$N$6</f>
        <v>0.39382735367308719</v>
      </c>
      <c r="G536" s="54" t="s">
        <v>198</v>
      </c>
      <c r="H536" s="55">
        <f>SQRT(2/$V$3 * A536 * SQRT(Performance!$E$23 / (3 * Performance!$E$12)))</f>
        <v>20.148184301669886</v>
      </c>
      <c r="I536" s="55">
        <f>SQRT(2/$V$3 * A536 * (SQRT(Performance!$E$23)/(SQRT(3*Performance!$E$12 + 4* Performance!$E$23 * Performance!$E$11^2) - SQRT(Performance!$E$23)*Performance!$E$11)))</f>
        <v>21.194581028117717</v>
      </c>
      <c r="J536" t="e">
        <f xml:space="preserve"> $AC$3/G536 + $AC$6/A536 * Performance!$E$12 + Performance!$E$23/Constraints!$AC$6 * Constraints!A536</f>
        <v>#VALUE!</v>
      </c>
      <c r="K536">
        <f xml:space="preserve"> $AC$3/H536 + $AC$6/A536 * Performance!$E$12 + Performance!$E$23/Constraints!$AC$6 * Constraints!A536</f>
        <v>1.1112446319405653</v>
      </c>
      <c r="L536">
        <f xml:space="preserve"> $AC$3/I536 + $AC$6/A536 * Performance!$E$12 + Performance!$E$23/Constraints!$AC$6 * Constraints!A536</f>
        <v>1.0987966389848747</v>
      </c>
      <c r="M536">
        <f>SIN($AC$9 * PI()/180) + 1/Performance!$AE$5</f>
        <v>0.24073077270730886</v>
      </c>
      <c r="N536">
        <f>SIN($AC$9 * PI()/180) + 1/Performance!$AE$8</f>
        <v>0.22738716112204788</v>
      </c>
      <c r="O536" s="60">
        <f>$AC$16 * (Performance!$E$12/Constraints!A536 + Performance!$E$23 * (Constraints!$AC$13/Constraints!$AC$17)^2 * Constraints!A536)</f>
        <v>2.1276416150760392E-4</v>
      </c>
      <c r="P536" t="e">
        <f t="shared" si="35"/>
        <v>#VALUE!</v>
      </c>
      <c r="Q536">
        <f t="shared" si="36"/>
        <v>106.58960508052458</v>
      </c>
      <c r="R536">
        <f t="shared" si="37"/>
        <v>117.94857417990335</v>
      </c>
      <c r="S536" t="e">
        <f xml:space="preserve"> 1.667/G536 + P536/A536 * Performance!$E$12 + Performance!$E$23 / Constraints!P536 * Constraints!A536</f>
        <v>#VALUE!</v>
      </c>
      <c r="T536">
        <f xml:space="preserve"> 1.667/H536 + Q536/A536 * Performance!$E$12 + Performance!$E$23 / Constraints!Q536 * Constraints!A536</f>
        <v>0.18864995145683724</v>
      </c>
      <c r="U536">
        <f xml:space="preserve"> 1.667/I536 + R536/A536 * Performance!$E$12 + Performance!$E$23 / Constraints!R536 * Constraints!A536</f>
        <v>0.17679492557709625</v>
      </c>
    </row>
    <row r="537" spans="1:21" x14ac:dyDescent="0.3">
      <c r="A537" s="51">
        <v>267.5</v>
      </c>
      <c r="B537" s="50">
        <f>$V$4*Performance!$E$12*(1/A537)+Performance!$E$23*(1/Constraints!$V$4)*Constraints!A537</f>
        <v>0.11676323088572554</v>
      </c>
      <c r="C537" s="50">
        <f>$V$5*Performance!$E$12*(1/A537)+Performance!$E$23*(1/Constraints!$V$5)*Constraints!A537</f>
        <v>0.1725243856165023</v>
      </c>
      <c r="D537" s="52">
        <f t="shared" si="34"/>
        <v>0.39424785607279433</v>
      </c>
      <c r="E537" s="52">
        <f>$V$4*Performance!$E$12*(1/A537)+Performance!$E$23*(1/Constraints!$V$9)*Constraints!A537</f>
        <v>0.11555515804048293</v>
      </c>
      <c r="F537" s="52">
        <f xml:space="preserve"> 1.21 / (9.81 * Constraints!$N$7 * Performance!$E$15 * Constraints!$N$5 ) * Constraints!A537 + 0.605 /Performance!$E$15 * (Performance!$E$16  - Constraints!$N$6 * Performance!$E$14) + Constraints!$N$6</f>
        <v>0.39409936182603311</v>
      </c>
      <c r="G537" s="54" t="s">
        <v>198</v>
      </c>
      <c r="H537" s="55">
        <f>SQRT(2/$V$3 * A537 * SQRT(Performance!$E$23 / (3 * Performance!$E$12)))</f>
        <v>20.167040818947868</v>
      </c>
      <c r="I537" s="55">
        <f>SQRT(2/$V$3 * A537 * (SQRT(Performance!$E$23)/(SQRT(3*Performance!$E$12 + 4* Performance!$E$23 * Performance!$E$11^2) - SQRT(Performance!$E$23)*Performance!$E$11)))</f>
        <v>21.214416859345601</v>
      </c>
      <c r="J537" t="e">
        <f xml:space="preserve"> $AC$3/G537 + $AC$6/A537 * Performance!$E$12 + Performance!$E$23/Constraints!$AC$6 * Constraints!A537</f>
        <v>#VALUE!</v>
      </c>
      <c r="K537">
        <f xml:space="preserve"> $AC$3/H537 + $AC$6/A537 * Performance!$E$12 + Performance!$E$23/Constraints!$AC$6 * Constraints!A537</f>
        <v>1.1126128023279676</v>
      </c>
      <c r="L537">
        <f xml:space="preserve"> $AC$3/I537 + $AC$6/A537 * Performance!$E$12 + Performance!$E$23/Constraints!$AC$6 * Constraints!A537</f>
        <v>1.1001764484519196</v>
      </c>
      <c r="M537">
        <f>SIN($AC$9 * PI()/180) + 1/Performance!$AE$5</f>
        <v>0.24073077270730886</v>
      </c>
      <c r="N537">
        <f>SIN($AC$9 * PI()/180) + 1/Performance!$AE$8</f>
        <v>0.22738716112204788</v>
      </c>
      <c r="O537" s="60">
        <f>$AC$16 * (Performance!$E$12/Constraints!A537 + Performance!$E$23 * (Constraints!$AC$13/Constraints!$AC$17)^2 * Constraints!A537)</f>
        <v>2.1281821976050291E-4</v>
      </c>
      <c r="P537" t="e">
        <f t="shared" si="35"/>
        <v>#VALUE!</v>
      </c>
      <c r="Q537">
        <f t="shared" si="36"/>
        <v>106.78921108254806</v>
      </c>
      <c r="R537">
        <f t="shared" si="37"/>
        <v>118.16945165964098</v>
      </c>
      <c r="S537" t="e">
        <f xml:space="preserve"> 1.667/G537 + P537/A537 * Performance!$E$12 + Performance!$E$23 / Constraints!P537 * Constraints!A537</f>
        <v>#VALUE!</v>
      </c>
      <c r="T537">
        <f xml:space="preserve"> 1.667/H537 + Q537/A537 * Performance!$E$12 + Performance!$E$23 / Constraints!Q537 * Constraints!A537</f>
        <v>0.18857259100617541</v>
      </c>
      <c r="U537">
        <f xml:space="preserve"> 1.667/I537 + R537/A537 * Performance!$E$12 + Performance!$E$23 / Constraints!R537 * Constraints!A537</f>
        <v>0.17672138448583682</v>
      </c>
    </row>
    <row r="538" spans="1:21" x14ac:dyDescent="0.3">
      <c r="A538" s="51">
        <v>268</v>
      </c>
      <c r="B538" s="50">
        <f>$V$4*Performance!$E$12*(1/A538)+Performance!$E$23*(1/Constraints!$V$4)*Constraints!A538</f>
        <v>0.11658496606263055</v>
      </c>
      <c r="C538" s="50">
        <f>$V$5*Performance!$E$12*(1/A538)+Performance!$E$23*(1/Constraints!$V$5)*Constraints!A538</f>
        <v>0.17222786379357544</v>
      </c>
      <c r="D538" s="52">
        <f t="shared" si="34"/>
        <v>0.39452014178507988</v>
      </c>
      <c r="E538" s="52">
        <f>$V$4*Performance!$E$12*(1/A538)+Performance!$E$23*(1/Constraints!$V$9)*Constraints!A538</f>
        <v>0.11537463513730338</v>
      </c>
      <c r="F538" s="52">
        <f xml:space="preserve"> 1.21 / (9.81 * Constraints!$N$7 * Performance!$E$15 * Constraints!$N$5 ) * Constraints!A538 + 0.605 /Performance!$E$15 * (Performance!$E$16  - Constraints!$N$6 * Performance!$E$14) + Constraints!$N$6</f>
        <v>0.39437136997897893</v>
      </c>
      <c r="G538" s="54" t="s">
        <v>198</v>
      </c>
      <c r="H538" s="55">
        <f>SQRT(2/$V$3 * A538 * SQRT(Performance!$E$23 / (3 * Performance!$E$12)))</f>
        <v>20.185879721532128</v>
      </c>
      <c r="I538" s="55">
        <f>SQRT(2/$V$3 * A538 * (SQRT(Performance!$E$23)/(SQRT(3*Performance!$E$12 + 4* Performance!$E$23 * Performance!$E$11^2) - SQRT(Performance!$E$23)*Performance!$E$11)))</f>
        <v>21.234234161059973</v>
      </c>
      <c r="J538" t="e">
        <f xml:space="preserve"> $AC$3/G538 + $AC$6/A538 * Performance!$E$12 + Performance!$E$23/Constraints!$AC$6 * Constraints!A538</f>
        <v>#VALUE!</v>
      </c>
      <c r="K538">
        <f xml:space="preserve"> $AC$3/H538 + $AC$6/A538 * Performance!$E$12 + Performance!$E$23/Constraints!$AC$6 * Constraints!A538</f>
        <v>1.1139816419117405</v>
      </c>
      <c r="L538">
        <f xml:space="preserve"> $AC$3/I538 + $AC$6/A538 * Performance!$E$12 + Performance!$E$23/Constraints!$AC$6 * Constraints!A538</f>
        <v>1.1015568945280727</v>
      </c>
      <c r="M538">
        <f>SIN($AC$9 * PI()/180) + 1/Performance!$AE$5</f>
        <v>0.24073077270730886</v>
      </c>
      <c r="N538">
        <f>SIN($AC$9 * PI()/180) + 1/Performance!$AE$8</f>
        <v>0.22738716112204788</v>
      </c>
      <c r="O538" s="60">
        <f>$AC$16 * (Performance!$E$12/Constraints!A538 + Performance!$E$23 * (Constraints!$AC$13/Constraints!$AC$17)^2 * Constraints!A538)</f>
        <v>2.1287291990586125E-4</v>
      </c>
      <c r="P538" t="e">
        <f t="shared" si="35"/>
        <v>#VALUE!</v>
      </c>
      <c r="Q538">
        <f t="shared" si="36"/>
        <v>106.98881708457149</v>
      </c>
      <c r="R538">
        <f t="shared" si="37"/>
        <v>118.39032913937865</v>
      </c>
      <c r="S538" t="e">
        <f xml:space="preserve"> 1.667/G538 + P538/A538 * Performance!$E$12 + Performance!$E$23 / Constraints!P538 * Constraints!A538</f>
        <v>#VALUE!</v>
      </c>
      <c r="T538">
        <f xml:space="preserve"> 1.667/H538 + Q538/A538 * Performance!$E$12 + Performance!$E$23 / Constraints!Q538 * Constraints!A538</f>
        <v>0.18849544715041458</v>
      </c>
      <c r="U538">
        <f xml:space="preserve"> 1.667/I538 + R538/A538 * Performance!$E$12 + Performance!$E$23 / Constraints!R538 * Constraints!A538</f>
        <v>0.17664804929598099</v>
      </c>
    </row>
    <row r="539" spans="1:21" x14ac:dyDescent="0.3">
      <c r="A539" s="51">
        <v>268.5</v>
      </c>
      <c r="B539" s="50">
        <f>$V$4*Performance!$E$12*(1/A539)+Performance!$E$23*(1/Constraints!$V$4)*Constraints!A539</f>
        <v>0.11640743893716148</v>
      </c>
      <c r="C539" s="50">
        <f>$V$5*Performance!$E$12*(1/A539)+Performance!$E$23*(1/Constraints!$V$5)*Constraints!A539</f>
        <v>0.17193249358954629</v>
      </c>
      <c r="D539" s="52">
        <f t="shared" si="34"/>
        <v>0.39479242749736554</v>
      </c>
      <c r="E539" s="52">
        <f>$V$4*Performance!$E$12*(1/A539)+Performance!$E$23*(1/Constraints!$V$9)*Constraints!A539</f>
        <v>0.11519484993174973</v>
      </c>
      <c r="F539" s="52">
        <f xml:space="preserve"> 1.21 / (9.81 * Constraints!$N$7 * Performance!$E$15 * Constraints!$N$5 ) * Constraints!A539 + 0.605 /Performance!$E$15 * (Performance!$E$16  - Constraints!$N$6 * Performance!$E$14) + Constraints!$N$6</f>
        <v>0.39464337813192479</v>
      </c>
      <c r="G539" s="54" t="s">
        <v>198</v>
      </c>
      <c r="H539" s="55">
        <f>SQRT(2/$V$3 * A539 * SQRT(Performance!$E$23 / (3 * Performance!$E$12)))</f>
        <v>20.204701058694596</v>
      </c>
      <c r="I539" s="55">
        <f>SQRT(2/$V$3 * A539 * (SQRT(Performance!$E$23)/(SQRT(3*Performance!$E$12 + 4* Performance!$E$23 * Performance!$E$11^2) - SQRT(Performance!$E$23)*Performance!$E$11)))</f>
        <v>21.254032985091694</v>
      </c>
      <c r="J539" t="e">
        <f xml:space="preserve"> $AC$3/G539 + $AC$6/A539 * Performance!$E$12 + Performance!$E$23/Constraints!$AC$6 * Constraints!A539</f>
        <v>#VALUE!</v>
      </c>
      <c r="K539">
        <f xml:space="preserve"> $AC$3/H539 + $AC$6/A539 * Performance!$E$12 + Performance!$E$23/Constraints!$AC$6 * Constraints!A539</f>
        <v>1.1153511475664948</v>
      </c>
      <c r="L539">
        <f xml:space="preserve"> $AC$3/I539 + $AC$6/A539 * Performance!$E$12 + Performance!$E$23/Constraints!$AC$6 * Constraints!A539</f>
        <v>1.1029379742397252</v>
      </c>
      <c r="M539">
        <f>SIN($AC$9 * PI()/180) + 1/Performance!$AE$5</f>
        <v>0.24073077270730886</v>
      </c>
      <c r="N539">
        <f>SIN($AC$9 * PI()/180) + 1/Performance!$AE$8</f>
        <v>0.22738716112204788</v>
      </c>
      <c r="O539" s="60">
        <f>$AC$16 * (Performance!$E$12/Constraints!A539 + Performance!$E$23 * (Constraints!$AC$13/Constraints!$AC$17)^2 * Constraints!A539)</f>
        <v>2.1292825835768754E-4</v>
      </c>
      <c r="P539" t="e">
        <f t="shared" si="35"/>
        <v>#VALUE!</v>
      </c>
      <c r="Q539">
        <f t="shared" si="36"/>
        <v>107.18842308659495</v>
      </c>
      <c r="R539">
        <f t="shared" si="37"/>
        <v>118.61120661911629</v>
      </c>
      <c r="S539" t="e">
        <f xml:space="preserve"> 1.667/G539 + P539/A539 * Performance!$E$12 + Performance!$E$23 / Constraints!P539 * Constraints!A539</f>
        <v>#VALUE!</v>
      </c>
      <c r="T539">
        <f xml:space="preserve"> 1.667/H539 + Q539/A539 * Performance!$E$12 + Performance!$E$23 / Constraints!Q539 * Constraints!A539</f>
        <v>0.1884185188807283</v>
      </c>
      <c r="U539">
        <f xml:space="preserve"> 1.667/I539 + R539/A539 * Performance!$E$12 + Performance!$E$23 / Constraints!R539 * Constraints!A539</f>
        <v>0.17657491904850919</v>
      </c>
    </row>
    <row r="540" spans="1:21" x14ac:dyDescent="0.3">
      <c r="A540" s="51">
        <v>269</v>
      </c>
      <c r="B540" s="50">
        <f>$V$4*Performance!$E$12*(1/A540)+Performance!$E$23*(1/Constraints!$V$4)*Constraints!A540</f>
        <v>0.11623064539576274</v>
      </c>
      <c r="C540" s="50">
        <f>$V$5*Performance!$E$12*(1/A540)+Performance!$E$23*(1/Constraints!$V$5)*Constraints!A540</f>
        <v>0.17163826858274805</v>
      </c>
      <c r="D540" s="52">
        <f t="shared" si="34"/>
        <v>0.39506471320965109</v>
      </c>
      <c r="E540" s="52">
        <f>$V$4*Performance!$E$12*(1/A540)+Performance!$E$23*(1/Constraints!$V$9)*Constraints!A540</f>
        <v>0.11501579831026644</v>
      </c>
      <c r="F540" s="52">
        <f xml:space="preserve"> 1.21 / (9.81 * Constraints!$N$7 * Performance!$E$15 * Constraints!$N$5 ) * Constraints!A540 + 0.605 /Performance!$E$15 * (Performance!$E$16  - Constraints!$N$6 * Performance!$E$14) + Constraints!$N$6</f>
        <v>0.39491538628487066</v>
      </c>
      <c r="G540" s="54" t="s">
        <v>198</v>
      </c>
      <c r="H540" s="55">
        <f>SQRT(2/$V$3 * A540 * SQRT(Performance!$E$23 / (3 * Performance!$E$12)))</f>
        <v>20.223504879477915</v>
      </c>
      <c r="I540" s="55">
        <f>SQRT(2/$V$3 * A540 * (SQRT(Performance!$E$23)/(SQRT(3*Performance!$E$12 + 4* Performance!$E$23 * Performance!$E$11^2) - SQRT(Performance!$E$23)*Performance!$E$11)))</f>
        <v>21.273813383030443</v>
      </c>
      <c r="J540" t="e">
        <f xml:space="preserve"> $AC$3/G540 + $AC$6/A540 * Performance!$E$12 + Performance!$E$23/Constraints!$AC$6 * Constraints!A540</f>
        <v>#VALUE!</v>
      </c>
      <c r="K540">
        <f xml:space="preserve"> $AC$3/H540 + $AC$6/A540 * Performance!$E$12 + Performance!$E$23/Constraints!$AC$6 * Constraints!A540</f>
        <v>1.1167213161872307</v>
      </c>
      <c r="L540">
        <f xml:space="preserve"> $AC$3/I540 + $AC$6/A540 * Performance!$E$12 + Performance!$E$23/Constraints!$AC$6 * Constraints!A540</f>
        <v>1.1043196846326702</v>
      </c>
      <c r="M540">
        <f>SIN($AC$9 * PI()/180) + 1/Performance!$AE$5</f>
        <v>0.24073077270730886</v>
      </c>
      <c r="N540">
        <f>SIN($AC$9 * PI()/180) + 1/Performance!$AE$8</f>
        <v>0.22738716112204788</v>
      </c>
      <c r="O540" s="60">
        <f>$AC$16 * (Performance!$E$12/Constraints!A540 + Performance!$E$23 * (Constraints!$AC$13/Constraints!$AC$17)^2 * Constraints!A540)</f>
        <v>2.1298423155665202E-4</v>
      </c>
      <c r="P540" t="e">
        <f t="shared" si="35"/>
        <v>#VALUE!</v>
      </c>
      <c r="Q540">
        <f t="shared" si="36"/>
        <v>107.3880290886184</v>
      </c>
      <c r="R540">
        <f t="shared" si="37"/>
        <v>118.83208409885395</v>
      </c>
      <c r="S540" t="e">
        <f xml:space="preserve"> 1.667/G540 + P540/A540 * Performance!$E$12 + Performance!$E$23 / Constraints!P540 * Constraints!A540</f>
        <v>#VALUE!</v>
      </c>
      <c r="T540">
        <f xml:space="preserve"> 1.667/H540 + Q540/A540 * Performance!$E$12 + Performance!$E$23 / Constraints!Q540 * Constraints!A540</f>
        <v>0.18834180519485635</v>
      </c>
      <c r="U540">
        <f xml:space="preserve"> 1.667/I540 + R540/A540 * Performance!$E$12 + Performance!$E$23 / Constraints!R540 * Constraints!A540</f>
        <v>0.17650199279064366</v>
      </c>
    </row>
    <row r="541" spans="1:21" x14ac:dyDescent="0.3">
      <c r="A541" s="51">
        <v>269.5</v>
      </c>
      <c r="B541" s="50">
        <f>$V$4*Performance!$E$12*(1/A541)+Performance!$E$23*(1/Constraints!$V$4)*Constraints!A541</f>
        <v>0.11605458135540614</v>
      </c>
      <c r="C541" s="50">
        <f>$V$5*Performance!$E$12*(1/A541)+Performance!$E$23*(1/Constraints!$V$5)*Constraints!A541</f>
        <v>0.17134518239917026</v>
      </c>
      <c r="D541" s="52">
        <f t="shared" si="34"/>
        <v>0.39533699892193669</v>
      </c>
      <c r="E541" s="52">
        <f>$V$4*Performance!$E$12*(1/A541)+Performance!$E$23*(1/Constraints!$V$9)*Constraints!A541</f>
        <v>0.11483747618982527</v>
      </c>
      <c r="F541" s="52">
        <f xml:space="preserve"> 1.21 / (9.81 * Constraints!$N$7 * Performance!$E$15 * Constraints!$N$5 ) * Constraints!A541 + 0.605 /Performance!$E$15 * (Performance!$E$16  - Constraints!$N$6 * Performance!$E$14) + Constraints!$N$6</f>
        <v>0.39518739443781647</v>
      </c>
      <c r="G541" s="54" t="s">
        <v>198</v>
      </c>
      <c r="H541" s="55">
        <f>SQRT(2/$V$3 * A541 * SQRT(Performance!$E$23 / (3 * Performance!$E$12)))</f>
        <v>20.242291232696946</v>
      </c>
      <c r="I541" s="55">
        <f>SQRT(2/$V$3 * A541 * (SQRT(Performance!$E$23)/(SQRT(3*Performance!$E$12 + 4* Performance!$E$23 * Performance!$E$11^2) - SQRT(Performance!$E$23)*Performance!$E$11)))</f>
        <v>21.293575406226275</v>
      </c>
      <c r="J541" t="e">
        <f xml:space="preserve"> $AC$3/G541 + $AC$6/A541 * Performance!$E$12 + Performance!$E$23/Constraints!$AC$6 * Constraints!A541</f>
        <v>#VALUE!</v>
      </c>
      <c r="K541">
        <f xml:space="preserve"> $AC$3/H541 + $AC$6/A541 * Performance!$E$12 + Performance!$E$23/Constraints!$AC$6 * Constraints!A541</f>
        <v>1.1180921446891667</v>
      </c>
      <c r="L541">
        <f xml:space="preserve"> $AC$3/I541 + $AC$6/A541 * Performance!$E$12 + Performance!$E$23/Constraints!$AC$6 * Constraints!A541</f>
        <v>1.1057020227719394</v>
      </c>
      <c r="M541">
        <f>SIN($AC$9 * PI()/180) + 1/Performance!$AE$5</f>
        <v>0.24073077270730886</v>
      </c>
      <c r="N541">
        <f>SIN($AC$9 * PI()/180) + 1/Performance!$AE$8</f>
        <v>0.22738716112204788</v>
      </c>
      <c r="O541" s="60">
        <f>$AC$16 * (Performance!$E$12/Constraints!A541 + Performance!$E$23 * (Constraints!$AC$13/Constraints!$AC$17)^2 * Constraints!A541)</f>
        <v>2.1304083596983928E-4</v>
      </c>
      <c r="P541" t="e">
        <f t="shared" si="35"/>
        <v>#VALUE!</v>
      </c>
      <c r="Q541">
        <f t="shared" si="36"/>
        <v>107.58763509064188</v>
      </c>
      <c r="R541">
        <f t="shared" si="37"/>
        <v>119.05296157859155</v>
      </c>
      <c r="S541" t="e">
        <f xml:space="preserve"> 1.667/G541 + P541/A541 * Performance!$E$12 + Performance!$E$23 / Constraints!P541 * Constraints!A541</f>
        <v>#VALUE!</v>
      </c>
      <c r="T541">
        <f xml:space="preserve"> 1.667/H541 + Q541/A541 * Performance!$E$12 + Performance!$E$23 / Constraints!Q541 * Constraints!A541</f>
        <v>0.18826530509704964</v>
      </c>
      <c r="U541">
        <f xml:space="preserve"> 1.667/I541 + R541/A541 * Performance!$E$12 + Performance!$E$23 / Constraints!R541 * Constraints!A541</f>
        <v>0.17642926957579647</v>
      </c>
    </row>
    <row r="542" spans="1:21" x14ac:dyDescent="0.3">
      <c r="A542" s="51">
        <v>270</v>
      </c>
      <c r="B542" s="50">
        <f>$V$4*Performance!$E$12*(1/A542)+Performance!$E$23*(1/Constraints!$V$4)*Constraints!A542</f>
        <v>0.1158792427633081</v>
      </c>
      <c r="C542" s="50">
        <f>$V$5*Performance!$E$12*(1/A542)+Performance!$E$23*(1/Constraints!$V$5)*Constraints!A542</f>
        <v>0.17105322871201717</v>
      </c>
      <c r="D542" s="52">
        <f t="shared" si="34"/>
        <v>0.39560928463422229</v>
      </c>
      <c r="E542" s="52">
        <f>$V$4*Performance!$E$12*(1/A542)+Performance!$E$23*(1/Constraints!$V$9)*Constraints!A542</f>
        <v>0.11465987951764267</v>
      </c>
      <c r="F542" s="52">
        <f xml:space="preserve"> 1.21 / (9.81 * Constraints!$N$7 * Performance!$E$15 * Constraints!$N$5 ) * Constraints!A542 + 0.605 /Performance!$E$15 * (Performance!$E$16  - Constraints!$N$6 * Performance!$E$14) + Constraints!$N$6</f>
        <v>0.3954594025907624</v>
      </c>
      <c r="G542" s="54" t="s">
        <v>198</v>
      </c>
      <c r="H542" s="55">
        <f>SQRT(2/$V$3 * A542 * SQRT(Performance!$E$23 / (3 * Performance!$E$12)))</f>
        <v>20.261060166940233</v>
      </c>
      <c r="I542" s="55">
        <f>SQRT(2/$V$3 * A542 * (SQRT(Performance!$E$23)/(SQRT(3*Performance!$E$12 + 4* Performance!$E$23 * Performance!$E$11^2) - SQRT(Performance!$E$23)*Performance!$E$11)))</f>
        <v>21.313319105791194</v>
      </c>
      <c r="J542" t="e">
        <f xml:space="preserve"> $AC$3/G542 + $AC$6/A542 * Performance!$E$12 + Performance!$E$23/Constraints!$AC$6 * Constraints!A542</f>
        <v>#VALUE!</v>
      </c>
      <c r="K542">
        <f xml:space="preserve"> $AC$3/H542 + $AC$6/A542 * Performance!$E$12 + Performance!$E$23/Constraints!$AC$6 * Constraints!A542</f>
        <v>1.1194636300075722</v>
      </c>
      <c r="L542">
        <f xml:space="preserve"> $AC$3/I542 + $AC$6/A542 * Performance!$E$12 + Performance!$E$23/Constraints!$AC$6 * Constraints!A542</f>
        <v>1.1070849857416432</v>
      </c>
      <c r="M542">
        <f>SIN($AC$9 * PI()/180) + 1/Performance!$AE$5</f>
        <v>0.24073077270730886</v>
      </c>
      <c r="N542">
        <f>SIN($AC$9 * PI()/180) + 1/Performance!$AE$8</f>
        <v>0.22738716112204788</v>
      </c>
      <c r="O542" s="60">
        <f>$AC$16 * (Performance!$E$12/Constraints!A542 + Performance!$E$23 * (Constraints!$AC$13/Constraints!$AC$17)^2 * Constraints!A542)</f>
        <v>2.1309806809050361E-4</v>
      </c>
      <c r="P542" t="e">
        <f t="shared" si="35"/>
        <v>#VALUE!</v>
      </c>
      <c r="Q542">
        <f t="shared" si="36"/>
        <v>107.78724109266533</v>
      </c>
      <c r="R542">
        <f t="shared" si="37"/>
        <v>119.27383905832922</v>
      </c>
      <c r="S542" t="e">
        <f xml:space="preserve"> 1.667/G542 + P542/A542 * Performance!$E$12 + Performance!$E$23 / Constraints!P542 * Constraints!A542</f>
        <v>#VALUE!</v>
      </c>
      <c r="T542">
        <f xml:space="preserve"> 1.667/H542 + Q542/A542 * Performance!$E$12 + Performance!$E$23 / Constraints!Q542 * Constraints!A542</f>
        <v>0.1881890175980161</v>
      </c>
      <c r="U542">
        <f xml:space="preserve"> 1.667/I542 + R542/A542 * Performance!$E$12 + Performance!$E$23 / Constraints!R542 * Constraints!A542</f>
        <v>0.17635674846351768</v>
      </c>
    </row>
    <row r="543" spans="1:21" x14ac:dyDescent="0.3">
      <c r="A543" s="51">
        <v>270.5</v>
      </c>
      <c r="B543" s="50">
        <f>$V$4*Performance!$E$12*(1/A543)+Performance!$E$23*(1/Constraints!$V$4)*Constraints!A543</f>
        <v>0.11570462559665018</v>
      </c>
      <c r="C543" s="50">
        <f>$V$5*Performance!$E$12*(1/A543)+Performance!$E$23*(1/Constraints!$V$5)*Constraints!A543</f>
        <v>0.17076240124127168</v>
      </c>
      <c r="D543" s="52">
        <f t="shared" si="34"/>
        <v>0.39588157034650789</v>
      </c>
      <c r="E543" s="52">
        <f>$V$4*Performance!$E$12*(1/A543)+Performance!$E$23*(1/Constraints!$V$9)*Constraints!A543</f>
        <v>0.11448300427090018</v>
      </c>
      <c r="F543" s="52">
        <f xml:space="preserve"> 1.21 / (9.81 * Constraints!$N$7 * Performance!$E$15 * Constraints!$N$5 ) * Constraints!A543 + 0.605 /Performance!$E$15 * (Performance!$E$16  - Constraints!$N$6 * Performance!$E$14) + Constraints!$N$6</f>
        <v>0.39573141074370821</v>
      </c>
      <c r="G543" s="54" t="s">
        <v>198</v>
      </c>
      <c r="H543" s="55">
        <f>SQRT(2/$V$3 * A543 * SQRT(Performance!$E$23 / (3 * Performance!$E$12)))</f>
        <v>20.279811730571481</v>
      </c>
      <c r="I543" s="55">
        <f>SQRT(2/$V$3 * A543 * (SQRT(Performance!$E$23)/(SQRT(3*Performance!$E$12 + 4* Performance!$E$23 * Performance!$E$11^2) - SQRT(Performance!$E$23)*Performance!$E$11)))</f>
        <v>21.33304453260067</v>
      </c>
      <c r="J543" t="e">
        <f xml:space="preserve"> $AC$3/G543 + $AC$6/A543 * Performance!$E$12 + Performance!$E$23/Constraints!$AC$6 * Constraints!A543</f>
        <v>#VALUE!</v>
      </c>
      <c r="K543">
        <f xml:space="preserve"> $AC$3/H543 + $AC$6/A543 * Performance!$E$12 + Performance!$E$23/Constraints!$AC$6 * Constraints!A543</f>
        <v>1.1208357690975979</v>
      </c>
      <c r="L543">
        <f xml:space="preserve"> $AC$3/I543 + $AC$6/A543 * Performance!$E$12 + Performance!$E$23/Constraints!$AC$6 * Constraints!A543</f>
        <v>1.1084685706448105</v>
      </c>
      <c r="M543">
        <f>SIN($AC$9 * PI()/180) + 1/Performance!$AE$5</f>
        <v>0.24073077270730886</v>
      </c>
      <c r="N543">
        <f>SIN($AC$9 * PI()/180) + 1/Performance!$AE$8</f>
        <v>0.22738716112204788</v>
      </c>
      <c r="O543" s="60">
        <f>$AC$16 * (Performance!$E$12/Constraints!A543 + Performance!$E$23 * (Constraints!$AC$13/Constraints!$AC$17)^2 * Constraints!A543)</f>
        <v>2.1315592443782721E-4</v>
      </c>
      <c r="P543" t="e">
        <f t="shared" si="35"/>
        <v>#VALUE!</v>
      </c>
      <c r="Q543">
        <f t="shared" si="36"/>
        <v>107.98684709468877</v>
      </c>
      <c r="R543">
        <f t="shared" si="37"/>
        <v>119.49471653806687</v>
      </c>
      <c r="S543" t="e">
        <f xml:space="preserve"> 1.667/G543 + P543/A543 * Performance!$E$12 + Performance!$E$23 / Constraints!P543 * Constraints!A543</f>
        <v>#VALUE!</v>
      </c>
      <c r="T543">
        <f xml:space="preserve"> 1.667/H543 + Q543/A543 * Performance!$E$12 + Performance!$E$23 / Constraints!Q543 * Constraints!A543</f>
        <v>0.18811294171486675</v>
      </c>
      <c r="U543">
        <f xml:space="preserve"> 1.667/I543 + R543/A543 * Performance!$E$12 + Performance!$E$23 / Constraints!R543 * Constraints!A543</f>
        <v>0.17628442851944459</v>
      </c>
    </row>
    <row r="544" spans="1:21" x14ac:dyDescent="0.3">
      <c r="A544" s="51">
        <v>271</v>
      </c>
      <c r="B544" s="50">
        <f>$V$4*Performance!$E$12*(1/A544)+Performance!$E$23*(1/Constraints!$V$4)*Constraints!A544</f>
        <v>0.11553072586230265</v>
      </c>
      <c r="C544" s="50">
        <f>$V$5*Performance!$E$12*(1/A544)+Performance!$E$23*(1/Constraints!$V$5)*Constraints!A544</f>
        <v>0.17047269375326363</v>
      </c>
      <c r="D544" s="52">
        <f t="shared" si="34"/>
        <v>0.3961538560587935</v>
      </c>
      <c r="E544" s="52">
        <f>$V$4*Performance!$E$12*(1/A544)+Performance!$E$23*(1/Constraints!$V$9)*Constraints!A544</f>
        <v>0.11430684645646808</v>
      </c>
      <c r="F544" s="52">
        <f xml:space="preserve"> 1.21 / (9.81 * Constraints!$N$7 * Performance!$E$15 * Constraints!$N$5 ) * Constraints!A544 + 0.605 /Performance!$E$15 * (Performance!$E$16  - Constraints!$N$6 * Performance!$E$14) + Constraints!$N$6</f>
        <v>0.39600341889665408</v>
      </c>
      <c r="G544" s="54" t="s">
        <v>198</v>
      </c>
      <c r="H544" s="55">
        <f>SQRT(2/$V$3 * A544 * SQRT(Performance!$E$23 / (3 * Performance!$E$12)))</f>
        <v>20.298545971731009</v>
      </c>
      <c r="I544" s="55">
        <f>SQRT(2/$V$3 * A544 * (SQRT(Performance!$E$23)/(SQRT(3*Performance!$E$12 + 4* Performance!$E$23 * Performance!$E$11^2) - SQRT(Performance!$E$23)*Performance!$E$11)))</f>
        <v>21.35275173729519</v>
      </c>
      <c r="J544" t="e">
        <f xml:space="preserve"> $AC$3/G544 + $AC$6/A544 * Performance!$E$12 + Performance!$E$23/Constraints!$AC$6 * Constraints!A544</f>
        <v>#VALUE!</v>
      </c>
      <c r="K544">
        <f xml:space="preserve"> $AC$3/H544 + $AC$6/A544 * Performance!$E$12 + Performance!$E$23/Constraints!$AC$6 * Constraints!A544</f>
        <v>1.1222085589341113</v>
      </c>
      <c r="L544">
        <f xml:space="preserve"> $AC$3/I544 + $AC$6/A544 * Performance!$E$12 + Performance!$E$23/Constraints!$AC$6 * Constraints!A544</f>
        <v>1.1098527746032323</v>
      </c>
      <c r="M544">
        <f>SIN($AC$9 * PI()/180) + 1/Performance!$AE$5</f>
        <v>0.24073077270730886</v>
      </c>
      <c r="N544">
        <f>SIN($AC$9 * PI()/180) + 1/Performance!$AE$8</f>
        <v>0.22738716112204788</v>
      </c>
      <c r="O544" s="60">
        <f>$AC$16 * (Performance!$E$12/Constraints!A544 + Performance!$E$23 * (Constraints!$AC$13/Constraints!$AC$17)^2 * Constraints!A544)</f>
        <v>2.1321440155668101E-4</v>
      </c>
      <c r="P544" t="e">
        <f t="shared" si="35"/>
        <v>#VALUE!</v>
      </c>
      <c r="Q544">
        <f t="shared" si="36"/>
        <v>108.18645309671221</v>
      </c>
      <c r="R544">
        <f t="shared" si="37"/>
        <v>119.71559401780452</v>
      </c>
      <c r="S544" t="e">
        <f xml:space="preserve"> 1.667/G544 + P544/A544 * Performance!$E$12 + Performance!$E$23 / Constraints!P544 * Constraints!A544</f>
        <v>#VALUE!</v>
      </c>
      <c r="T544">
        <f xml:space="preserve"> 1.667/H544 + Q544/A544 * Performance!$E$12 + Performance!$E$23 / Constraints!Q544 * Constraints!A544</f>
        <v>0.18803707647106263</v>
      </c>
      <c r="U544">
        <f xml:space="preserve"> 1.667/I544 + R544/A544 * Performance!$E$12 + Performance!$E$23 / Constraints!R544 * Constraints!A544</f>
        <v>0.17621230881525091</v>
      </c>
    </row>
    <row r="545" spans="1:21" x14ac:dyDescent="0.3">
      <c r="A545" s="51">
        <v>271.5</v>
      </c>
      <c r="B545" s="50">
        <f>$V$4*Performance!$E$12*(1/A545)+Performance!$E$23*(1/Constraints!$V$4)*Constraints!A545</f>
        <v>0.11535753959655107</v>
      </c>
      <c r="C545" s="50">
        <f>$V$5*Performance!$E$12*(1/A545)+Performance!$E$23*(1/Constraints!$V$5)*Constraints!A545</f>
        <v>0.17018410006024307</v>
      </c>
      <c r="D545" s="52">
        <f t="shared" si="34"/>
        <v>0.3964261417710791</v>
      </c>
      <c r="E545" s="52">
        <f>$V$4*Performance!$E$12*(1/A545)+Performance!$E$23*(1/Constraints!$V$9)*Constraints!A545</f>
        <v>0.11413140211063194</v>
      </c>
      <c r="F545" s="52">
        <f xml:space="preserve"> 1.21 / (9.81 * Constraints!$N$7 * Performance!$E$15 * Constraints!$N$5 ) * Constraints!A545 + 0.605 /Performance!$E$15 * (Performance!$E$16  - Constraints!$N$6 * Performance!$E$14) + Constraints!$N$6</f>
        <v>0.39627542704959995</v>
      </c>
      <c r="G545" s="54" t="s">
        <v>198</v>
      </c>
      <c r="H545" s="55">
        <f>SQRT(2/$V$3 * A545 * SQRT(Performance!$E$23 / (3 * Performance!$E$12)))</f>
        <v>20.317262938337183</v>
      </c>
      <c r="I545" s="55">
        <f>SQRT(2/$V$3 * A545 * (SQRT(Performance!$E$23)/(SQRT(3*Performance!$E$12 + 4* Performance!$E$23 * Performance!$E$11^2) - SQRT(Performance!$E$23)*Performance!$E$11)))</f>
        <v>21.372440770281766</v>
      </c>
      <c r="J545" t="e">
        <f xml:space="preserve"> $AC$3/G545 + $AC$6/A545 * Performance!$E$12 + Performance!$E$23/Constraints!$AC$6 * Constraints!A545</f>
        <v>#VALUE!</v>
      </c>
      <c r="K545">
        <f xml:space="preserve"> $AC$3/H545 + $AC$6/A545 * Performance!$E$12 + Performance!$E$23/Constraints!$AC$6 * Constraints!A545</f>
        <v>1.1235819965115343</v>
      </c>
      <c r="L545">
        <f xml:space="preserve"> $AC$3/I545 + $AC$6/A545 * Performance!$E$12 + Performance!$E$23/Constraints!$AC$6 * Constraints!A545</f>
        <v>1.1112375947573052</v>
      </c>
      <c r="M545">
        <f>SIN($AC$9 * PI()/180) + 1/Performance!$AE$5</f>
        <v>0.24073077270730886</v>
      </c>
      <c r="N545">
        <f>SIN($AC$9 * PI()/180) + 1/Performance!$AE$8</f>
        <v>0.22738716112204788</v>
      </c>
      <c r="O545" s="60">
        <f>$AC$16 * (Performance!$E$12/Constraints!A545 + Performance!$E$23 * (Constraints!$AC$13/Constraints!$AC$17)^2 * Constraints!A545)</f>
        <v>2.1327349601738799E-4</v>
      </c>
      <c r="P545" t="e">
        <f t="shared" si="35"/>
        <v>#VALUE!</v>
      </c>
      <c r="Q545">
        <f t="shared" si="36"/>
        <v>108.38605909873566</v>
      </c>
      <c r="R545">
        <f t="shared" si="37"/>
        <v>119.93647149754217</v>
      </c>
      <c r="S545" t="e">
        <f xml:space="preserve"> 1.667/G545 + P545/A545 * Performance!$E$12 + Performance!$E$23 / Constraints!P545 * Constraints!A545</f>
        <v>#VALUE!</v>
      </c>
      <c r="T545">
        <f xml:space="preserve"> 1.667/H545 + Q545/A545 * Performance!$E$12 + Performance!$E$23 / Constraints!Q545 * Constraints!A545</f>
        <v>0.18796142089636214</v>
      </c>
      <c r="U545">
        <f xml:space="preserve"> 1.667/I545 + R545/A545 * Performance!$E$12 + Performance!$E$23 / Constraints!R545 * Constraints!A545</f>
        <v>0.17614038842859681</v>
      </c>
    </row>
    <row r="546" spans="1:21" x14ac:dyDescent="0.3">
      <c r="A546" s="51">
        <v>272</v>
      </c>
      <c r="B546" s="50">
        <f>$V$4*Performance!$E$12*(1/A546)+Performance!$E$23*(1/Constraints!$V$4)*Constraints!A546</f>
        <v>0.11518506286482599</v>
      </c>
      <c r="C546" s="50">
        <f>$V$5*Performance!$E$12*(1/A546)+Performance!$E$23*(1/Constraints!$V$5)*Constraints!A546</f>
        <v>0.16989661401995826</v>
      </c>
      <c r="D546" s="52">
        <f t="shared" si="34"/>
        <v>0.3966984274833647</v>
      </c>
      <c r="E546" s="52">
        <f>$V$4*Performance!$E$12*(1/A546)+Performance!$E$23*(1/Constraints!$V$9)*Constraints!A546</f>
        <v>0.1139566672988223</v>
      </c>
      <c r="F546" s="52">
        <f xml:space="preserve"> 1.21 / (9.81 * Constraints!$N$7 * Performance!$E$15 * Constraints!$N$5 ) * Constraints!A546 + 0.605 /Performance!$E$15 * (Performance!$E$16  - Constraints!$N$6 * Performance!$E$14) + Constraints!$N$6</f>
        <v>0.39654743520254576</v>
      </c>
      <c r="G546" s="54" t="s">
        <v>198</v>
      </c>
      <c r="H546" s="55">
        <f>SQRT(2/$V$3 * A546 * SQRT(Performance!$E$23 / (3 * Performance!$E$12)))</f>
        <v>20.33596267808786</v>
      </c>
      <c r="I546" s="55">
        <f>SQRT(2/$V$3 * A546 * (SQRT(Performance!$E$23)/(SQRT(3*Performance!$E$12 + 4* Performance!$E$23 * Performance!$E$11^2) - SQRT(Performance!$E$23)*Performance!$E$11)))</f>
        <v>21.392111681735432</v>
      </c>
      <c r="J546" t="e">
        <f xml:space="preserve"> $AC$3/G546 + $AC$6/A546 * Performance!$E$12 + Performance!$E$23/Constraints!$AC$6 * Constraints!A546</f>
        <v>#VALUE!</v>
      </c>
      <c r="K546">
        <f xml:space="preserve"> $AC$3/H546 + $AC$6/A546 * Performance!$E$12 + Performance!$E$23/Constraints!$AC$6 * Constraints!A546</f>
        <v>1.124956078843679</v>
      </c>
      <c r="L546">
        <f xml:space="preserve"> $AC$3/I546 + $AC$6/A546 * Performance!$E$12 + Performance!$E$23/Constraints!$AC$6 * Constraints!A546</f>
        <v>1.1126230282658776</v>
      </c>
      <c r="M546">
        <f>SIN($AC$9 * PI()/180) + 1/Performance!$AE$5</f>
        <v>0.24073077270730886</v>
      </c>
      <c r="N546">
        <f>SIN($AC$9 * PI()/180) + 1/Performance!$AE$8</f>
        <v>0.22738716112204788</v>
      </c>
      <c r="O546" s="60">
        <f>$AC$16 * (Performance!$E$12/Constraints!A546 + Performance!$E$23 * (Constraints!$AC$13/Constraints!$AC$17)^2 * Constraints!A546)</f>
        <v>2.1333320441548946E-4</v>
      </c>
      <c r="P546" t="e">
        <f t="shared" si="35"/>
        <v>#VALUE!</v>
      </c>
      <c r="Q546">
        <f t="shared" si="36"/>
        <v>108.58566510075914</v>
      </c>
      <c r="R546">
        <f t="shared" si="37"/>
        <v>120.1573489772798</v>
      </c>
      <c r="S546" t="e">
        <f xml:space="preserve"> 1.667/G546 + P546/A546 * Performance!$E$12 + Performance!$E$23 / Constraints!P546 * Constraints!A546</f>
        <v>#VALUE!</v>
      </c>
      <c r="T546">
        <f xml:space="preserve"> 1.667/H546 + Q546/A546 * Performance!$E$12 + Performance!$E$23 / Constraints!Q546 * Constraints!A546</f>
        <v>0.18788597402676893</v>
      </c>
      <c r="U546">
        <f xml:space="preserve"> 1.667/I546 + R546/A546 * Performance!$E$12 + Performance!$E$23 / Constraints!R546 * Constraints!A546</f>
        <v>0.17606866644307934</v>
      </c>
    </row>
    <row r="547" spans="1:21" x14ac:dyDescent="0.3">
      <c r="A547" s="51">
        <v>272.5</v>
      </c>
      <c r="B547" s="50">
        <f>$V$4*Performance!$E$12*(1/A547)+Performance!$E$23*(1/Constraints!$V$4)*Constraints!A547</f>
        <v>0.11501329176143552</v>
      </c>
      <c r="C547" s="50">
        <f>$V$5*Performance!$E$12*(1/A547)+Performance!$E$23*(1/Constraints!$V$5)*Constraints!A547</f>
        <v>0.16961022953523816</v>
      </c>
      <c r="D547" s="52">
        <f t="shared" si="34"/>
        <v>0.39697071319565025</v>
      </c>
      <c r="E547" s="52">
        <f>$V$4*Performance!$E$12*(1/A547)+Performance!$E$23*(1/Constraints!$V$9)*Constraints!A547</f>
        <v>0.11378263811534726</v>
      </c>
      <c r="F547" s="52">
        <f xml:space="preserve"> 1.21 / (9.81 * Constraints!$N$7 * Performance!$E$15 * Constraints!$N$5 ) * Constraints!A547 + 0.605 /Performance!$E$15 * (Performance!$E$16  - Constraints!$N$6 * Performance!$E$14) + Constraints!$N$6</f>
        <v>0.39681944335549163</v>
      </c>
      <c r="G547" s="54" t="s">
        <v>198</v>
      </c>
      <c r="H547" s="55">
        <f>SQRT(2/$V$3 * A547 * SQRT(Performance!$E$23 / (3 * Performance!$E$12)))</f>
        <v>20.354645238461782</v>
      </c>
      <c r="I547" s="55">
        <f>SQRT(2/$V$3 * A547 * (SQRT(Performance!$E$23)/(SQRT(3*Performance!$E$12 + 4* Performance!$E$23 * Performance!$E$11^2) - SQRT(Performance!$E$23)*Performance!$E$11)))</f>
        <v>21.411764521600759</v>
      </c>
      <c r="J547" t="e">
        <f xml:space="preserve"> $AC$3/G547 + $AC$6/A547 * Performance!$E$12 + Performance!$E$23/Constraints!$AC$6 * Constraints!A547</f>
        <v>#VALUE!</v>
      </c>
      <c r="K547">
        <f xml:space="preserve"> $AC$3/H547 + $AC$6/A547 * Performance!$E$12 + Performance!$E$23/Constraints!$AC$6 * Constraints!A547</f>
        <v>1.1263308029635883</v>
      </c>
      <c r="L547">
        <f xml:space="preserve"> $AC$3/I547 + $AC$6/A547 * Performance!$E$12 + Performance!$E$23/Constraints!$AC$6 * Constraints!A547</f>
        <v>1.1140090723060956</v>
      </c>
      <c r="M547">
        <f>SIN($AC$9 * PI()/180) + 1/Performance!$AE$5</f>
        <v>0.24073077270730886</v>
      </c>
      <c r="N547">
        <f>SIN($AC$9 * PI()/180) + 1/Performance!$AE$8</f>
        <v>0.22738716112204788</v>
      </c>
      <c r="O547" s="60">
        <f>$AC$16 * (Performance!$E$12/Constraints!A547 + Performance!$E$23 * (Constraints!$AC$13/Constraints!$AC$17)^2 * Constraints!A547)</f>
        <v>2.1339352337151348E-4</v>
      </c>
      <c r="P547" t="e">
        <f t="shared" si="35"/>
        <v>#VALUE!</v>
      </c>
      <c r="Q547">
        <f t="shared" si="36"/>
        <v>108.7852711027826</v>
      </c>
      <c r="R547">
        <f t="shared" si="37"/>
        <v>120.37822645701745</v>
      </c>
      <c r="S547" t="e">
        <f xml:space="preserve"> 1.667/G547 + P547/A547 * Performance!$E$12 + Performance!$E$23 / Constraints!P547 * Constraints!A547</f>
        <v>#VALUE!</v>
      </c>
      <c r="T547">
        <f xml:space="preserve"> 1.667/H547 + Q547/A547 * Performance!$E$12 + Performance!$E$23 / Constraints!Q547 * Constraints!A547</f>
        <v>0.1878107349044803</v>
      </c>
      <c r="U547">
        <f xml:space="preserve"> 1.667/I547 + R547/A547 * Performance!$E$12 + Performance!$E$23 / Constraints!R547 * Constraints!A547</f>
        <v>0.17599714194818339</v>
      </c>
    </row>
    <row r="548" spans="1:21" x14ac:dyDescent="0.3">
      <c r="A548" s="51">
        <v>273</v>
      </c>
      <c r="B548" s="50">
        <f>$V$4*Performance!$E$12*(1/A548)+Performance!$E$23*(1/Constraints!$V$4)*Constraints!A548</f>
        <v>0.11484222240930089</v>
      </c>
      <c r="C548" s="50">
        <f>$V$5*Performance!$E$12*(1/A548)+Performance!$E$23*(1/Constraints!$V$5)*Constraints!A548</f>
        <v>0.16932494055357966</v>
      </c>
      <c r="D548" s="52">
        <f t="shared" si="34"/>
        <v>0.39724299890793591</v>
      </c>
      <c r="E548" s="52">
        <f>$V$4*Performance!$E$12*(1/A548)+Performance!$E$23*(1/Constraints!$V$9)*Constraints!A548</f>
        <v>0.11360931068312807</v>
      </c>
      <c r="F548" s="52">
        <f xml:space="preserve"> 1.21 / (9.81 * Constraints!$N$7 * Performance!$E$15 * Constraints!$N$5 ) * Constraints!A548 + 0.605 /Performance!$E$15 * (Performance!$E$16  - Constraints!$N$6 * Performance!$E$14) + Constraints!$N$6</f>
        <v>0.3970914515084375</v>
      </c>
      <c r="G548" s="54" t="s">
        <v>198</v>
      </c>
      <c r="H548" s="55">
        <f>SQRT(2/$V$3 * A548 * SQRT(Performance!$E$23 / (3 * Performance!$E$12)))</f>
        <v>20.373310666720013</v>
      </c>
      <c r="I548" s="55">
        <f>SQRT(2/$V$3 * A548 * (SQRT(Performance!$E$23)/(SQRT(3*Performance!$E$12 + 4* Performance!$E$23 * Performance!$E$11^2) - SQRT(Performance!$E$23)*Performance!$E$11)))</f>
        <v>21.431399339593309</v>
      </c>
      <c r="J548" t="e">
        <f xml:space="preserve"> $AC$3/G548 + $AC$6/A548 * Performance!$E$12 + Performance!$E$23/Constraints!$AC$6 * Constraints!A548</f>
        <v>#VALUE!</v>
      </c>
      <c r="K548">
        <f xml:space="preserve"> $AC$3/H548 + $AC$6/A548 * Performance!$E$12 + Performance!$E$23/Constraints!$AC$6 * Constraints!A548</f>
        <v>1.1277061659233762</v>
      </c>
      <c r="L548">
        <f xml:space="preserve"> $AC$3/I548 + $AC$6/A548 * Performance!$E$12 + Performance!$E$23/Constraints!$AC$6 * Constraints!A548</f>
        <v>1.1153957240732535</v>
      </c>
      <c r="M548">
        <f>SIN($AC$9 * PI()/180) + 1/Performance!$AE$5</f>
        <v>0.24073077270730886</v>
      </c>
      <c r="N548">
        <f>SIN($AC$9 * PI()/180) + 1/Performance!$AE$8</f>
        <v>0.22738716112204788</v>
      </c>
      <c r="O548" s="60">
        <f>$AC$16 * (Performance!$E$12/Constraints!A548 + Performance!$E$23 * (Constraints!$AC$13/Constraints!$AC$17)^2 * Constraints!A548)</f>
        <v>2.1345444953074625E-4</v>
      </c>
      <c r="P548" t="e">
        <f t="shared" si="35"/>
        <v>#VALUE!</v>
      </c>
      <c r="Q548">
        <f t="shared" si="36"/>
        <v>108.98487710480606</v>
      </c>
      <c r="R548">
        <f t="shared" si="37"/>
        <v>120.59910393675513</v>
      </c>
      <c r="S548" t="e">
        <f xml:space="preserve"> 1.667/G548 + P548/A548 * Performance!$E$12 + Performance!$E$23 / Constraints!P548 * Constraints!A548</f>
        <v>#VALUE!</v>
      </c>
      <c r="T548">
        <f xml:space="preserve"> 1.667/H548 + Q548/A548 * Performance!$E$12 + Performance!$E$23 / Constraints!Q548 * Constraints!A548</f>
        <v>0.18773570257783612</v>
      </c>
      <c r="U548">
        <f xml:space="preserve"> 1.667/I548 + R548/A548 * Performance!$E$12 + Performance!$E$23 / Constraints!R548 * Constraints!A548</f>
        <v>0.17592581403923324</v>
      </c>
    </row>
    <row r="549" spans="1:21" x14ac:dyDescent="0.3">
      <c r="A549" s="51">
        <v>273.5</v>
      </c>
      <c r="B549" s="50">
        <f>$V$4*Performance!$E$12*(1/A549)+Performance!$E$23*(1/Constraints!$V$4)*Constraints!A549</f>
        <v>0.11467185095969494</v>
      </c>
      <c r="C549" s="50">
        <f>$V$5*Performance!$E$12*(1/A549)+Performance!$E$23*(1/Constraints!$V$5)*Constraints!A549</f>
        <v>0.1690407410667393</v>
      </c>
      <c r="D549" s="52">
        <f t="shared" si="34"/>
        <v>0.39751528462022145</v>
      </c>
      <c r="E549" s="52">
        <f>$V$4*Performance!$E$12*(1/A549)+Performance!$E$23*(1/Constraints!$V$9)*Constraints!A549</f>
        <v>0.11343668115343754</v>
      </c>
      <c r="F549" s="52">
        <f xml:space="preserve"> 1.21 / (9.81 * Constraints!$N$7 * Performance!$E$15 * Constraints!$N$5 ) * Constraints!A549 + 0.605 /Performance!$E$15 * (Performance!$E$16  - Constraints!$N$6 * Performance!$E$14) + Constraints!$N$6</f>
        <v>0.39736345966138337</v>
      </c>
      <c r="G549" s="54" t="s">
        <v>198</v>
      </c>
      <c r="H549" s="55">
        <f>SQRT(2/$V$3 * A549 * SQRT(Performance!$E$23 / (3 * Performance!$E$12)))</f>
        <v>20.39195900990731</v>
      </c>
      <c r="I549" s="55">
        <f>SQRT(2/$V$3 * A549 * (SQRT(Performance!$E$23)/(SQRT(3*Performance!$E$12 + 4* Performance!$E$23 * Performance!$E$11^2) - SQRT(Performance!$E$23)*Performance!$E$11)))</f>
        <v>21.451016185201109</v>
      </c>
      <c r="J549" t="e">
        <f xml:space="preserve"> $AC$3/G549 + $AC$6/A549 * Performance!$E$12 + Performance!$E$23/Constraints!$AC$6 * Constraints!A549</f>
        <v>#VALUE!</v>
      </c>
      <c r="K549">
        <f xml:space="preserve"> $AC$3/H549 + $AC$6/A549 * Performance!$E$12 + Performance!$E$23/Constraints!$AC$6 * Constraints!A549</f>
        <v>1.1290821647940721</v>
      </c>
      <c r="L549">
        <f xml:space="preserve"> $AC$3/I549 + $AC$6/A549 * Performance!$E$12 + Performance!$E$23/Constraints!$AC$6 * Constraints!A549</f>
        <v>1.1167829807806435</v>
      </c>
      <c r="M549">
        <f>SIN($AC$9 * PI()/180) + 1/Performance!$AE$5</f>
        <v>0.24073077270730886</v>
      </c>
      <c r="N549">
        <f>SIN($AC$9 * PI()/180) + 1/Performance!$AE$8</f>
        <v>0.22738716112204788</v>
      </c>
      <c r="O549" s="60">
        <f>$AC$16 * (Performance!$E$12/Constraints!A549 + Performance!$E$23 * (Constraints!$AC$13/Constraints!$AC$17)^2 * Constraints!A549)</f>
        <v>2.1351597956300553E-4</v>
      </c>
      <c r="P549" t="e">
        <f t="shared" si="35"/>
        <v>#VALUE!</v>
      </c>
      <c r="Q549">
        <f t="shared" si="36"/>
        <v>109.18448310682949</v>
      </c>
      <c r="R549">
        <f t="shared" si="37"/>
        <v>120.81998141649277</v>
      </c>
      <c r="S549" t="e">
        <f xml:space="preserve"> 1.667/G549 + P549/A549 * Performance!$E$12 + Performance!$E$23 / Constraints!P549 * Constraints!A549</f>
        <v>#VALUE!</v>
      </c>
      <c r="T549">
        <f xml:space="preserve"> 1.667/H549 + Q549/A549 * Performance!$E$12 + Performance!$E$23 / Constraints!Q549 * Constraints!A549</f>
        <v>0.1876608761012683</v>
      </c>
      <c r="U549">
        <f xml:space="preserve"> 1.667/I549 + R549/A549 * Performance!$E$12 + Performance!$E$23 / Constraints!R549 * Constraints!A549</f>
        <v>0.17585468181734437</v>
      </c>
    </row>
    <row r="550" spans="1:21" x14ac:dyDescent="0.3">
      <c r="A550" s="51">
        <v>274</v>
      </c>
      <c r="B550" s="50">
        <f>$V$4*Performance!$E$12*(1/A550)+Performance!$E$23*(1/Constraints!$V$4)*Constraints!A550</f>
        <v>0.11450217359198335</v>
      </c>
      <c r="C550" s="50">
        <f>$V$5*Performance!$E$12*(1/A550)+Performance!$E$23*(1/Constraints!$V$5)*Constraints!A550</f>
        <v>0.16875762511032938</v>
      </c>
      <c r="D550" s="52">
        <f t="shared" si="34"/>
        <v>0.39778757033250711</v>
      </c>
      <c r="E550" s="52">
        <f>$V$4*Performance!$E$12*(1/A550)+Performance!$E$23*(1/Constraints!$V$9)*Constraints!A550</f>
        <v>0.11326474570564139</v>
      </c>
      <c r="F550" s="52">
        <f xml:space="preserve"> 1.21 / (9.81 * Constraints!$N$7 * Performance!$E$15 * Constraints!$N$5 ) * Constraints!A550 + 0.605 /Performance!$E$15 * (Performance!$E$16  - Constraints!$N$6 * Performance!$E$14) + Constraints!$N$6</f>
        <v>0.39763546781432924</v>
      </c>
      <c r="G550" s="54" t="s">
        <v>198</v>
      </c>
      <c r="H550" s="55">
        <f>SQRT(2/$V$3 * A550 * SQRT(Performance!$E$23 / (3 * Performance!$E$12)))</f>
        <v>20.410590314853522</v>
      </c>
      <c r="I550" s="55">
        <f>SQRT(2/$V$3 * A550 * (SQRT(Performance!$E$23)/(SQRT(3*Performance!$E$12 + 4* Performance!$E$23 * Performance!$E$11^2) - SQRT(Performance!$E$23)*Performance!$E$11)))</f>
        <v>21.470615107686115</v>
      </c>
      <c r="J550" t="e">
        <f xml:space="preserve"> $AC$3/G550 + $AC$6/A550 * Performance!$E$12 + Performance!$E$23/Constraints!$AC$6 * Constraints!A550</f>
        <v>#VALUE!</v>
      </c>
      <c r="K550">
        <f xml:space="preserve"> $AC$3/H550 + $AC$6/A550 * Performance!$E$12 + Performance!$E$23/Constraints!$AC$6 * Constraints!A550</f>
        <v>1.1304587966654631</v>
      </c>
      <c r="L550">
        <f xml:space="preserve"> $AC$3/I550 + $AC$6/A550 * Performance!$E$12 + Performance!$E$23/Constraints!$AC$6 * Constraints!A550</f>
        <v>1.1181708396594072</v>
      </c>
      <c r="M550">
        <f>SIN($AC$9 * PI()/180) + 1/Performance!$AE$5</f>
        <v>0.24073077270730886</v>
      </c>
      <c r="N550">
        <f>SIN($AC$9 * PI()/180) + 1/Performance!$AE$8</f>
        <v>0.22738716112204788</v>
      </c>
      <c r="O550" s="60">
        <f>$AC$16 * (Performance!$E$12/Constraints!A550 + Performance!$E$23 * (Constraints!$AC$13/Constraints!$AC$17)^2 * Constraints!A550)</f>
        <v>2.1357811016241716E-4</v>
      </c>
      <c r="P550" t="e">
        <f t="shared" si="35"/>
        <v>#VALUE!</v>
      </c>
      <c r="Q550">
        <f t="shared" si="36"/>
        <v>109.38408910885293</v>
      </c>
      <c r="R550">
        <f t="shared" si="37"/>
        <v>121.04085889623039</v>
      </c>
      <c r="S550" t="e">
        <f xml:space="preserve"> 1.667/G550 + P550/A550 * Performance!$E$12 + Performance!$E$23 / Constraints!P550 * Constraints!A550</f>
        <v>#VALUE!</v>
      </c>
      <c r="T550">
        <f xml:space="preserve"> 1.667/H550 + Q550/A550 * Performance!$E$12 + Performance!$E$23 / Constraints!Q550 * Constraints!A550</f>
        <v>0.18758625453525068</v>
      </c>
      <c r="U550">
        <f xml:space="preserve"> 1.667/I550 + R550/A550 * Performance!$E$12 + Performance!$E$23 / Constraints!R550 * Constraints!A550</f>
        <v>0.175783744389376</v>
      </c>
    </row>
    <row r="551" spans="1:21" x14ac:dyDescent="0.3">
      <c r="A551" s="51">
        <v>274.5</v>
      </c>
      <c r="B551" s="50">
        <f>$V$4*Performance!$E$12*(1/A551)+Performance!$E$23*(1/Constraints!$V$4)*Constraints!A551</f>
        <v>0.11433318651336893</v>
      </c>
      <c r="C551" s="50">
        <f>$V$5*Performance!$E$12*(1/A551)+Performance!$E$23*(1/Constraints!$V$5)*Constraints!A551</f>
        <v>0.16847558676341859</v>
      </c>
      <c r="D551" s="52">
        <f t="shared" si="34"/>
        <v>0.39805985604479266</v>
      </c>
      <c r="E551" s="52">
        <f>$V$4*Performance!$E$12*(1/A551)+Performance!$E$23*(1/Constraints!$V$9)*Constraints!A551</f>
        <v>0.11309350054694241</v>
      </c>
      <c r="F551" s="52">
        <f xml:space="preserve"> 1.21 / (9.81 * Constraints!$N$7 * Performance!$E$15 * Constraints!$N$5 ) * Constraints!A551 + 0.605 /Performance!$E$15 * (Performance!$E$16  - Constraints!$N$6 * Performance!$E$14) + Constraints!$N$6</f>
        <v>0.39790747596727505</v>
      </c>
      <c r="G551" s="54" t="s">
        <v>198</v>
      </c>
      <c r="H551" s="55">
        <f>SQRT(2/$V$3 * A551 * SQRT(Performance!$E$23 / (3 * Performance!$E$12)))</f>
        <v>20.429204628174954</v>
      </c>
      <c r="I551" s="55">
        <f>SQRT(2/$V$3 * A551 * (SQRT(Performance!$E$23)/(SQRT(3*Performance!$E$12 + 4* Performance!$E$23 * Performance!$E$11^2) - SQRT(Performance!$E$23)*Performance!$E$11)))</f>
        <v>21.490196156085656</v>
      </c>
      <c r="J551" t="e">
        <f xml:space="preserve"> $AC$3/G551 + $AC$6/A551 * Performance!$E$12 + Performance!$E$23/Constraints!$AC$6 * Constraints!A551</f>
        <v>#VALUE!</v>
      </c>
      <c r="K551">
        <f xml:space="preserve"> $AC$3/H551 + $AC$6/A551 * Performance!$E$12 + Performance!$E$23/Constraints!$AC$6 * Constraints!A551</f>
        <v>1.1318360586459413</v>
      </c>
      <c r="L551">
        <f xml:space="preserve"> $AC$3/I551 + $AC$6/A551 * Performance!$E$12 + Performance!$E$23/Constraints!$AC$6 * Constraints!A551</f>
        <v>1.119559297958389</v>
      </c>
      <c r="M551">
        <f>SIN($AC$9 * PI()/180) + 1/Performance!$AE$5</f>
        <v>0.24073077270730886</v>
      </c>
      <c r="N551">
        <f>SIN($AC$9 * PI()/180) + 1/Performance!$AE$8</f>
        <v>0.22738716112204788</v>
      </c>
      <c r="O551" s="60">
        <f>$AC$16 * (Performance!$E$12/Constraints!A551 + Performance!$E$23 * (Constraints!$AC$13/Constraints!$AC$17)^2 * Constraints!A551)</f>
        <v>2.136408380471934E-4</v>
      </c>
      <c r="P551" t="e">
        <f t="shared" si="35"/>
        <v>#VALUE!</v>
      </c>
      <c r="Q551">
        <f t="shared" si="36"/>
        <v>109.58369511087641</v>
      </c>
      <c r="R551">
        <f t="shared" si="37"/>
        <v>121.26173637596804</v>
      </c>
      <c r="S551" t="e">
        <f xml:space="preserve"> 1.667/G551 + P551/A551 * Performance!$E$12 + Performance!$E$23 / Constraints!P551 * Constraints!A551</f>
        <v>#VALUE!</v>
      </c>
      <c r="T551">
        <f xml:space="preserve"> 1.667/H551 + Q551/A551 * Performance!$E$12 + Performance!$E$23 / Constraints!Q551 * Constraints!A551</f>
        <v>0.18751183694624954</v>
      </c>
      <c r="U551">
        <f xml:space="preserve"> 1.667/I551 + R551/A551 * Performance!$E$12 + Performance!$E$23 / Constraints!R551 * Constraints!A551</f>
        <v>0.17571300086788383</v>
      </c>
    </row>
    <row r="552" spans="1:21" x14ac:dyDescent="0.3">
      <c r="A552" s="51">
        <v>275</v>
      </c>
      <c r="B552" s="50">
        <f>$V$4*Performance!$E$12*(1/A552)+Performance!$E$23*(1/Constraints!$V$4)*Constraints!A552</f>
        <v>0.11416488595863838</v>
      </c>
      <c r="C552" s="50">
        <f>$V$5*Performance!$E$12*(1/A552)+Performance!$E$23*(1/Constraints!$V$5)*Constraints!A552</f>
        <v>0.16819462014813691</v>
      </c>
      <c r="D552" s="52">
        <f t="shared" si="34"/>
        <v>0.39833214175707826</v>
      </c>
      <c r="E552" s="52">
        <f>$V$4*Performance!$E$12*(1/A552)+Performance!$E$23*(1/Constraints!$V$9)*Constraints!A552</f>
        <v>0.1129229419121273</v>
      </c>
      <c r="F552" s="52">
        <f xml:space="preserve"> 1.21 / (9.81 * Constraints!$N$7 * Performance!$E$15 * Constraints!$N$5 ) * Constraints!A552 + 0.605 /Performance!$E$15 * (Performance!$E$16  - Constraints!$N$6 * Performance!$E$14) + Constraints!$N$6</f>
        <v>0.39817948412022092</v>
      </c>
      <c r="G552" s="54" t="s">
        <v>198</v>
      </c>
      <c r="H552" s="55">
        <f>SQRT(2/$V$3 * A552 * SQRT(Performance!$E$23 / (3 * Performance!$E$12)))</f>
        <v>20.447801996275725</v>
      </c>
      <c r="I552" s="55">
        <f>SQRT(2/$V$3 * A552 * (SQRT(Performance!$E$23)/(SQRT(3*Performance!$E$12 + 4* Performance!$E$23 * Performance!$E$11^2) - SQRT(Performance!$E$23)*Performance!$E$11)))</f>
        <v>21.509759379213847</v>
      </c>
      <c r="J552" t="e">
        <f xml:space="preserve"> $AC$3/G552 + $AC$6/A552 * Performance!$E$12 + Performance!$E$23/Constraints!$AC$6 * Constraints!A552</f>
        <v>#VALUE!</v>
      </c>
      <c r="K552">
        <f xml:space="preserve"> $AC$3/H552 + $AC$6/A552 * Performance!$E$12 + Performance!$E$23/Constraints!$AC$6 * Constraints!A552</f>
        <v>1.1332139478623504</v>
      </c>
      <c r="L552">
        <f xml:space="preserve"> $AC$3/I552 + $AC$6/A552 * Performance!$E$12 + Performance!$E$23/Constraints!$AC$6 * Constraints!A552</f>
        <v>1.120948352943991</v>
      </c>
      <c r="M552">
        <f>SIN($AC$9 * PI()/180) + 1/Performance!$AE$5</f>
        <v>0.24073077270730886</v>
      </c>
      <c r="N552">
        <f>SIN($AC$9 * PI()/180) + 1/Performance!$AE$8</f>
        <v>0.22738716112204788</v>
      </c>
      <c r="O552" s="60">
        <f>$AC$16 * (Performance!$E$12/Constraints!A552 + Performance!$E$23 * (Constraints!$AC$13/Constraints!$AC$17)^2 * Constraints!A552)</f>
        <v>2.1370415995941415E-4</v>
      </c>
      <c r="P552" t="e">
        <f t="shared" si="35"/>
        <v>#VALUE!</v>
      </c>
      <c r="Q552">
        <f t="shared" si="36"/>
        <v>109.78330111289985</v>
      </c>
      <c r="R552">
        <f t="shared" si="37"/>
        <v>121.48261385570567</v>
      </c>
      <c r="S552" t="e">
        <f xml:space="preserve"> 1.667/G552 + P552/A552 * Performance!$E$12 + Performance!$E$23 / Constraints!P552 * Constraints!A552</f>
        <v>#VALUE!</v>
      </c>
      <c r="T552">
        <f xml:space="preserve"> 1.667/H552 + Q552/A552 * Performance!$E$12 + Performance!$E$23 / Constraints!Q552 * Constraints!A552</f>
        <v>0.18743762240667455</v>
      </c>
      <c r="U552">
        <f xml:space="preserve"> 1.667/I552 + R552/A552 * Performance!$E$12 + Performance!$E$23 / Constraints!R552 * Constraints!A552</f>
        <v>0.17564245037107351</v>
      </c>
    </row>
    <row r="553" spans="1:21" x14ac:dyDescent="0.3">
      <c r="A553" s="51">
        <v>275.5</v>
      </c>
      <c r="B553" s="50">
        <f>$V$4*Performance!$E$12*(1/A553)+Performance!$E$23*(1/Constraints!$V$4)*Constraints!A553</f>
        <v>0.11399726818991217</v>
      </c>
      <c r="C553" s="50">
        <f>$V$5*Performance!$E$12*(1/A553)+Performance!$E$23*(1/Constraints!$V$5)*Constraints!A553</f>
        <v>0.16791471942928493</v>
      </c>
      <c r="D553" s="52">
        <f t="shared" si="34"/>
        <v>0.39860442746936386</v>
      </c>
      <c r="E553" s="52">
        <f>$V$4*Performance!$E$12*(1/A553)+Performance!$E$23*(1/Constraints!$V$9)*Constraints!A553</f>
        <v>0.11275306606331652</v>
      </c>
      <c r="F553" s="52">
        <f xml:space="preserve"> 1.21 / (9.81 * Constraints!$N$7 * Performance!$E$15 * Constraints!$N$5 ) * Constraints!A553 + 0.605 /Performance!$E$15 * (Performance!$E$16  - Constraints!$N$6 * Performance!$E$14) + Constraints!$N$6</f>
        <v>0.39845149227316679</v>
      </c>
      <c r="G553" s="54" t="s">
        <v>198</v>
      </c>
      <c r="H553" s="55">
        <f>SQRT(2/$V$3 * A553 * SQRT(Performance!$E$23 / (3 * Performance!$E$12)))</f>
        <v>20.466382465349124</v>
      </c>
      <c r="I553" s="55">
        <f>SQRT(2/$V$3 * A553 * (SQRT(Performance!$E$23)/(SQRT(3*Performance!$E$12 + 4* Performance!$E$23 * Performance!$E$11^2) - SQRT(Performance!$E$23)*Performance!$E$11)))</f>
        <v>21.529304825663033</v>
      </c>
      <c r="J553" t="e">
        <f xml:space="preserve"> $AC$3/G553 + $AC$6/A553 * Performance!$E$12 + Performance!$E$23/Constraints!$AC$6 * Constraints!A553</f>
        <v>#VALUE!</v>
      </c>
      <c r="K553">
        <f xml:space="preserve"> $AC$3/H553 + $AC$6/A553 * Performance!$E$12 + Performance!$E$23/Constraints!$AC$6 * Constraints!A553</f>
        <v>1.1345924614598353</v>
      </c>
      <c r="L553">
        <f xml:space="preserve"> $AC$3/I553 + $AC$6/A553 * Performance!$E$12 + Performance!$E$23/Constraints!$AC$6 * Constraints!A553</f>
        <v>1.1223380019000293</v>
      </c>
      <c r="M553">
        <f>SIN($AC$9 * PI()/180) + 1/Performance!$AE$5</f>
        <v>0.24073077270730886</v>
      </c>
      <c r="N553">
        <f>SIN($AC$9 * PI()/180) + 1/Performance!$AE$8</f>
        <v>0.22738716112204788</v>
      </c>
      <c r="O553" s="60">
        <f>$AC$16 * (Performance!$E$12/Constraints!A553 + Performance!$E$23 * (Constraints!$AC$13/Constraints!$AC$17)^2 * Constraints!A553)</f>
        <v>2.137680726648101E-4</v>
      </c>
      <c r="P553" t="e">
        <f t="shared" si="35"/>
        <v>#VALUE!</v>
      </c>
      <c r="Q553">
        <f t="shared" si="36"/>
        <v>109.98290711492331</v>
      </c>
      <c r="R553">
        <f t="shared" si="37"/>
        <v>121.70349133544335</v>
      </c>
      <c r="S553" t="e">
        <f xml:space="preserve"> 1.667/G553 + P553/A553 * Performance!$E$12 + Performance!$E$23 / Constraints!P553 * Constraints!A553</f>
        <v>#VALUE!</v>
      </c>
      <c r="T553">
        <f xml:space="preserve"> 1.667/H553 + Q553/A553 * Performance!$E$12 + Performance!$E$23 / Constraints!Q553 * Constraints!A553</f>
        <v>0.1873636099948302</v>
      </c>
      <c r="U553">
        <f xml:space="preserve"> 1.667/I553 + R553/A553 * Performance!$E$12 + Performance!$E$23 / Constraints!R553 * Constraints!A553</f>
        <v>0.17557209202275448</v>
      </c>
    </row>
    <row r="554" spans="1:21" x14ac:dyDescent="0.3">
      <c r="A554" s="51">
        <v>276</v>
      </c>
      <c r="B554" s="50">
        <f>$V$4*Performance!$E$12*(1/A554)+Performance!$E$23*(1/Constraints!$V$4)*Constraints!A554</f>
        <v>0.11383032949639675</v>
      </c>
      <c r="C554" s="50">
        <f>$V$5*Performance!$E$12*(1/A554)+Performance!$E$23*(1/Constraints!$V$5)*Constraints!A554</f>
        <v>0.16763587881394729</v>
      </c>
      <c r="D554" s="52">
        <f t="shared" si="34"/>
        <v>0.39887671318164947</v>
      </c>
      <c r="E554" s="52">
        <f>$V$4*Performance!$E$12*(1/A554)+Performance!$E$23*(1/Constraints!$V$9)*Constraints!A554</f>
        <v>0.11258386928971653</v>
      </c>
      <c r="F554" s="52">
        <f xml:space="preserve"> 1.21 / (9.81 * Constraints!$N$7 * Performance!$E$15 * Constraints!$N$5 ) * Constraints!A554 + 0.605 /Performance!$E$15 * (Performance!$E$16  - Constraints!$N$6 * Performance!$E$14) + Constraints!$N$6</f>
        <v>0.3987235004261126</v>
      </c>
      <c r="G554" s="54" t="s">
        <v>198</v>
      </c>
      <c r="H554" s="55">
        <f>SQRT(2/$V$3 * A554 * SQRT(Performance!$E$23 / (3 * Performance!$E$12)))</f>
        <v>20.484946081378947</v>
      </c>
      <c r="I554" s="55">
        <f>SQRT(2/$V$3 * A554 * (SQRT(Performance!$E$23)/(SQRT(3*Performance!$E$12 + 4* Performance!$E$23 * Performance!$E$11^2) - SQRT(Performance!$E$23)*Performance!$E$11)))</f>
        <v>21.548832543805176</v>
      </c>
      <c r="J554" t="e">
        <f xml:space="preserve"> $AC$3/G554 + $AC$6/A554 * Performance!$E$12 + Performance!$E$23/Constraints!$AC$6 * Constraints!A554</f>
        <v>#VALUE!</v>
      </c>
      <c r="K554">
        <f xml:space="preserve"> $AC$3/H554 + $AC$6/A554 * Performance!$E$12 + Performance!$E$23/Constraints!$AC$6 * Constraints!A554</f>
        <v>1.1359715966016917</v>
      </c>
      <c r="L554">
        <f xml:space="preserve"> $AC$3/I554 + $AC$6/A554 * Performance!$E$12 + Performance!$E$23/Constraints!$AC$6 * Constraints!A554</f>
        <v>1.123728242127592</v>
      </c>
      <c r="M554">
        <f>SIN($AC$9 * PI()/180) + 1/Performance!$AE$5</f>
        <v>0.24073077270730886</v>
      </c>
      <c r="N554">
        <f>SIN($AC$9 * PI()/180) + 1/Performance!$AE$8</f>
        <v>0.22738716112204788</v>
      </c>
      <c r="O554" s="60">
        <f>$AC$16 * (Performance!$E$12/Constraints!A554 + Performance!$E$23 * (Constraints!$AC$13/Constraints!$AC$17)^2 * Constraints!A554)</f>
        <v>2.1383257295254883E-4</v>
      </c>
      <c r="P554" t="e">
        <f t="shared" si="35"/>
        <v>#VALUE!</v>
      </c>
      <c r="Q554">
        <f t="shared" si="36"/>
        <v>110.18251311694678</v>
      </c>
      <c r="R554">
        <f t="shared" si="37"/>
        <v>121.92436881518101</v>
      </c>
      <c r="S554" t="e">
        <f xml:space="preserve"> 1.667/G554 + P554/A554 * Performance!$E$12 + Performance!$E$23 / Constraints!P554 * Constraints!A554</f>
        <v>#VALUE!</v>
      </c>
      <c r="T554">
        <f xml:space="preserve"> 1.667/H554 + Q554/A554 * Performance!$E$12 + Performance!$E$23 / Constraints!Q554 * Constraints!A554</f>
        <v>0.18728979879486768</v>
      </c>
      <c r="U554">
        <f xml:space="preserve"> 1.667/I554 + R554/A554 * Performance!$E$12 + Performance!$E$23 / Constraints!R554 * Constraints!A554</f>
        <v>0.17550192495229439</v>
      </c>
    </row>
    <row r="555" spans="1:21" x14ac:dyDescent="0.3">
      <c r="A555" s="51">
        <v>276.5</v>
      </c>
      <c r="B555" s="50">
        <f>$V$4*Performance!$E$12*(1/A555)+Performance!$E$23*(1/Constraints!$V$4)*Constraints!A555</f>
        <v>0.11366406619413978</v>
      </c>
      <c r="C555" s="50">
        <f>$V$5*Performance!$E$12*(1/A555)+Performance!$E$23*(1/Constraints!$V$5)*Constraints!A555</f>
        <v>0.16735809255111028</v>
      </c>
      <c r="D555" s="52">
        <f t="shared" si="34"/>
        <v>0.39914899889393507</v>
      </c>
      <c r="E555" s="52">
        <f>$V$4*Performance!$E$12*(1/A555)+Performance!$E$23*(1/Constraints!$V$9)*Constraints!A555</f>
        <v>0.11241534790737499</v>
      </c>
      <c r="F555" s="52">
        <f xml:space="preserve"> 1.21 / (9.81 * Constraints!$N$7 * Performance!$E$15 * Constraints!$N$5 ) * Constraints!A555 + 0.605 /Performance!$E$15 * (Performance!$E$16  - Constraints!$N$6 * Performance!$E$14) + Constraints!$N$6</f>
        <v>0.39899550857905852</v>
      </c>
      <c r="G555" s="54" t="s">
        <v>198</v>
      </c>
      <c r="H555" s="55">
        <f>SQRT(2/$V$3 * A555 * SQRT(Performance!$E$23 / (3 * Performance!$E$12)))</f>
        <v>20.503492890140819</v>
      </c>
      <c r="I555" s="55">
        <f>SQRT(2/$V$3 * A555 * (SQRT(Performance!$E$23)/(SQRT(3*Performance!$E$12 + 4* Performance!$E$23 * Performance!$E$11^2) - SQRT(Performance!$E$23)*Performance!$E$11)))</f>
        <v>21.56834258179326</v>
      </c>
      <c r="J555" t="e">
        <f xml:space="preserve"> $AC$3/G555 + $AC$6/A555 * Performance!$E$12 + Performance!$E$23/Constraints!$AC$6 * Constraints!A555</f>
        <v>#VALUE!</v>
      </c>
      <c r="K555">
        <f xml:space="preserve"> $AC$3/H555 + $AC$6/A555 * Performance!$E$12 + Performance!$E$23/Constraints!$AC$6 * Constraints!A555</f>
        <v>1.137351350469219</v>
      </c>
      <c r="L555">
        <f xml:space="preserve"> $AC$3/I555 + $AC$6/A555 * Performance!$E$12 + Performance!$E$23/Constraints!$AC$6 * Constraints!A555</f>
        <v>1.1251190709448975</v>
      </c>
      <c r="M555">
        <f>SIN($AC$9 * PI()/180) + 1/Performance!$AE$5</f>
        <v>0.24073077270730886</v>
      </c>
      <c r="N555">
        <f>SIN($AC$9 * PI()/180) + 1/Performance!$AE$8</f>
        <v>0.22738716112204788</v>
      </c>
      <c r="O555" s="60">
        <f>$AC$16 * (Performance!$E$12/Constraints!A555 + Performance!$E$23 * (Constraints!$AC$13/Constraints!$AC$17)^2 * Constraints!A555)</f>
        <v>2.1389765763502272E-4</v>
      </c>
      <c r="P555" t="e">
        <f t="shared" si="35"/>
        <v>#VALUE!</v>
      </c>
      <c r="Q555">
        <f t="shared" si="36"/>
        <v>110.38211911897022</v>
      </c>
      <c r="R555">
        <f t="shared" si="37"/>
        <v>122.14524629491864</v>
      </c>
      <c r="S555" t="e">
        <f xml:space="preserve"> 1.667/G555 + P555/A555 * Performance!$E$12 + Performance!$E$23 / Constraints!P555 * Constraints!A555</f>
        <v>#VALUE!</v>
      </c>
      <c r="T555">
        <f xml:space="preserve"> 1.667/H555 + Q555/A555 * Performance!$E$12 + Performance!$E$23 / Constraints!Q555 * Constraints!A555</f>
        <v>0.18721618789673736</v>
      </c>
      <c r="U555">
        <f xml:space="preserve"> 1.667/I555 + R555/A555 * Performance!$E$12 + Performance!$E$23 / Constraints!R555 * Constraints!A555</f>
        <v>0.17543194829457354</v>
      </c>
    </row>
    <row r="556" spans="1:21" x14ac:dyDescent="0.3">
      <c r="A556" s="51">
        <v>277</v>
      </c>
      <c r="B556" s="50">
        <f>$V$4*Performance!$E$12*(1/A556)+Performance!$E$23*(1/Constraints!$V$4)*Constraints!A556</f>
        <v>0.11349847462578795</v>
      </c>
      <c r="C556" s="50">
        <f>$V$5*Performance!$E$12*(1/A556)+Performance!$E$23*(1/Constraints!$V$5)*Constraints!A556</f>
        <v>0.16708135493128393</v>
      </c>
      <c r="D556" s="52">
        <f t="shared" si="34"/>
        <v>0.39942128460622062</v>
      </c>
      <c r="E556" s="52">
        <f>$V$4*Performance!$E$12*(1/A556)+Performance!$E$23*(1/Constraints!$V$9)*Constraints!A556</f>
        <v>0.11224749825893859</v>
      </c>
      <c r="F556" s="52">
        <f xml:space="preserve"> 1.21 / (9.81 * Constraints!$N$7 * Performance!$E$15 * Constraints!$N$5 ) * Constraints!A556 + 0.605 /Performance!$E$15 * (Performance!$E$16  - Constraints!$N$6 * Performance!$E$14) + Constraints!$N$6</f>
        <v>0.39926751673200434</v>
      </c>
      <c r="G556" s="54" t="s">
        <v>198</v>
      </c>
      <c r="H556" s="55">
        <f>SQRT(2/$V$3 * A556 * SQRT(Performance!$E$23 / (3 * Performance!$E$12)))</f>
        <v>20.522022937203527</v>
      </c>
      <c r="I556" s="55">
        <f>SQRT(2/$V$3 * A556 * (SQRT(Performance!$E$23)/(SQRT(3*Performance!$E$12 + 4* Performance!$E$23 * Performance!$E$11^2) - SQRT(Performance!$E$23)*Performance!$E$11)))</f>
        <v>21.587834987562687</v>
      </c>
      <c r="J556" t="e">
        <f xml:space="preserve"> $AC$3/G556 + $AC$6/A556 * Performance!$E$12 + Performance!$E$23/Constraints!$AC$6 * Constraints!A556</f>
        <v>#VALUE!</v>
      </c>
      <c r="K556">
        <f xml:space="preserve"> $AC$3/H556 + $AC$6/A556 * Performance!$E$12 + Performance!$E$23/Constraints!$AC$6 * Constraints!A556</f>
        <v>1.1387317202615728</v>
      </c>
      <c r="L556">
        <f xml:space="preserve"> $AC$3/I556 + $AC$6/A556 * Performance!$E$12 + Performance!$E$23/Constraints!$AC$6 * Constraints!A556</f>
        <v>1.1265104856871553</v>
      </c>
      <c r="M556">
        <f>SIN($AC$9 * PI()/180) + 1/Performance!$AE$5</f>
        <v>0.24073077270730886</v>
      </c>
      <c r="N556">
        <f>SIN($AC$9 * PI()/180) + 1/Performance!$AE$8</f>
        <v>0.22738716112204788</v>
      </c>
      <c r="O556" s="60">
        <f>$AC$16 * (Performance!$E$12/Constraints!A556 + Performance!$E$23 * (Constraints!$AC$13/Constraints!$AC$17)^2 * Constraints!A556)</f>
        <v>2.1396332354763927E-4</v>
      </c>
      <c r="P556" t="e">
        <f t="shared" si="35"/>
        <v>#VALUE!</v>
      </c>
      <c r="Q556">
        <f t="shared" si="36"/>
        <v>110.58172512099367</v>
      </c>
      <c r="R556">
        <f t="shared" si="37"/>
        <v>122.36612377465624</v>
      </c>
      <c r="S556" t="e">
        <f xml:space="preserve"> 1.667/G556 + P556/A556 * Performance!$E$12 + Performance!$E$23 / Constraints!P556 * Constraints!A556</f>
        <v>#VALUE!</v>
      </c>
      <c r="T556">
        <f xml:space="preserve"> 1.667/H556 + Q556/A556 * Performance!$E$12 + Performance!$E$23 / Constraints!Q556 * Constraints!A556</f>
        <v>0.18714277639614157</v>
      </c>
      <c r="U556">
        <f xml:space="preserve"> 1.667/I556 + R556/A556 * Performance!$E$12 + Performance!$E$23 / Constraints!R556 * Constraints!A556</f>
        <v>0.17536216118994041</v>
      </c>
    </row>
    <row r="557" spans="1:21" x14ac:dyDescent="0.3">
      <c r="A557" s="51">
        <v>277.5</v>
      </c>
      <c r="B557" s="50">
        <f>$V$4*Performance!$E$12*(1/A557)+Performance!$E$23*(1/Constraints!$V$4)*Constraints!A557</f>
        <v>0.11333355116034713</v>
      </c>
      <c r="C557" s="50">
        <f>$V$5*Performance!$E$12*(1/A557)+Performance!$E$23*(1/Constraints!$V$5)*Constraints!A557</f>
        <v>0.16680566028612756</v>
      </c>
      <c r="D557" s="52">
        <f t="shared" si="34"/>
        <v>0.39969357031850627</v>
      </c>
      <c r="E557" s="52">
        <f>$V$4*Performance!$E$12*(1/A557)+Performance!$E$23*(1/Constraints!$V$9)*Constraints!A557</f>
        <v>0.1120803167134132</v>
      </c>
      <c r="F557" s="52">
        <f xml:space="preserve"> 1.21 / (9.81 * Constraints!$N$7 * Performance!$E$15 * Constraints!$N$5 ) * Constraints!A557 + 0.605 /Performance!$E$15 * (Performance!$E$16  - Constraints!$N$6 * Performance!$E$14) + Constraints!$N$6</f>
        <v>0.3995395248849502</v>
      </c>
      <c r="G557" s="54" t="s">
        <v>198</v>
      </c>
      <c r="H557" s="55">
        <f>SQRT(2/$V$3 * A557 * SQRT(Performance!$E$23 / (3 * Performance!$E$12)))</f>
        <v>20.540536267930307</v>
      </c>
      <c r="I557" s="55">
        <f>SQRT(2/$V$3 * A557 * (SQRT(Performance!$E$23)/(SQRT(3*Performance!$E$12 + 4* Performance!$E$23 * Performance!$E$11^2) - SQRT(Performance!$E$23)*Performance!$E$11)))</f>
        <v>21.607309808832639</v>
      </c>
      <c r="J557" t="e">
        <f xml:space="preserve"> $AC$3/G557 + $AC$6/A557 * Performance!$E$12 + Performance!$E$23/Constraints!$AC$6 * Constraints!A557</f>
        <v>#VALUE!</v>
      </c>
      <c r="K557">
        <f xml:space="preserve"> $AC$3/H557 + $AC$6/A557 * Performance!$E$12 + Performance!$E$23/Constraints!$AC$6 * Constraints!A557</f>
        <v>1.14011270319562</v>
      </c>
      <c r="L557">
        <f xml:space="preserve"> $AC$3/I557 + $AC$6/A557 * Performance!$E$12 + Performance!$E$23/Constraints!$AC$6 * Constraints!A557</f>
        <v>1.127902483706428</v>
      </c>
      <c r="M557">
        <f>SIN($AC$9 * PI()/180) + 1/Performance!$AE$5</f>
        <v>0.24073077270730886</v>
      </c>
      <c r="N557">
        <f>SIN($AC$9 * PI()/180) + 1/Performance!$AE$8</f>
        <v>0.22738716112204788</v>
      </c>
      <c r="O557" s="60">
        <f>$AC$16 * (Performance!$E$12/Constraints!A557 + Performance!$E$23 * (Constraints!$AC$13/Constraints!$AC$17)^2 * Constraints!A557)</f>
        <v>2.1402956754861395E-4</v>
      </c>
      <c r="P557" t="e">
        <f t="shared" si="35"/>
        <v>#VALUE!</v>
      </c>
      <c r="Q557">
        <f t="shared" si="36"/>
        <v>110.78133112301714</v>
      </c>
      <c r="R557">
        <f t="shared" si="37"/>
        <v>122.58700125439393</v>
      </c>
      <c r="S557" t="e">
        <f xml:space="preserve"> 1.667/G557 + P557/A557 * Performance!$E$12 + Performance!$E$23 / Constraints!P557 * Constraints!A557</f>
        <v>#VALUE!</v>
      </c>
      <c r="T557">
        <f xml:space="preserve"> 1.667/H557 + Q557/A557 * Performance!$E$12 + Performance!$E$23 / Constraints!Q557 * Constraints!A557</f>
        <v>0.18706956339448805</v>
      </c>
      <c r="U557">
        <f xml:space="preserve"> 1.667/I557 + R557/A557 * Performance!$E$12 + Performance!$E$23 / Constraints!R557 * Constraints!A557</f>
        <v>0.17529256278416688</v>
      </c>
    </row>
    <row r="558" spans="1:21" x14ac:dyDescent="0.3">
      <c r="A558" s="51">
        <v>278</v>
      </c>
      <c r="B558" s="50">
        <f>$V$4*Performance!$E$12*(1/A558)+Performance!$E$23*(1/Constraints!$V$4)*Constraints!A558</f>
        <v>0.1131692921929455</v>
      </c>
      <c r="C558" s="50">
        <f>$V$5*Performance!$E$12*(1/A558)+Performance!$E$23*(1/Constraints!$V$5)*Constraints!A558</f>
        <v>0.16653100298808002</v>
      </c>
      <c r="D558" s="52">
        <f t="shared" si="34"/>
        <v>0.39996585603079182</v>
      </c>
      <c r="E558" s="52">
        <f>$V$4*Performance!$E$12*(1/A558)+Performance!$E$23*(1/Constraints!$V$9)*Constraints!A558</f>
        <v>0.11191379966592702</v>
      </c>
      <c r="F558" s="52">
        <f xml:space="preserve"> 1.21 / (9.81 * Constraints!$N$7 * Performance!$E$15 * Constraints!$N$5 ) * Constraints!A558 + 0.605 /Performance!$E$15 * (Performance!$E$16  - Constraints!$N$6 * Performance!$E$14) + Constraints!$N$6</f>
        <v>0.39981153303789607</v>
      </c>
      <c r="G558" s="54" t="s">
        <v>198</v>
      </c>
      <c r="H558" s="55">
        <f>SQRT(2/$V$3 * A558 * SQRT(Performance!$E$23 / (3 * Performance!$E$12)))</f>
        <v>20.559032927480143</v>
      </c>
      <c r="I558" s="55">
        <f>SQRT(2/$V$3 * A558 * (SQRT(Performance!$E$23)/(SQRT(3*Performance!$E$12 + 4* Performance!$E$23 * Performance!$E$11^2) - SQRT(Performance!$E$23)*Performance!$E$11)))</f>
        <v>21.626767093107436</v>
      </c>
      <c r="J558" t="e">
        <f xml:space="preserve"> $AC$3/G558 + $AC$6/A558 * Performance!$E$12 + Performance!$E$23/Constraints!$AC$6 * Constraints!A558</f>
        <v>#VALUE!</v>
      </c>
      <c r="K558">
        <f xml:space="preserve"> $AC$3/H558 + $AC$6/A558 * Performance!$E$12 + Performance!$E$23/Constraints!$AC$6 * Constraints!A558</f>
        <v>1.1414942965057961</v>
      </c>
      <c r="L558">
        <f xml:space="preserve"> $AC$3/I558 + $AC$6/A558 * Performance!$E$12 + Performance!$E$23/Constraints!$AC$6 * Constraints!A558</f>
        <v>1.1292950623714948</v>
      </c>
      <c r="M558">
        <f>SIN($AC$9 * PI()/180) + 1/Performance!$AE$5</f>
        <v>0.24073077270730886</v>
      </c>
      <c r="N558">
        <f>SIN($AC$9 * PI()/180) + 1/Performance!$AE$8</f>
        <v>0.22738716112204788</v>
      </c>
      <c r="O558" s="60">
        <f>$AC$16 * (Performance!$E$12/Constraints!A558 + Performance!$E$23 * (Constraints!$AC$13/Constraints!$AC$17)^2 * Constraints!A558)</f>
        <v>2.1409638651876501E-4</v>
      </c>
      <c r="P558" t="e">
        <f t="shared" si="35"/>
        <v>#VALUE!</v>
      </c>
      <c r="Q558">
        <f t="shared" si="36"/>
        <v>110.98093712504057</v>
      </c>
      <c r="R558">
        <f t="shared" si="37"/>
        <v>122.80787873413159</v>
      </c>
      <c r="S558" t="e">
        <f xml:space="preserve"> 1.667/G558 + P558/A558 * Performance!$E$12 + Performance!$E$23 / Constraints!P558 * Constraints!A558</f>
        <v>#VALUE!</v>
      </c>
      <c r="T558">
        <f xml:space="preserve"> 1.667/H558 + Q558/A558 * Performance!$E$12 + Performance!$E$23 / Constraints!Q558 * Constraints!A558</f>
        <v>0.18699654799884366</v>
      </c>
      <c r="U558">
        <f xml:space="preserve"> 1.667/I558 + R558/A558 * Performance!$E$12 + Performance!$E$23 / Constraints!R558 * Constraints!A558</f>
        <v>0.17522315222840495</v>
      </c>
    </row>
    <row r="559" spans="1:21" x14ac:dyDescent="0.3">
      <c r="A559" s="51">
        <v>278.5</v>
      </c>
      <c r="B559" s="50">
        <f>$V$4*Performance!$E$12*(1/A559)+Performance!$E$23*(1/Constraints!$V$4)*Constraints!A559</f>
        <v>0.11300569414459902</v>
      </c>
      <c r="C559" s="50">
        <f>$V$5*Performance!$E$12*(1/A559)+Performance!$E$23*(1/Constraints!$V$5)*Constraints!A559</f>
        <v>0.1662573774499935</v>
      </c>
      <c r="D559" s="52">
        <f t="shared" si="34"/>
        <v>0.40023814174307748</v>
      </c>
      <c r="E559" s="52">
        <f>$V$4*Performance!$E$12*(1/A559)+Performance!$E$23*(1/Constraints!$V$9)*Constraints!A559</f>
        <v>0.11174794353749597</v>
      </c>
      <c r="F559" s="52">
        <f xml:space="preserve"> 1.21 / (9.81 * Constraints!$N$7 * Performance!$E$15 * Constraints!$N$5 ) * Constraints!A559 + 0.605 /Performance!$E$15 * (Performance!$E$16  - Constraints!$N$6 * Performance!$E$14) + Constraints!$N$6</f>
        <v>0.40008354119084188</v>
      </c>
      <c r="G559" s="54" t="s">
        <v>198</v>
      </c>
      <c r="H559" s="55">
        <f>SQRT(2/$V$3 * A559 * SQRT(Performance!$E$23 / (3 * Performance!$E$12)))</f>
        <v>20.57751296080907</v>
      </c>
      <c r="I559" s="55">
        <f>SQRT(2/$V$3 * A559 * (SQRT(Performance!$E$23)/(SQRT(3*Performance!$E$12 + 4* Performance!$E$23 * Performance!$E$11^2) - SQRT(Performance!$E$23)*Performance!$E$11)))</f>
        <v>21.646206887677895</v>
      </c>
      <c r="J559" t="e">
        <f xml:space="preserve"> $AC$3/G559 + $AC$6/A559 * Performance!$E$12 + Performance!$E$23/Constraints!$AC$6 * Constraints!A559</f>
        <v>#VALUE!</v>
      </c>
      <c r="K559">
        <f xml:space="preserve"> $AC$3/H559 + $AC$6/A559 * Performance!$E$12 + Performance!$E$23/Constraints!$AC$6 * Constraints!A559</f>
        <v>1.1428764974439611</v>
      </c>
      <c r="L559">
        <f xml:space="preserve"> $AC$3/I559 + $AC$6/A559 * Performance!$E$12 + Performance!$E$23/Constraints!$AC$6 * Constraints!A559</f>
        <v>1.1306882190677157</v>
      </c>
      <c r="M559">
        <f>SIN($AC$9 * PI()/180) + 1/Performance!$AE$5</f>
        <v>0.24073077270730886</v>
      </c>
      <c r="N559">
        <f>SIN($AC$9 * PI()/180) + 1/Performance!$AE$8</f>
        <v>0.22738716112204788</v>
      </c>
      <c r="O559" s="60">
        <f>$AC$16 * (Performance!$E$12/Constraints!A559 + Performance!$E$23 * (Constraints!$AC$13/Constraints!$AC$17)^2 * Constraints!A559)</f>
        <v>2.1416377736131046E-4</v>
      </c>
      <c r="P559" t="e">
        <f t="shared" si="35"/>
        <v>#VALUE!</v>
      </c>
      <c r="Q559">
        <f t="shared" si="36"/>
        <v>111.18054312706401</v>
      </c>
      <c r="R559">
        <f t="shared" si="37"/>
        <v>123.02875621386919</v>
      </c>
      <c r="S559" t="e">
        <f xml:space="preserve"> 1.667/G559 + P559/A559 * Performance!$E$12 + Performance!$E$23 / Constraints!P559 * Constraints!A559</f>
        <v>#VALUE!</v>
      </c>
      <c r="T559">
        <f xml:space="preserve"> 1.667/H559 + Q559/A559 * Performance!$E$12 + Performance!$E$23 / Constraints!Q559 * Constraints!A559</f>
        <v>0.18692372932188867</v>
      </c>
      <c r="U559">
        <f xml:space="preserve"> 1.667/I559 + R559/A559 * Performance!$E$12 + Performance!$E$23 / Constraints!R559 * Constraints!A559</f>
        <v>0.17515392867914273</v>
      </c>
    </row>
    <row r="560" spans="1:21" x14ac:dyDescent="0.3">
      <c r="A560" s="51">
        <v>279</v>
      </c>
      <c r="B560" s="50">
        <f>$V$4*Performance!$E$12*(1/A560)+Performance!$E$23*(1/Constraints!$V$4)*Constraints!A560</f>
        <v>0.1128427534619794</v>
      </c>
      <c r="C560" s="50">
        <f>$V$5*Performance!$E$12*(1/A560)+Performance!$E$23*(1/Constraints!$V$5)*Constraints!A560</f>
        <v>0.16598477812477144</v>
      </c>
      <c r="D560" s="52">
        <f t="shared" si="34"/>
        <v>0.40051042745536303</v>
      </c>
      <c r="E560" s="52">
        <f>$V$4*Performance!$E$12*(1/A560)+Performance!$E$23*(1/Constraints!$V$9)*Constraints!A560</f>
        <v>0.1115827447747918</v>
      </c>
      <c r="F560" s="52">
        <f xml:space="preserve"> 1.21 / (9.81 * Constraints!$N$7 * Performance!$E$15 * Constraints!$N$5 ) * Constraints!A560 + 0.605 /Performance!$E$15 * (Performance!$E$16  - Constraints!$N$6 * Performance!$E$14) + Constraints!$N$6</f>
        <v>0.40035554934378781</v>
      </c>
      <c r="G560" s="54" t="s">
        <v>198</v>
      </c>
      <c r="H560" s="55">
        <f>SQRT(2/$V$3 * A560 * SQRT(Performance!$E$23 / (3 * Performance!$E$12)))</f>
        <v>20.59597641267143</v>
      </c>
      <c r="I560" s="55">
        <f>SQRT(2/$V$3 * A560 * (SQRT(Performance!$E$23)/(SQRT(3*Performance!$E$12 + 4* Performance!$E$23 * Performance!$E$11^2) - SQRT(Performance!$E$23)*Performance!$E$11)))</f>
        <v>21.665629239622685</v>
      </c>
      <c r="J560" t="e">
        <f xml:space="preserve"> $AC$3/G560 + $AC$6/A560 * Performance!$E$12 + Performance!$E$23/Constraints!$AC$6 * Constraints!A560</f>
        <v>#VALUE!</v>
      </c>
      <c r="K560">
        <f xml:space="preserve"> $AC$3/H560 + $AC$6/A560 * Performance!$E$12 + Performance!$E$23/Constraints!$AC$6 * Constraints!A560</f>
        <v>1.1442593032792601</v>
      </c>
      <c r="L560">
        <f xml:space="preserve"> $AC$3/I560 + $AC$6/A560 * Performance!$E$12 + Performance!$E$23/Constraints!$AC$6 * Constraints!A560</f>
        <v>1.1320819511968971</v>
      </c>
      <c r="M560">
        <f>SIN($AC$9 * PI()/180) + 1/Performance!$AE$5</f>
        <v>0.24073077270730886</v>
      </c>
      <c r="N560">
        <f>SIN($AC$9 * PI()/180) + 1/Performance!$AE$8</f>
        <v>0.22738716112204788</v>
      </c>
      <c r="O560" s="60">
        <f>$AC$16 * (Performance!$E$12/Constraints!A560 + Performance!$E$23 * (Constraints!$AC$13/Constraints!$AC$17)^2 * Constraints!A560)</f>
        <v>2.142317370016676E-4</v>
      </c>
      <c r="P560" t="e">
        <f t="shared" si="35"/>
        <v>#VALUE!</v>
      </c>
      <c r="Q560">
        <f t="shared" si="36"/>
        <v>111.3801491290875</v>
      </c>
      <c r="R560">
        <f t="shared" si="37"/>
        <v>123.24963369360687</v>
      </c>
      <c r="S560" t="e">
        <f xml:space="preserve"> 1.667/G560 + P560/A560 * Performance!$E$12 + Performance!$E$23 / Constraints!P560 * Constraints!A560</f>
        <v>#VALUE!</v>
      </c>
      <c r="T560">
        <f xml:space="preserve"> 1.667/H560 + Q560/A560 * Performance!$E$12 + Performance!$E$23 / Constraints!Q560 * Constraints!A560</f>
        <v>0.18685110648187145</v>
      </c>
      <c r="U560">
        <f xml:space="preserve"> 1.667/I560 + R560/A560 * Performance!$E$12 + Performance!$E$23 / Constraints!R560 * Constraints!A560</f>
        <v>0.17508489129816138</v>
      </c>
    </row>
    <row r="561" spans="1:21" x14ac:dyDescent="0.3">
      <c r="A561" s="51">
        <v>279.5</v>
      </c>
      <c r="B561" s="50">
        <f>$V$4*Performance!$E$12*(1/A561)+Performance!$E$23*(1/Constraints!$V$4)*Constraints!A561</f>
        <v>0.11268046661718475</v>
      </c>
      <c r="C561" s="50">
        <f>$V$5*Performance!$E$12*(1/A561)+Performance!$E$23*(1/Constraints!$V$5)*Constraints!A561</f>
        <v>0.16571319950501032</v>
      </c>
      <c r="D561" s="52">
        <f t="shared" si="34"/>
        <v>0.40078271316764863</v>
      </c>
      <c r="E561" s="52">
        <f>$V$4*Performance!$E$12*(1/A561)+Performance!$E$23*(1/Constraints!$V$9)*Constraints!A561</f>
        <v>0.11141819984991258</v>
      </c>
      <c r="F561" s="52">
        <f xml:space="preserve"> 1.21 / (9.81 * Constraints!$N$7 * Performance!$E$15 * Constraints!$N$5 ) * Constraints!A561 + 0.605 /Performance!$E$15 * (Performance!$E$16  - Constraints!$N$6 * Performance!$E$14) + Constraints!$N$6</f>
        <v>0.40062755749673362</v>
      </c>
      <c r="G561" s="54" t="s">
        <v>198</v>
      </c>
      <c r="H561" s="55">
        <f>SQRT(2/$V$3 * A561 * SQRT(Performance!$E$23 / (3 * Performance!$E$12)))</f>
        <v>20.614423327621132</v>
      </c>
      <c r="I561" s="55">
        <f>SQRT(2/$V$3 * A561 * (SQRT(Performance!$E$23)/(SQRT(3*Performance!$E$12 + 4* Performance!$E$23 * Performance!$E$11^2) - SQRT(Performance!$E$23)*Performance!$E$11)))</f>
        <v>21.685034195809624</v>
      </c>
      <c r="J561" t="e">
        <f xml:space="preserve"> $AC$3/G561 + $AC$6/A561 * Performance!$E$12 + Performance!$E$23/Constraints!$AC$6 * Constraints!A561</f>
        <v>#VALUE!</v>
      </c>
      <c r="K561">
        <f xml:space="preserve"> $AC$3/H561 + $AC$6/A561 * Performance!$E$12 + Performance!$E$23/Constraints!$AC$6 * Constraints!A561</f>
        <v>1.1456427112979832</v>
      </c>
      <c r="L561">
        <f xml:space="preserve"> $AC$3/I561 + $AC$6/A561 * Performance!$E$12 + Performance!$E$23/Constraints!$AC$6 * Constraints!A561</f>
        <v>1.1334762561771605</v>
      </c>
      <c r="M561">
        <f>SIN($AC$9 * PI()/180) + 1/Performance!$AE$5</f>
        <v>0.24073077270730886</v>
      </c>
      <c r="N561">
        <f>SIN($AC$9 * PI()/180) + 1/Performance!$AE$8</f>
        <v>0.22738716112204788</v>
      </c>
      <c r="O561" s="60">
        <f>$AC$16 * (Performance!$E$12/Constraints!A561 + Performance!$E$23 * (Constraints!$AC$13/Constraints!$AC$17)^2 * Constraints!A561)</f>
        <v>2.1430026238725424E-4</v>
      </c>
      <c r="P561" t="e">
        <f t="shared" si="35"/>
        <v>#VALUE!</v>
      </c>
      <c r="Q561">
        <f t="shared" si="36"/>
        <v>111.57975513111093</v>
      </c>
      <c r="R561">
        <f t="shared" si="37"/>
        <v>123.47051117334449</v>
      </c>
      <c r="S561" t="e">
        <f xml:space="preserve"> 1.667/G561 + P561/A561 * Performance!$E$12 + Performance!$E$23 / Constraints!P561 * Constraints!A561</f>
        <v>#VALUE!</v>
      </c>
      <c r="T561">
        <f xml:space="preserve"> 1.667/H561 + Q561/A561 * Performance!$E$12 + Performance!$E$23 / Constraints!Q561 * Constraints!A561</f>
        <v>0.18677867860256372</v>
      </c>
      <c r="U561">
        <f xml:space="preserve"> 1.667/I561 + R561/A561 * Performance!$E$12 + Performance!$E$23 / Constraints!R561 * Constraints!A561</f>
        <v>0.17501603925249298</v>
      </c>
    </row>
    <row r="562" spans="1:21" x14ac:dyDescent="0.3">
      <c r="A562" s="51">
        <v>280</v>
      </c>
      <c r="B562" s="50">
        <f>$V$4*Performance!$E$12*(1/A562)+Performance!$E$23*(1/Constraints!$V$4)*Constraints!A562</f>
        <v>0.11251883010751243</v>
      </c>
      <c r="C562" s="50">
        <f>$V$5*Performance!$E$12*(1/A562)+Performance!$E$23*(1/Constraints!$V$5)*Constraints!A562</f>
        <v>0.16544263612264509</v>
      </c>
      <c r="D562" s="52">
        <f t="shared" si="34"/>
        <v>0.40105499887993423</v>
      </c>
      <c r="E562" s="52">
        <f>$V$4*Performance!$E$12*(1/A562)+Performance!$E$23*(1/Constraints!$V$9)*Constraints!A562</f>
        <v>0.11125430526015569</v>
      </c>
      <c r="F562" s="52">
        <f xml:space="preserve"> 1.21 / (9.81 * Constraints!$N$7 * Performance!$E$15 * Constraints!$N$5 ) * Constraints!A562 + 0.605 /Performance!$E$15 * (Performance!$E$16  - Constraints!$N$6 * Performance!$E$14) + Constraints!$N$6</f>
        <v>0.40089956564967949</v>
      </c>
      <c r="G562" s="54" t="s">
        <v>198</v>
      </c>
      <c r="H562" s="55">
        <f>SQRT(2/$V$3 * A562 * SQRT(Performance!$E$23 / (3 * Performance!$E$12)))</f>
        <v>20.632853750012938</v>
      </c>
      <c r="I562" s="55">
        <f>SQRT(2/$V$3 * A562 * (SQRT(Performance!$E$23)/(SQRT(3*Performance!$E$12 + 4* Performance!$E$23 * Performance!$E$11^2) - SQRT(Performance!$E$23)*Performance!$E$11)))</f>
        <v>21.704421802897038</v>
      </c>
      <c r="J562" t="e">
        <f xml:space="preserve"> $AC$3/G562 + $AC$6/A562 * Performance!$E$12 + Performance!$E$23/Constraints!$AC$6 * Constraints!A562</f>
        <v>#VALUE!</v>
      </c>
      <c r="K562">
        <f xml:space="preserve"> $AC$3/H562 + $AC$6/A562 * Performance!$E$12 + Performance!$E$23/Constraints!$AC$6 * Constraints!A562</f>
        <v>1.1470267188034275</v>
      </c>
      <c r="L562">
        <f xml:space="preserve"> $AC$3/I562 + $AC$6/A562 * Performance!$E$12 + Performance!$E$23/Constraints!$AC$6 * Constraints!A562</f>
        <v>1.1348711314428093</v>
      </c>
      <c r="M562">
        <f>SIN($AC$9 * PI()/180) + 1/Performance!$AE$5</f>
        <v>0.24073077270730886</v>
      </c>
      <c r="N562">
        <f>SIN($AC$9 * PI()/180) + 1/Performance!$AE$8</f>
        <v>0.22738716112204788</v>
      </c>
      <c r="O562" s="60">
        <f>$AC$16 * (Performance!$E$12/Constraints!A562 + Performance!$E$23 * (Constraints!$AC$13/Constraints!$AC$17)^2 * Constraints!A562)</f>
        <v>2.1436935048729233E-4</v>
      </c>
      <c r="P562" t="e">
        <f t="shared" si="35"/>
        <v>#VALUE!</v>
      </c>
      <c r="Q562">
        <f t="shared" si="36"/>
        <v>111.7793611331344</v>
      </c>
      <c r="R562">
        <f t="shared" si="37"/>
        <v>123.69138865308217</v>
      </c>
      <c r="S562" t="e">
        <f xml:space="preserve"> 1.667/G562 + P562/A562 * Performance!$E$12 + Performance!$E$23 / Constraints!P562 * Constraints!A562</f>
        <v>#VALUE!</v>
      </c>
      <c r="T562">
        <f xml:space="preserve"> 1.667/H562 + Q562/A562 * Performance!$E$12 + Performance!$E$23 / Constraints!Q562 * Constraints!A562</f>
        <v>0.18670644481321602</v>
      </c>
      <c r="U562">
        <f xml:space="preserve"> 1.667/I562 + R562/A562 * Performance!$E$12 + Performance!$E$23 / Constraints!R562 * Constraints!A562</f>
        <v>0.17494737171437769</v>
      </c>
    </row>
    <row r="563" spans="1:21" x14ac:dyDescent="0.3">
      <c r="A563" s="51">
        <v>280.5</v>
      </c>
      <c r="B563" s="50">
        <f>$V$4*Performance!$E$12*(1/A563)+Performance!$E$23*(1/Constraints!$V$4)*Constraints!A563</f>
        <v>0.1123578404552345</v>
      </c>
      <c r="C563" s="50">
        <f>$V$5*Performance!$E$12*(1/A563)+Performance!$E$23*(1/Constraints!$V$5)*Constraints!A563</f>
        <v>0.16517308254859883</v>
      </c>
      <c r="D563" s="52">
        <f t="shared" si="34"/>
        <v>0.40132728459221984</v>
      </c>
      <c r="E563" s="52">
        <f>$V$4*Performance!$E$12*(1/A563)+Performance!$E$23*(1/Constraints!$V$9)*Constraints!A563</f>
        <v>0.11109105752779319</v>
      </c>
      <c r="F563" s="52">
        <f xml:space="preserve"> 1.21 / (9.81 * Constraints!$N$7 * Performance!$E$15 * Constraints!$N$5 ) * Constraints!A563 + 0.605 /Performance!$E$15 * (Performance!$E$16  - Constraints!$N$6 * Performance!$E$14) + Constraints!$N$6</f>
        <v>0.40117157380262536</v>
      </c>
      <c r="G563" s="54" t="s">
        <v>198</v>
      </c>
      <c r="H563" s="55">
        <f>SQRT(2/$V$3 * A563 * SQRT(Performance!$E$23 / (3 * Performance!$E$12)))</f>
        <v>20.651267724003667</v>
      </c>
      <c r="I563" s="55">
        <f>SQRT(2/$V$3 * A563 * (SQRT(Performance!$E$23)/(SQRT(3*Performance!$E$12 + 4* Performance!$E$23 * Performance!$E$11^2) - SQRT(Performance!$E$23)*Performance!$E$11)))</f>
        <v>21.723792107335029</v>
      </c>
      <c r="J563" t="e">
        <f xml:space="preserve"> $AC$3/G563 + $AC$6/A563 * Performance!$E$12 + Performance!$E$23/Constraints!$AC$6 * Constraints!A563</f>
        <v>#VALUE!</v>
      </c>
      <c r="K563">
        <f xml:space="preserve"> $AC$3/H563 + $AC$6/A563 * Performance!$E$12 + Performance!$E$23/Constraints!$AC$6 * Constraints!A563</f>
        <v>1.1484113231157602</v>
      </c>
      <c r="L563">
        <f xml:space="preserve"> $AC$3/I563 + $AC$6/A563 * Performance!$E$12 + Performance!$E$23/Constraints!$AC$6 * Constraints!A563</f>
        <v>1.1362665744441993</v>
      </c>
      <c r="M563">
        <f>SIN($AC$9 * PI()/180) + 1/Performance!$AE$5</f>
        <v>0.24073077270730886</v>
      </c>
      <c r="N563">
        <f>SIN($AC$9 * PI()/180) + 1/Performance!$AE$8</f>
        <v>0.22738716112204788</v>
      </c>
      <c r="O563" s="60">
        <f>$AC$16 * (Performance!$E$12/Constraints!A563 + Performance!$E$23 * (Constraints!$AC$13/Constraints!$AC$17)^2 * Constraints!A563)</f>
        <v>2.1443899829261376E-4</v>
      </c>
      <c r="P563" t="e">
        <f t="shared" si="35"/>
        <v>#VALUE!</v>
      </c>
      <c r="Q563">
        <f t="shared" si="36"/>
        <v>111.97896713515787</v>
      </c>
      <c r="R563">
        <f t="shared" si="37"/>
        <v>123.91226613281982</v>
      </c>
      <c r="S563" t="e">
        <f xml:space="preserve"> 1.667/G563 + P563/A563 * Performance!$E$12 + Performance!$E$23 / Constraints!P563 * Constraints!A563</f>
        <v>#VALUE!</v>
      </c>
      <c r="T563">
        <f xml:space="preserve"> 1.667/H563 + Q563/A563 * Performance!$E$12 + Performance!$E$23 / Constraints!Q563 * Constraints!A563</f>
        <v>0.1866344042485138</v>
      </c>
      <c r="U563">
        <f xml:space="preserve"> 1.667/I563 + R563/A563 * Performance!$E$12 + Performance!$E$23 / Constraints!R563 * Constraints!A563</f>
        <v>0.17487888786122244</v>
      </c>
    </row>
    <row r="564" spans="1:21" x14ac:dyDescent="0.3">
      <c r="A564" s="51">
        <v>281</v>
      </c>
      <c r="B564" s="50">
        <f>$V$4*Performance!$E$12*(1/A564)+Performance!$E$23*(1/Constraints!$V$4)*Constraints!A564</f>
        <v>0.11219749420737556</v>
      </c>
      <c r="C564" s="50">
        <f>$V$5*Performance!$E$12*(1/A564)+Performance!$E$23*(1/Constraints!$V$5)*Constraints!A564</f>
        <v>0.16490453339243566</v>
      </c>
      <c r="D564" s="52">
        <f t="shared" si="34"/>
        <v>0.40159957030450544</v>
      </c>
      <c r="E564" s="52">
        <f>$V$4*Performance!$E$12*(1/A564)+Performance!$E$23*(1/Constraints!$V$9)*Constraints!A564</f>
        <v>0.11092845319984967</v>
      </c>
      <c r="F564" s="52">
        <f xml:space="preserve"> 1.21 / (9.81 * Constraints!$N$7 * Performance!$E$15 * Constraints!$N$5 ) * Constraints!A564 + 0.605 /Performance!$E$15 * (Performance!$E$16  - Constraints!$N$6 * Performance!$E$14) + Constraints!$N$6</f>
        <v>0.40144358195557117</v>
      </c>
      <c r="G564" s="54" t="s">
        <v>198</v>
      </c>
      <c r="H564" s="55">
        <f>SQRT(2/$V$3 * A564 * SQRT(Performance!$E$23 / (3 * Performance!$E$12)))</f>
        <v>20.66966529355345</v>
      </c>
      <c r="I564" s="55">
        <f>SQRT(2/$V$3 * A564 * (SQRT(Performance!$E$23)/(SQRT(3*Performance!$E$12 + 4* Performance!$E$23 * Performance!$E$11^2) - SQRT(Performance!$E$23)*Performance!$E$11)))</f>
        <v>21.743145155366808</v>
      </c>
      <c r="J564" t="e">
        <f xml:space="preserve"> $AC$3/G564 + $AC$6/A564 * Performance!$E$12 + Performance!$E$23/Constraints!$AC$6 * Constraints!A564</f>
        <v>#VALUE!</v>
      </c>
      <c r="K564">
        <f xml:space="preserve"> $AC$3/H564 + $AC$6/A564 * Performance!$E$12 + Performance!$E$23/Constraints!$AC$6 * Constraints!A564</f>
        <v>1.1497965215718835</v>
      </c>
      <c r="L564">
        <f xml:space="preserve"> $AC$3/I564 + $AC$6/A564 * Performance!$E$12 + Performance!$E$23/Constraints!$AC$6 * Constraints!A564</f>
        <v>1.1376625826476106</v>
      </c>
      <c r="M564">
        <f>SIN($AC$9 * PI()/180) + 1/Performance!$AE$5</f>
        <v>0.24073077270730886</v>
      </c>
      <c r="N564">
        <f>SIN($AC$9 * PI()/180) + 1/Performance!$AE$8</f>
        <v>0.22738716112204788</v>
      </c>
      <c r="O564" s="60">
        <f>$AC$16 * (Performance!$E$12/Constraints!A564 + Performance!$E$23 * (Constraints!$AC$13/Constraints!$AC$17)^2 * Constraints!A564)</f>
        <v>2.1450920281546783E-4</v>
      </c>
      <c r="P564" t="e">
        <f t="shared" si="35"/>
        <v>#VALUE!</v>
      </c>
      <c r="Q564">
        <f t="shared" si="36"/>
        <v>112.1785731371813</v>
      </c>
      <c r="R564">
        <f t="shared" si="37"/>
        <v>124.13314361255745</v>
      </c>
      <c r="S564" t="e">
        <f xml:space="preserve"> 1.667/G564 + P564/A564 * Performance!$E$12 + Performance!$E$23 / Constraints!P564 * Constraints!A564</f>
        <v>#VALUE!</v>
      </c>
      <c r="T564">
        <f xml:space="preserve"> 1.667/H564 + Q564/A564 * Performance!$E$12 + Performance!$E$23 / Constraints!Q564 * Constraints!A564</f>
        <v>0.18656255604853395</v>
      </c>
      <c r="U564">
        <f xml:space="preserve"> 1.667/I564 + R564/A564 * Performance!$E$12 + Performance!$E$23 / Constraints!R564 * Constraints!A564</f>
        <v>0.17481058687555934</v>
      </c>
    </row>
    <row r="565" spans="1:21" x14ac:dyDescent="0.3">
      <c r="A565" s="51">
        <v>281.5</v>
      </c>
      <c r="B565" s="50">
        <f>$V$4*Performance!$E$12*(1/A565)+Performance!$E$23*(1/Constraints!$V$4)*Constraints!A565</f>
        <v>0.11203778793549286</v>
      </c>
      <c r="C565" s="50">
        <f>$V$5*Performance!$E$12*(1/A565)+Performance!$E$23*(1/Constraints!$V$5)*Constraints!A565</f>
        <v>0.16463698330201762</v>
      </c>
      <c r="D565" s="52">
        <f t="shared" si="34"/>
        <v>0.40187185601679098</v>
      </c>
      <c r="E565" s="52">
        <f>$V$4*Performance!$E$12*(1/A565)+Performance!$E$23*(1/Constraints!$V$9)*Constraints!A565</f>
        <v>0.11076648884788243</v>
      </c>
      <c r="F565" s="52">
        <f xml:space="preserve"> 1.21 / (9.81 * Constraints!$N$7 * Performance!$E$15 * Constraints!$N$5 ) * Constraints!A565 + 0.605 /Performance!$E$15 * (Performance!$E$16  - Constraints!$N$6 * Performance!$E$14) + Constraints!$N$6</f>
        <v>0.4017155901085171</v>
      </c>
      <c r="G565" s="54" t="s">
        <v>198</v>
      </c>
      <c r="H565" s="55">
        <f>SQRT(2/$V$3 * A565 * SQRT(Performance!$E$23 / (3 * Performance!$E$12)))</f>
        <v>20.688046502426964</v>
      </c>
      <c r="I565" s="55">
        <f>SQRT(2/$V$3 * A565 * (SQRT(Performance!$E$23)/(SQRT(3*Performance!$E$12 + 4* Performance!$E$23 * Performance!$E$11^2) - SQRT(Performance!$E$23)*Performance!$E$11)))</f>
        <v>21.762480993029968</v>
      </c>
      <c r="J565" t="e">
        <f xml:space="preserve"> $AC$3/G565 + $AC$6/A565 * Performance!$E$12 + Performance!$E$23/Constraints!$AC$6 * Constraints!A565</f>
        <v>#VALUE!</v>
      </c>
      <c r="K565">
        <f xml:space="preserve"> $AC$3/H565 + $AC$6/A565 * Performance!$E$12 + Performance!$E$23/Constraints!$AC$6 * Constraints!A565</f>
        <v>1.1511823115253004</v>
      </c>
      <c r="L565">
        <f xml:space="preserve"> $AC$3/I565 + $AC$6/A565 * Performance!$E$12 + Performance!$E$23/Constraints!$AC$6 * Constraints!A565</f>
        <v>1.1390591535351189</v>
      </c>
      <c r="M565">
        <f>SIN($AC$9 * PI()/180) + 1/Performance!$AE$5</f>
        <v>0.24073077270730886</v>
      </c>
      <c r="N565">
        <f>SIN($AC$9 * PI()/180) + 1/Performance!$AE$8</f>
        <v>0.22738716112204788</v>
      </c>
      <c r="O565" s="60">
        <f>$AC$16 * (Performance!$E$12/Constraints!A565 + Performance!$E$23 * (Constraints!$AC$13/Constraints!$AC$17)^2 * Constraints!A565)</f>
        <v>2.1457996108933131E-4</v>
      </c>
      <c r="P565" t="e">
        <f t="shared" si="35"/>
        <v>#VALUE!</v>
      </c>
      <c r="Q565">
        <f t="shared" si="36"/>
        <v>112.37817913920476</v>
      </c>
      <c r="R565">
        <f t="shared" si="37"/>
        <v>124.35402109229513</v>
      </c>
      <c r="S565" t="e">
        <f xml:space="preserve"> 1.667/G565 + P565/A565 * Performance!$E$12 + Performance!$E$23 / Constraints!P565 * Constraints!A565</f>
        <v>#VALUE!</v>
      </c>
      <c r="T565">
        <f xml:space="preserve"> 1.667/H565 + Q565/A565 * Performance!$E$12 + Performance!$E$23 / Constraints!Q565 * Constraints!A565</f>
        <v>0.18649089935870153</v>
      </c>
      <c r="U565">
        <f xml:space="preserve"> 1.667/I565 + R565/A565 * Performance!$E$12 + Performance!$E$23 / Constraints!R565 * Constraints!A565</f>
        <v>0.17474246794500456</v>
      </c>
    </row>
    <row r="566" spans="1:21" x14ac:dyDescent="0.3">
      <c r="A566" s="51">
        <v>282</v>
      </c>
      <c r="B566" s="50">
        <f>$V$4*Performance!$E$12*(1/A566)+Performance!$E$23*(1/Constraints!$V$4)*Constraints!A566</f>
        <v>0.11187871823545888</v>
      </c>
      <c r="C566" s="50">
        <f>$V$5*Performance!$E$12*(1/A566)+Performance!$E$23*(1/Constraints!$V$5)*Constraints!A566</f>
        <v>0.16437042696316528</v>
      </c>
      <c r="D566" s="52">
        <f t="shared" si="34"/>
        <v>0.40214414172907664</v>
      </c>
      <c r="E566" s="52">
        <f>$V$4*Performance!$E$12*(1/A566)+Performance!$E$23*(1/Constraints!$V$9)*Constraints!A566</f>
        <v>0.11060516106776387</v>
      </c>
      <c r="F566" s="52">
        <f xml:space="preserve"> 1.21 / (9.81 * Constraints!$N$7 * Performance!$E$15 * Constraints!$N$5 ) * Constraints!A566 + 0.605 /Performance!$E$15 * (Performance!$E$16  - Constraints!$N$6 * Performance!$E$14) + Constraints!$N$6</f>
        <v>0.40198759826146291</v>
      </c>
      <c r="G566" s="54" t="s">
        <v>198</v>
      </c>
      <c r="H566" s="55">
        <f>SQRT(2/$V$3 * A566 * SQRT(Performance!$E$23 / (3 * Performance!$E$12)))</f>
        <v>20.706411394194628</v>
      </c>
      <c r="I566" s="55">
        <f>SQRT(2/$V$3 * A566 * (SQRT(Performance!$E$23)/(SQRT(3*Performance!$E$12 + 4* Performance!$E$23 * Performance!$E$11^2) - SQRT(Performance!$E$23)*Performance!$E$11)))</f>
        <v>21.781799666157752</v>
      </c>
      <c r="J566" t="e">
        <f xml:space="preserve"> $AC$3/G566 + $AC$6/A566 * Performance!$E$12 + Performance!$E$23/Constraints!$AC$6 * Constraints!A566</f>
        <v>#VALUE!</v>
      </c>
      <c r="K566">
        <f xml:space="preserve"> $AC$3/H566 + $AC$6/A566 * Performance!$E$12 + Performance!$E$23/Constraints!$AC$6 * Constraints!A566</f>
        <v>1.1525686903459815</v>
      </c>
      <c r="L566">
        <f xml:space="preserve"> $AC$3/I566 + $AC$6/A566 * Performance!$E$12 + Performance!$E$23/Constraints!$AC$6 * Constraints!A566</f>
        <v>1.1404562846044701</v>
      </c>
      <c r="M566">
        <f>SIN($AC$9 * PI()/180) + 1/Performance!$AE$5</f>
        <v>0.24073077270730886</v>
      </c>
      <c r="N566">
        <f>SIN($AC$9 * PI()/180) + 1/Performance!$AE$8</f>
        <v>0.22738716112204788</v>
      </c>
      <c r="O566" s="60">
        <f>$AC$16 * (Performance!$E$12/Constraints!A566 + Performance!$E$23 * (Constraints!$AC$13/Constraints!$AC$17)^2 * Constraints!A566)</f>
        <v>2.1465127016872008E-4</v>
      </c>
      <c r="P566" t="e">
        <f t="shared" si="35"/>
        <v>#VALUE!</v>
      </c>
      <c r="Q566">
        <f t="shared" si="36"/>
        <v>112.57778514122822</v>
      </c>
      <c r="R566">
        <f t="shared" si="37"/>
        <v>124.57489857203277</v>
      </c>
      <c r="S566" t="e">
        <f xml:space="preserve"> 1.667/G566 + P566/A566 * Performance!$E$12 + Performance!$E$23 / Constraints!P566 * Constraints!A566</f>
        <v>#VALUE!</v>
      </c>
      <c r="T566">
        <f xml:space="preserve"> 1.667/H566 + Q566/A566 * Performance!$E$12 + Performance!$E$23 / Constraints!Q566 * Constraints!A566</f>
        <v>0.1864194333297472</v>
      </c>
      <c r="U566">
        <f xml:space="preserve"> 1.667/I566 + R566/A566 * Performance!$E$12 + Performance!$E$23 / Constraints!R566 * Constraints!A566</f>
        <v>0.17467453026221808</v>
      </c>
    </row>
    <row r="567" spans="1:21" x14ac:dyDescent="0.3">
      <c r="A567" s="51">
        <v>282.5</v>
      </c>
      <c r="B567" s="50">
        <f>$V$4*Performance!$E$12*(1/A567)+Performance!$E$23*(1/Constraints!$V$4)*Constraints!A567</f>
        <v>0.1117202817272461</v>
      </c>
      <c r="C567" s="50">
        <f>$V$5*Performance!$E$12*(1/A567)+Performance!$E$23*(1/Constraints!$V$5)*Constraints!A567</f>
        <v>0.1641048590993216</v>
      </c>
      <c r="D567" s="52">
        <f t="shared" si="34"/>
        <v>0.40241642744136219</v>
      </c>
      <c r="E567" s="52">
        <f>$V$4*Performance!$E$12*(1/A567)+Performance!$E$23*(1/Constraints!$V$9)*Constraints!A567</f>
        <v>0.11044446647946651</v>
      </c>
      <c r="F567" s="52">
        <f xml:space="preserve"> 1.21 / (9.81 * Constraints!$N$7 * Performance!$E$15 * Constraints!$N$5 ) * Constraints!A567 + 0.605 /Performance!$E$15 * (Performance!$E$16  - Constraints!$N$6 * Performance!$E$14) + Constraints!$N$6</f>
        <v>0.40225960641440878</v>
      </c>
      <c r="G567" s="54" t="s">
        <v>198</v>
      </c>
      <c r="H567" s="55">
        <f>SQRT(2/$V$3 * A567 * SQRT(Performance!$E$23 / (3 * Performance!$E$12)))</f>
        <v>20.724760012233812</v>
      </c>
      <c r="I567" s="55">
        <f>SQRT(2/$V$3 * A567 * (SQRT(Performance!$E$23)/(SQRT(3*Performance!$E$12 + 4* Performance!$E$23 * Performance!$E$11^2) - SQRT(Performance!$E$23)*Performance!$E$11)))</f>
        <v>21.801101220380346</v>
      </c>
      <c r="J567" t="e">
        <f xml:space="preserve"> $AC$3/G567 + $AC$6/A567 * Performance!$E$12 + Performance!$E$23/Constraints!$AC$6 * Constraints!A567</f>
        <v>#VALUE!</v>
      </c>
      <c r="K567">
        <f xml:space="preserve"> $AC$3/H567 + $AC$6/A567 * Performance!$E$12 + Performance!$E$23/Constraints!$AC$6 * Constraints!A567</f>
        <v>1.1539556554202341</v>
      </c>
      <c r="L567">
        <f xml:space="preserve"> $AC$3/I567 + $AC$6/A567 * Performance!$E$12 + Performance!$E$23/Constraints!$AC$6 * Constraints!A567</f>
        <v>1.1418539733689539</v>
      </c>
      <c r="M567">
        <f>SIN($AC$9 * PI()/180) + 1/Performance!$AE$5</f>
        <v>0.24073077270730886</v>
      </c>
      <c r="N567">
        <f>SIN($AC$9 * PI()/180) + 1/Performance!$AE$8</f>
        <v>0.22738716112204788</v>
      </c>
      <c r="O567" s="60">
        <f>$AC$16 * (Performance!$E$12/Constraints!A567 + Performance!$E$23 * (Constraints!$AC$13/Constraints!$AC$17)^2 * Constraints!A567)</f>
        <v>2.1472312712900304E-4</v>
      </c>
      <c r="P567" t="e">
        <f t="shared" si="35"/>
        <v>#VALUE!</v>
      </c>
      <c r="Q567">
        <f t="shared" si="36"/>
        <v>112.77739114325166</v>
      </c>
      <c r="R567">
        <f t="shared" si="37"/>
        <v>124.7957760517704</v>
      </c>
      <c r="S567" t="e">
        <f xml:space="preserve"> 1.667/G567 + P567/A567 * Performance!$E$12 + Performance!$E$23 / Constraints!P567 * Constraints!A567</f>
        <v>#VALUE!</v>
      </c>
      <c r="T567">
        <f xml:space="preserve"> 1.667/H567 + Q567/A567 * Performance!$E$12 + Performance!$E$23 / Constraints!Q567 * Constraints!A567</f>
        <v>0.18634815711766489</v>
      </c>
      <c r="U567">
        <f xml:space="preserve"> 1.667/I567 + R567/A567 * Performance!$E$12 + Performance!$E$23 / Constraints!R567 * Constraints!A567</f>
        <v>0.17460677302486324</v>
      </c>
    </row>
    <row r="568" spans="1:21" x14ac:dyDescent="0.3">
      <c r="A568" s="51">
        <v>283</v>
      </c>
      <c r="B568" s="50">
        <f>$V$4*Performance!$E$12*(1/A568)+Performance!$E$23*(1/Constraints!$V$4)*Constraints!A568</f>
        <v>0.11156247505471412</v>
      </c>
      <c r="C568" s="50">
        <f>$V$5*Performance!$E$12*(1/A568)+Performance!$E$23*(1/Constraints!$V$5)*Constraints!A568</f>
        <v>0.16384027447121977</v>
      </c>
      <c r="D568" s="52">
        <f t="shared" si="34"/>
        <v>0.40268871315364785</v>
      </c>
      <c r="E568" s="52">
        <f>$V$4*Performance!$E$12*(1/A568)+Performance!$E$23*(1/Constraints!$V$9)*Constraints!A568</f>
        <v>0.11028440172684997</v>
      </c>
      <c r="F568" s="52">
        <f xml:space="preserve"> 1.21 / (9.81 * Constraints!$N$7 * Performance!$E$15 * Constraints!$N$5 ) * Constraints!A568 + 0.605 /Performance!$E$15 * (Performance!$E$16  - Constraints!$N$6 * Performance!$E$14) + Constraints!$N$6</f>
        <v>0.40253161456735465</v>
      </c>
      <c r="G568" s="54" t="s">
        <v>198</v>
      </c>
      <c r="H568" s="55">
        <f>SQRT(2/$V$3 * A568 * SQRT(Performance!$E$23 / (3 * Performance!$E$12)))</f>
        <v>20.743092399730042</v>
      </c>
      <c r="I568" s="55">
        <f>SQRT(2/$V$3 * A568 * (SQRT(Performance!$E$23)/(SQRT(3*Performance!$E$12 + 4* Performance!$E$23 * Performance!$E$11^2) - SQRT(Performance!$E$23)*Performance!$E$11)))</f>
        <v>21.82038570112611</v>
      </c>
      <c r="J568" t="e">
        <f xml:space="preserve"> $AC$3/G568 + $AC$6/A568 * Performance!$E$12 + Performance!$E$23/Constraints!$AC$6 * Constraints!A568</f>
        <v>#VALUE!</v>
      </c>
      <c r="K568">
        <f xml:space="preserve"> $AC$3/H568 + $AC$6/A568 * Performance!$E$12 + Performance!$E$23/Constraints!$AC$6 * Constraints!A568</f>
        <v>1.155343204150572</v>
      </c>
      <c r="L568">
        <f xml:space="preserve"> $AC$3/I568 + $AC$6/A568 * Performance!$E$12 + Performance!$E$23/Constraints!$AC$6 * Constraints!A568</f>
        <v>1.1432522173572814</v>
      </c>
      <c r="M568">
        <f>SIN($AC$9 * PI()/180) + 1/Performance!$AE$5</f>
        <v>0.24073077270730886</v>
      </c>
      <c r="N568">
        <f>SIN($AC$9 * PI()/180) + 1/Performance!$AE$8</f>
        <v>0.22738716112204788</v>
      </c>
      <c r="O568" s="60">
        <f>$AC$16 * (Performance!$E$12/Constraints!A568 + Performance!$E$23 * (Constraints!$AC$13/Constraints!$AC$17)^2 * Constraints!A568)</f>
        <v>2.1479552906621791E-4</v>
      </c>
      <c r="P568" t="e">
        <f t="shared" si="35"/>
        <v>#VALUE!</v>
      </c>
      <c r="Q568">
        <f t="shared" si="36"/>
        <v>112.97699714527513</v>
      </c>
      <c r="R568">
        <f t="shared" si="37"/>
        <v>125.01665353150806</v>
      </c>
      <c r="S568" t="e">
        <f xml:space="preserve"> 1.667/G568 + P568/A568 * Performance!$E$12 + Performance!$E$23 / Constraints!P568 * Constraints!A568</f>
        <v>#VALUE!</v>
      </c>
      <c r="T568">
        <f xml:space="preserve"> 1.667/H568 + Q568/A568 * Performance!$E$12 + Performance!$E$23 / Constraints!Q568 * Constraints!A568</f>
        <v>0.18627706988367004</v>
      </c>
      <c r="U568">
        <f xml:space="preserve"> 1.667/I568 + R568/A568 * Performance!$E$12 + Performance!$E$23 / Constraints!R568 * Constraints!A568</f>
        <v>0.17453919543556698</v>
      </c>
    </row>
    <row r="569" spans="1:21" x14ac:dyDescent="0.3">
      <c r="A569" s="51">
        <v>283.5</v>
      </c>
      <c r="B569" s="50">
        <f>$V$4*Performance!$E$12*(1/A569)+Performance!$E$23*(1/Constraints!$V$4)*Constraints!A569</f>
        <v>0.11140529488539903</v>
      </c>
      <c r="C569" s="50">
        <f>$V$5*Performance!$E$12*(1/A569)+Performance!$E$23*(1/Constraints!$V$5)*Constraints!A569</f>
        <v>0.16357666787655428</v>
      </c>
      <c r="D569" s="52">
        <f t="shared" si="34"/>
        <v>0.4029609988659334</v>
      </c>
      <c r="E569" s="52">
        <f>$V$4*Performance!$E$12*(1/A569)+Performance!$E$23*(1/Constraints!$V$9)*Constraints!A569</f>
        <v>0.11012496347745032</v>
      </c>
      <c r="F569" s="52">
        <f xml:space="preserve"> 1.21 / (9.81 * Constraints!$N$7 * Performance!$E$15 * Constraints!$N$5 ) * Constraints!A569 + 0.605 /Performance!$E$15 * (Performance!$E$16  - Constraints!$N$6 * Performance!$E$14) + Constraints!$N$6</f>
        <v>0.40280362272030046</v>
      </c>
      <c r="G569" s="54" t="s">
        <v>198</v>
      </c>
      <c r="H569" s="55">
        <f>SQRT(2/$V$3 * A569 * SQRT(Performance!$E$23 / (3 * Performance!$E$12)))</f>
        <v>20.761408599678173</v>
      </c>
      <c r="I569" s="55">
        <f>SQRT(2/$V$3 * A569 * (SQRT(Performance!$E$23)/(SQRT(3*Performance!$E$12 + 4* Performance!$E$23 * Performance!$E$11^2) - SQRT(Performance!$E$23)*Performance!$E$11)))</f>
        <v>21.839653153622844</v>
      </c>
      <c r="J569" t="e">
        <f xml:space="preserve"> $AC$3/G569 + $AC$6/A569 * Performance!$E$12 + Performance!$E$23/Constraints!$AC$6 * Constraints!A569</f>
        <v>#VALUE!</v>
      </c>
      <c r="K569">
        <f xml:space="preserve"> $AC$3/H569 + $AC$6/A569 * Performance!$E$12 + Performance!$E$23/Constraints!$AC$6 * Constraints!A569</f>
        <v>1.1567313339555856</v>
      </c>
      <c r="L569">
        <f xml:space="preserve"> $AC$3/I569 + $AC$6/A569 * Performance!$E$12 + Performance!$E$23/Constraints!$AC$6 * Constraints!A569</f>
        <v>1.1446510141134614</v>
      </c>
      <c r="M569">
        <f>SIN($AC$9 * PI()/180) + 1/Performance!$AE$5</f>
        <v>0.24073077270730886</v>
      </c>
      <c r="N569">
        <f>SIN($AC$9 * PI()/180) + 1/Performance!$AE$8</f>
        <v>0.22738716112204788</v>
      </c>
      <c r="O569" s="60">
        <f>$AC$16 * (Performance!$E$12/Constraints!A569 + Performance!$E$23 * (Constraints!$AC$13/Constraints!$AC$17)^2 * Constraints!A569)</f>
        <v>2.1486847309688879E-4</v>
      </c>
      <c r="P569" t="e">
        <f t="shared" si="35"/>
        <v>#VALUE!</v>
      </c>
      <c r="Q569">
        <f t="shared" si="36"/>
        <v>113.17660314729861</v>
      </c>
      <c r="R569">
        <f t="shared" si="37"/>
        <v>125.23753101124571</v>
      </c>
      <c r="S569" t="e">
        <f xml:space="preserve"> 1.667/G569 + P569/A569 * Performance!$E$12 + Performance!$E$23 / Constraints!P569 * Constraints!A569</f>
        <v>#VALUE!</v>
      </c>
      <c r="T569">
        <f xml:space="preserve"> 1.667/H569 + Q569/A569 * Performance!$E$12 + Performance!$E$23 / Constraints!Q569 * Constraints!A569</f>
        <v>0.18620617079415794</v>
      </c>
      <c r="U569">
        <f xml:space="preserve"> 1.667/I569 + R569/A569 * Performance!$E$12 + Performance!$E$23 / Constraints!R569 * Constraints!A569</f>
        <v>0.17447179670188054</v>
      </c>
    </row>
    <row r="570" spans="1:21" x14ac:dyDescent="0.3">
      <c r="A570" s="51">
        <v>284</v>
      </c>
      <c r="B570" s="50">
        <f>$V$4*Performance!$E$12*(1/A570)+Performance!$E$23*(1/Constraints!$V$4)*Constraints!A570</f>
        <v>0.11124873791030497</v>
      </c>
      <c r="C570" s="50">
        <f>$V$5*Performance!$E$12*(1/A570)+Performance!$E$23*(1/Constraints!$V$5)*Constraints!A570</f>
        <v>0.16331403414965556</v>
      </c>
      <c r="D570" s="52">
        <f t="shared" si="34"/>
        <v>0.403233284578219</v>
      </c>
      <c r="E570" s="52">
        <f>$V$4*Performance!$E$12*(1/A570)+Performance!$E$23*(1/Constraints!$V$9)*Constraints!A570</f>
        <v>0.1099661484222717</v>
      </c>
      <c r="F570" s="52">
        <f xml:space="preserve"> 1.21 / (9.81 * Constraints!$N$7 * Performance!$E$15 * Constraints!$N$5 ) * Constraints!A570 + 0.605 /Performance!$E$15 * (Performance!$E$16  - Constraints!$N$6 * Performance!$E$14) + Constraints!$N$6</f>
        <v>0.40307563087324633</v>
      </c>
      <c r="G570" s="54" t="s">
        <v>198</v>
      </c>
      <c r="H570" s="55">
        <f>SQRT(2/$V$3 * A570 * SQRT(Performance!$E$23 / (3 * Performance!$E$12)))</f>
        <v>20.779708654883571</v>
      </c>
      <c r="I570" s="55">
        <f>SQRT(2/$V$3 * A570 * (SQRT(Performance!$E$23)/(SQRT(3*Performance!$E$12 + 4* Performance!$E$23 * Performance!$E$11^2) - SQRT(Performance!$E$23)*Performance!$E$11)))</f>
        <v>21.85890362289901</v>
      </c>
      <c r="J570" t="e">
        <f xml:space="preserve"> $AC$3/G570 + $AC$6/A570 * Performance!$E$12 + Performance!$E$23/Constraints!$AC$6 * Constraints!A570</f>
        <v>#VALUE!</v>
      </c>
      <c r="K570">
        <f xml:space="preserve"> $AC$3/H570 + $AC$6/A570 * Performance!$E$12 + Performance!$E$23/Constraints!$AC$6 * Constraints!A570</f>
        <v>1.1581200422698161</v>
      </c>
      <c r="L570">
        <f xml:space="preserve"> $AC$3/I570 + $AC$6/A570 * Performance!$E$12 + Performance!$E$23/Constraints!$AC$6 * Constraints!A570</f>
        <v>1.1460503611966795</v>
      </c>
      <c r="M570">
        <f>SIN($AC$9 * PI()/180) + 1/Performance!$AE$5</f>
        <v>0.24073077270730886</v>
      </c>
      <c r="N570">
        <f>SIN($AC$9 * PI()/180) + 1/Performance!$AE$8</f>
        <v>0.22738716112204788</v>
      </c>
      <c r="O570" s="60">
        <f>$AC$16 * (Performance!$E$12/Constraints!A570 + Performance!$E$23 * (Constraints!$AC$13/Constraints!$AC$17)^2 * Constraints!A570)</f>
        <v>2.1494195635784604E-4</v>
      </c>
      <c r="P570" t="e">
        <f t="shared" si="35"/>
        <v>#VALUE!</v>
      </c>
      <c r="Q570">
        <f t="shared" si="36"/>
        <v>113.37620914932201</v>
      </c>
      <c r="R570">
        <f t="shared" si="37"/>
        <v>125.45840849098332</v>
      </c>
      <c r="S570" t="e">
        <f xml:space="preserve"> 1.667/G570 + P570/A570 * Performance!$E$12 + Performance!$E$23 / Constraints!P570 * Constraints!A570</f>
        <v>#VALUE!</v>
      </c>
      <c r="T570">
        <f xml:space="preserve"> 1.667/H570 + Q570/A570 * Performance!$E$12 + Performance!$E$23 / Constraints!Q570 * Constraints!A570</f>
        <v>0.18613545902066297</v>
      </c>
      <c r="U570">
        <f xml:space="preserve"> 1.667/I570 + R570/A570 * Performance!$E$12 + Performance!$E$23 / Constraints!R570 * Constraints!A570</f>
        <v>0.17440457603624035</v>
      </c>
    </row>
    <row r="571" spans="1:21" x14ac:dyDescent="0.3">
      <c r="A571" s="51">
        <v>284.5</v>
      </c>
      <c r="B571" s="50">
        <f>$V$4*Performance!$E$12*(1/A571)+Performance!$E$23*(1/Constraints!$V$4)*Constraints!A571</f>
        <v>0.11109280084369791</v>
      </c>
      <c r="C571" s="50">
        <f>$V$5*Performance!$E$12*(1/A571)+Performance!$E$23*(1/Constraints!$V$5)*Constraints!A571</f>
        <v>0.16305236816116808</v>
      </c>
      <c r="D571" s="52">
        <f t="shared" si="34"/>
        <v>0.4035055702905046</v>
      </c>
      <c r="E571" s="52">
        <f>$V$4*Performance!$E$12*(1/A571)+Performance!$E$23*(1/Constraints!$V$9)*Constraints!A571</f>
        <v>0.10980795327558007</v>
      </c>
      <c r="F571" s="52">
        <f xml:space="preserve"> 1.21 / (9.81 * Constraints!$N$7 * Performance!$E$15 * Constraints!$N$5 ) * Constraints!A571 + 0.605 /Performance!$E$15 * (Performance!$E$16  - Constraints!$N$6 * Performance!$E$14) + Constraints!$N$6</f>
        <v>0.4033476390261922</v>
      </c>
      <c r="G571" s="54" t="s">
        <v>198</v>
      </c>
      <c r="H571" s="55">
        <f>SQRT(2/$V$3 * A571 * SQRT(Performance!$E$23 / (3 * Performance!$E$12)))</f>
        <v>20.797992607963295</v>
      </c>
      <c r="I571" s="55">
        <f>SQRT(2/$V$3 * A571 * (SQRT(Performance!$E$23)/(SQRT(3*Performance!$E$12 + 4* Performance!$E$23 * Performance!$E$11^2) - SQRT(Performance!$E$23)*Performance!$E$11)))</f>
        <v>21.878137153784987</v>
      </c>
      <c r="J571" t="e">
        <f xml:space="preserve"> $AC$3/G571 + $AC$6/A571 * Performance!$E$12 + Performance!$E$23/Constraints!$AC$6 * Constraints!A571</f>
        <v>#VALUE!</v>
      </c>
      <c r="K571">
        <f xml:space="preserve"> $AC$3/H571 + $AC$6/A571 * Performance!$E$12 + Performance!$E$23/Constraints!$AC$6 * Constraints!A571</f>
        <v>1.1595093265436267</v>
      </c>
      <c r="L571">
        <f xml:space="preserve"> $AC$3/I571 + $AC$6/A571 * Performance!$E$12 + Performance!$E$23/Constraints!$AC$6 * Constraints!A571</f>
        <v>1.1474502561811768</v>
      </c>
      <c r="M571">
        <f>SIN($AC$9 * PI()/180) + 1/Performance!$AE$5</f>
        <v>0.24073077270730886</v>
      </c>
      <c r="N571">
        <f>SIN($AC$9 * PI()/180) + 1/Performance!$AE$8</f>
        <v>0.22738716112204788</v>
      </c>
      <c r="O571" s="60">
        <f>$AC$16 * (Performance!$E$12/Constraints!A571 + Performance!$E$23 * (Constraints!$AC$13/Constraints!$AC$17)^2 * Constraints!A571)</f>
        <v>2.1501597600604772E-4</v>
      </c>
      <c r="P571" t="e">
        <f t="shared" si="35"/>
        <v>#VALUE!</v>
      </c>
      <c r="Q571">
        <f t="shared" si="36"/>
        <v>113.57581515134549</v>
      </c>
      <c r="R571">
        <f t="shared" si="37"/>
        <v>125.679285970721</v>
      </c>
      <c r="S571" t="e">
        <f xml:space="preserve"> 1.667/G571 + P571/A571 * Performance!$E$12 + Performance!$E$23 / Constraints!P571 * Constraints!A571</f>
        <v>#VALUE!</v>
      </c>
      <c r="T571">
        <f xml:space="preserve"> 1.667/H571 + Q571/A571 * Performance!$E$12 + Performance!$E$23 / Constraints!Q571 * Constraints!A571</f>
        <v>0.1860649337398175</v>
      </c>
      <c r="U571">
        <f xml:space="preserve"> 1.667/I571 + R571/A571 * Performance!$E$12 + Performance!$E$23 / Constraints!R571 * Constraints!A571</f>
        <v>0.17433753265592927</v>
      </c>
    </row>
    <row r="572" spans="1:21" x14ac:dyDescent="0.3">
      <c r="A572" s="51">
        <v>285</v>
      </c>
      <c r="B572" s="50">
        <f>$V$4*Performance!$E$12*(1/A572)+Performance!$E$23*(1/Constraints!$V$4)*Constraints!A572</f>
        <v>0.11093748042290158</v>
      </c>
      <c r="C572" s="50">
        <f>$V$5*Performance!$E$12*(1/A572)+Performance!$E$23*(1/Constraints!$V$5)*Constraints!A572</f>
        <v>0.16279166481773183</v>
      </c>
      <c r="D572" s="52">
        <f t="shared" si="34"/>
        <v>0.4037778560027902</v>
      </c>
      <c r="E572" s="52">
        <f>$V$4*Performance!$E$12*(1/A572)+Performance!$E$23*(1/Constraints!$V$9)*Constraints!A572</f>
        <v>0.10965037477469919</v>
      </c>
      <c r="F572" s="52">
        <f xml:space="preserve"> 1.21 / (9.81 * Constraints!$N$7 * Performance!$E$15 * Constraints!$N$5 ) * Constraints!A572 + 0.605 /Performance!$E$15 * (Performance!$E$16  - Constraints!$N$6 * Performance!$E$14) + Constraints!$N$6</f>
        <v>0.40361964717913806</v>
      </c>
      <c r="G572" s="54" t="s">
        <v>198</v>
      </c>
      <c r="H572" s="55">
        <f>SQRT(2/$V$3 * A572 * SQRT(Performance!$E$23 / (3 * Performance!$E$12)))</f>
        <v>20.81626050134722</v>
      </c>
      <c r="I572" s="55">
        <f>SQRT(2/$V$3 * A572 * (SQRT(Performance!$E$23)/(SQRT(3*Performance!$E$12 + 4* Performance!$E$23 * Performance!$E$11^2) - SQRT(Performance!$E$23)*Performance!$E$11)))</f>
        <v>21.897353790914245</v>
      </c>
      <c r="J572" t="e">
        <f xml:space="preserve"> $AC$3/G572 + $AC$6/A572 * Performance!$E$12 + Performance!$E$23/Constraints!$AC$6 * Constraints!A572</f>
        <v>#VALUE!</v>
      </c>
      <c r="K572">
        <f xml:space="preserve"> $AC$3/H572 + $AC$6/A572 * Performance!$E$12 + Performance!$E$23/Constraints!$AC$6 * Constraints!A572</f>
        <v>1.1608991842430791</v>
      </c>
      <c r="L572">
        <f xml:space="preserve"> $AC$3/I572 + $AC$6/A572 * Performance!$E$12 + Performance!$E$23/Constraints!$AC$6 * Constraints!A572</f>
        <v>1.1488506966561318</v>
      </c>
      <c r="M572">
        <f>SIN($AC$9 * PI()/180) + 1/Performance!$AE$5</f>
        <v>0.24073077270730886</v>
      </c>
      <c r="N572">
        <f>SIN($AC$9 * PI()/180) + 1/Performance!$AE$8</f>
        <v>0.22738716112204788</v>
      </c>
      <c r="O572" s="60">
        <f>$AC$16 * (Performance!$E$12/Constraints!A572 + Performance!$E$23 * (Constraints!$AC$13/Constraints!$AC$17)^2 * Constraints!A572)</f>
        <v>2.1509052921840312E-4</v>
      </c>
      <c r="P572" t="e">
        <f t="shared" si="35"/>
        <v>#VALUE!</v>
      </c>
      <c r="Q572">
        <f t="shared" si="36"/>
        <v>113.77542115336895</v>
      </c>
      <c r="R572">
        <f t="shared" si="37"/>
        <v>125.90016345045863</v>
      </c>
      <c r="S572" t="e">
        <f xml:space="preserve"> 1.667/G572 + P572/A572 * Performance!$E$12 + Performance!$E$23 / Constraints!P572 * Constraints!A572</f>
        <v>#VALUE!</v>
      </c>
      <c r="T572">
        <f xml:space="preserve"> 1.667/H572 + Q572/A572 * Performance!$E$12 + Performance!$E$23 / Constraints!Q572 * Constraints!A572</f>
        <v>0.18599459413331212</v>
      </c>
      <c r="U572">
        <f xml:space="preserve"> 1.667/I572 + R572/A572 * Performance!$E$12 + Performance!$E$23 / Constraints!R572 * Constraints!A572</f>
        <v>0.17427066578303868</v>
      </c>
    </row>
    <row r="573" spans="1:21" x14ac:dyDescent="0.3">
      <c r="A573" s="51">
        <v>285.5</v>
      </c>
      <c r="B573" s="50">
        <f>$V$4*Performance!$E$12*(1/A573)+Performance!$E$23*(1/Constraints!$V$4)*Constraints!A573</f>
        <v>0.11078277340809563</v>
      </c>
      <c r="C573" s="50">
        <f>$V$5*Performance!$E$12*(1/A573)+Performance!$E$23*(1/Constraints!$V$5)*Constraints!A573</f>
        <v>0.16253191906166692</v>
      </c>
      <c r="D573" s="52">
        <f t="shared" si="34"/>
        <v>0.40405014171507581</v>
      </c>
      <c r="E573" s="52">
        <f>$V$4*Performance!$E$12*(1/A573)+Performance!$E$23*(1/Constraints!$V$9)*Constraints!A573</f>
        <v>0.10949340967980867</v>
      </c>
      <c r="F573" s="52">
        <f xml:space="preserve"> 1.21 / (9.81 * Constraints!$N$7 * Performance!$E$15 * Constraints!$N$5 ) * Constraints!A573 + 0.605 /Performance!$E$15 * (Performance!$E$16  - Constraints!$N$6 * Performance!$E$14) + Constraints!$N$6</f>
        <v>0.40389165533208393</v>
      </c>
      <c r="G573" s="54" t="s">
        <v>198</v>
      </c>
      <c r="H573" s="55">
        <f>SQRT(2/$V$3 * A573 * SQRT(Performance!$E$23 / (3 * Performance!$E$12)))</f>
        <v>20.834512377279218</v>
      </c>
      <c r="I573" s="55">
        <f>SQRT(2/$V$3 * A573 * (SQRT(Performance!$E$23)/(SQRT(3*Performance!$E$12 + 4* Performance!$E$23 * Performance!$E$11^2) - SQRT(Performance!$E$23)*Performance!$E$11)))</f>
        <v>21.916553578724592</v>
      </c>
      <c r="J573" t="e">
        <f xml:space="preserve"> $AC$3/G573 + $AC$6/A573 * Performance!$E$12 + Performance!$E$23/Constraints!$AC$6 * Constraints!A573</f>
        <v>#VALUE!</v>
      </c>
      <c r="K573">
        <f xml:space="preserve"> $AC$3/H573 + $AC$6/A573 * Performance!$E$12 + Performance!$E$23/Constraints!$AC$6 * Constraints!A573</f>
        <v>1.162289612849809</v>
      </c>
      <c r="L573">
        <f xml:space="preserve"> $AC$3/I573 + $AC$6/A573 * Performance!$E$12 + Performance!$E$23/Constraints!$AC$6 * Constraints!A573</f>
        <v>1.1502516802255423</v>
      </c>
      <c r="M573">
        <f>SIN($AC$9 * PI()/180) + 1/Performance!$AE$5</f>
        <v>0.24073077270730886</v>
      </c>
      <c r="N573">
        <f>SIN($AC$9 * PI()/180) + 1/Performance!$AE$8</f>
        <v>0.22738716112204788</v>
      </c>
      <c r="O573" s="60">
        <f>$AC$16 * (Performance!$E$12/Constraints!A573 + Performance!$E$23 * (Constraints!$AC$13/Constraints!$AC$17)^2 * Constraints!A573)</f>
        <v>2.1516561319159786E-4</v>
      </c>
      <c r="P573" t="e">
        <f t="shared" si="35"/>
        <v>#VALUE!</v>
      </c>
      <c r="Q573">
        <f t="shared" si="36"/>
        <v>113.9750271553924</v>
      </c>
      <c r="R573">
        <f t="shared" si="37"/>
        <v>126.12104093019626</v>
      </c>
      <c r="S573" t="e">
        <f xml:space="preserve"> 1.667/G573 + P573/A573 * Performance!$E$12 + Performance!$E$23 / Constraints!P573 * Constraints!A573</f>
        <v>#VALUE!</v>
      </c>
      <c r="T573">
        <f xml:space="preserve"> 1.667/H573 + Q573/A573 * Performance!$E$12 + Performance!$E$23 / Constraints!Q573 * Constraints!A573</f>
        <v>0.18592443938785547</v>
      </c>
      <c r="U573">
        <f xml:space="preserve"> 1.667/I573 + R573/A573 * Performance!$E$12 + Performance!$E$23 / Constraints!R573 * Constraints!A573</f>
        <v>0.17420397464443008</v>
      </c>
    </row>
    <row r="574" spans="1:21" x14ac:dyDescent="0.3">
      <c r="A574" s="51">
        <v>286</v>
      </c>
      <c r="B574" s="50">
        <f>$V$4*Performance!$E$12*(1/A574)+Performance!$E$23*(1/Constraints!$V$4)*Constraints!A574</f>
        <v>0.11062867658211578</v>
      </c>
      <c r="C574" s="50">
        <f>$V$5*Performance!$E$12*(1/A574)+Performance!$E$23*(1/Constraints!$V$5)*Constraints!A574</f>
        <v>0.16227312587066209</v>
      </c>
      <c r="D574" s="52">
        <f t="shared" si="34"/>
        <v>0.40432242742736141</v>
      </c>
      <c r="E574" s="52">
        <f>$V$4*Performance!$E$12*(1/A574)+Performance!$E$23*(1/Constraints!$V$9)*Constraints!A574</f>
        <v>0.10933705477374424</v>
      </c>
      <c r="F574" s="52">
        <f xml:space="preserve"> 1.21 / (9.81 * Constraints!$N$7 * Performance!$E$15 * Constraints!$N$5 ) * Constraints!A574 + 0.605 /Performance!$E$15 * (Performance!$E$16  - Constraints!$N$6 * Performance!$E$14) + Constraints!$N$6</f>
        <v>0.40416366348502974</v>
      </c>
      <c r="G574" s="54" t="s">
        <v>198</v>
      </c>
      <c r="H574" s="55">
        <f>SQRT(2/$V$3 * A574 * SQRT(Performance!$E$23 / (3 * Performance!$E$12)))</f>
        <v>20.852748277818286</v>
      </c>
      <c r="I574" s="55">
        <f>SQRT(2/$V$3 * A574 * (SQRT(Performance!$E$23)/(SQRT(3*Performance!$E$12 + 4* Performance!$E$23 * Performance!$E$11^2) - SQRT(Performance!$E$23)*Performance!$E$11)))</f>
        <v>21.935736561459368</v>
      </c>
      <c r="J574" t="e">
        <f xml:space="preserve"> $AC$3/G574 + $AC$6/A574 * Performance!$E$12 + Performance!$E$23/Constraints!$AC$6 * Constraints!A574</f>
        <v>#VALUE!</v>
      </c>
      <c r="K574">
        <f xml:space="preserve"> $AC$3/H574 + $AC$6/A574 * Performance!$E$12 + Performance!$E$23/Constraints!$AC$6 * Constraints!A574</f>
        <v>1.1636806098609034</v>
      </c>
      <c r="L574">
        <f xml:space="preserve"> $AC$3/I574 + $AC$6/A574 * Performance!$E$12 + Performance!$E$23/Constraints!$AC$6 * Constraints!A574</f>
        <v>1.1516532045081072</v>
      </c>
      <c r="M574">
        <f>SIN($AC$9 * PI()/180) + 1/Performance!$AE$5</f>
        <v>0.24073077270730886</v>
      </c>
      <c r="N574">
        <f>SIN($AC$9 * PI()/180) + 1/Performance!$AE$8</f>
        <v>0.22738716112204788</v>
      </c>
      <c r="O574" s="60">
        <f>$AC$16 * (Performance!$E$12/Constraints!A574 + Performance!$E$23 * (Constraints!$AC$13/Constraints!$AC$17)^2 * Constraints!A574)</f>
        <v>2.1524122514192132E-4</v>
      </c>
      <c r="P574" t="e">
        <f t="shared" si="35"/>
        <v>#VALUE!</v>
      </c>
      <c r="Q574">
        <f t="shared" si="36"/>
        <v>114.17463315741585</v>
      </c>
      <c r="R574">
        <f t="shared" si="37"/>
        <v>126.34191840993394</v>
      </c>
      <c r="S574" t="e">
        <f xml:space="preserve"> 1.667/G574 + P574/A574 * Performance!$E$12 + Performance!$E$23 / Constraints!P574 * Constraints!A574</f>
        <v>#VALUE!</v>
      </c>
      <c r="T574">
        <f xml:space="preserve"> 1.667/H574 + Q574/A574 * Performance!$E$12 + Performance!$E$23 / Constraints!Q574 * Constraints!A574</f>
        <v>0.18585446869513469</v>
      </c>
      <c r="U574">
        <f xml:space="preserve"> 1.667/I574 + R574/A574 * Performance!$E$12 + Performance!$E$23 / Constraints!R574 * Constraints!A574</f>
        <v>0.17413745847169781</v>
      </c>
    </row>
    <row r="575" spans="1:21" x14ac:dyDescent="0.3">
      <c r="A575" s="51">
        <v>286.5</v>
      </c>
      <c r="B575" s="50">
        <f>$V$4*Performance!$E$12*(1/A575)+Performance!$E$23*(1/Constraints!$V$4)*Constraints!A575</f>
        <v>0.1104751867502561</v>
      </c>
      <c r="C575" s="50">
        <f>$V$5*Performance!$E$12*(1/A575)+Performance!$E$23*(1/Constraints!$V$5)*Constraints!A575</f>
        <v>0.16201528025746559</v>
      </c>
      <c r="D575" s="52">
        <f t="shared" si="34"/>
        <v>0.40459471313964701</v>
      </c>
      <c r="E575" s="52">
        <f>$V$4*Performance!$E$12*(1/A575)+Performance!$E$23*(1/Constraints!$V$9)*Constraints!A575</f>
        <v>0.1091813068618</v>
      </c>
      <c r="F575" s="52">
        <f xml:space="preserve"> 1.21 / (9.81 * Constraints!$N$7 * Performance!$E$15 * Constraints!$N$5 ) * Constraints!A575 + 0.605 /Performance!$E$15 * (Performance!$E$16  - Constraints!$N$6 * Performance!$E$14) + Constraints!$N$6</f>
        <v>0.40443567163797561</v>
      </c>
      <c r="G575" s="54" t="s">
        <v>198</v>
      </c>
      <c r="H575" s="55">
        <f>SQRT(2/$V$3 * A575 * SQRT(Performance!$E$23 / (3 * Performance!$E$12)))</f>
        <v>20.870968244839673</v>
      </c>
      <c r="I575" s="55">
        <f>SQRT(2/$V$3 * A575 * (SQRT(Performance!$E$23)/(SQRT(3*Performance!$E$12 + 4* Performance!$E$23 * Performance!$E$11^2) - SQRT(Performance!$E$23)*Performance!$E$11)))</f>
        <v>21.954902783168606</v>
      </c>
      <c r="J575" t="e">
        <f xml:space="preserve"> $AC$3/G575 + $AC$6/A575 * Performance!$E$12 + Performance!$E$23/Constraints!$AC$6 * Constraints!A575</f>
        <v>#VALUE!</v>
      </c>
      <c r="K575">
        <f xml:space="preserve"> $AC$3/H575 + $AC$6/A575 * Performance!$E$12 + Performance!$E$23/Constraints!$AC$6 * Constraints!A575</f>
        <v>1.1650721727887783</v>
      </c>
      <c r="L575">
        <f xml:space="preserve"> $AC$3/I575 + $AC$6/A575 * Performance!$E$12 + Performance!$E$23/Constraints!$AC$6 * Constraints!A575</f>
        <v>1.153055267137113</v>
      </c>
      <c r="M575">
        <f>SIN($AC$9 * PI()/180) + 1/Performance!$AE$5</f>
        <v>0.24073077270730886</v>
      </c>
      <c r="N575">
        <f>SIN($AC$9 * PI()/180) + 1/Performance!$AE$8</f>
        <v>0.22738716112204788</v>
      </c>
      <c r="O575" s="60">
        <f>$AC$16 * (Performance!$E$12/Constraints!A575 + Performance!$E$23 * (Constraints!$AC$13/Constraints!$AC$17)^2 * Constraints!A575)</f>
        <v>2.1531736230509529E-4</v>
      </c>
      <c r="P575" t="e">
        <f t="shared" si="35"/>
        <v>#VALUE!</v>
      </c>
      <c r="Q575">
        <f t="shared" si="36"/>
        <v>114.37423915943933</v>
      </c>
      <c r="R575">
        <f t="shared" si="37"/>
        <v>126.56279588967155</v>
      </c>
      <c r="S575" t="e">
        <f xml:space="preserve"> 1.667/G575 + P575/A575 * Performance!$E$12 + Performance!$E$23 / Constraints!P575 * Constraints!A575</f>
        <v>#VALUE!</v>
      </c>
      <c r="T575">
        <f xml:space="preserve"> 1.667/H575 + Q575/A575 * Performance!$E$12 + Performance!$E$23 / Constraints!Q575 * Constraints!A575</f>
        <v>0.18578468125177655</v>
      </c>
      <c r="U575">
        <f xml:space="preserve"> 1.667/I575 + R575/A575 * Performance!$E$12 + Performance!$E$23 / Constraints!R575 * Constraints!A575</f>
        <v>0.17407111650113205</v>
      </c>
    </row>
    <row r="576" spans="1:21" x14ac:dyDescent="0.3">
      <c r="A576" s="51">
        <v>287</v>
      </c>
      <c r="B576" s="50">
        <f>$V$4*Performance!$E$12*(1/A576)+Performance!$E$23*(1/Constraints!$V$4)*Constraints!A576</f>
        <v>0.1103223007400735</v>
      </c>
      <c r="C576" s="50">
        <f>$V$5*Performance!$E$12*(1/A576)+Performance!$E$23*(1/Constraints!$V$5)*Constraints!A576</f>
        <v>0.16175837726958026</v>
      </c>
      <c r="D576" s="52">
        <f t="shared" si="34"/>
        <v>0.40486699885193256</v>
      </c>
      <c r="E576" s="52">
        <f>$V$4*Performance!$E$12*(1/A576)+Performance!$E$23*(1/Constraints!$V$9)*Constraints!A576</f>
        <v>0.10902616277153283</v>
      </c>
      <c r="F576" s="52">
        <f xml:space="preserve"> 1.21 / (9.81 * Constraints!$N$7 * Performance!$E$15 * Constraints!$N$5 ) * Constraints!A576 + 0.605 /Performance!$E$15 * (Performance!$E$16  - Constraints!$N$6 * Performance!$E$14) + Constraints!$N$6</f>
        <v>0.40470767979092148</v>
      </c>
      <c r="G576" s="54" t="s">
        <v>198</v>
      </c>
      <c r="H576" s="55">
        <f>SQRT(2/$V$3 * A576 * SQRT(Performance!$E$23 / (3 * Performance!$E$12)))</f>
        <v>20.889172320036007</v>
      </c>
      <c r="I576" s="55">
        <f>SQRT(2/$V$3 * A576 * (SQRT(Performance!$E$23)/(SQRT(3*Performance!$E$12 + 4* Performance!$E$23 * Performance!$E$11^2) - SQRT(Performance!$E$23)*Performance!$E$11)))</f>
        <v>21.974052287710251</v>
      </c>
      <c r="J576" t="e">
        <f xml:space="preserve"> $AC$3/G576 + $AC$6/A576 * Performance!$E$12 + Performance!$E$23/Constraints!$AC$6 * Constraints!A576</f>
        <v>#VALUE!</v>
      </c>
      <c r="K576">
        <f xml:space="preserve"> $AC$3/H576 + $AC$6/A576 * Performance!$E$12 + Performance!$E$23/Constraints!$AC$6 * Constraints!A576</f>
        <v>1.166464299161059</v>
      </c>
      <c r="L576">
        <f xml:space="preserve"> $AC$3/I576 + $AC$6/A576 * Performance!$E$12 + Performance!$E$23/Constraints!$AC$6 * Constraints!A576</f>
        <v>1.1544578657603166</v>
      </c>
      <c r="M576">
        <f>SIN($AC$9 * PI()/180) + 1/Performance!$AE$5</f>
        <v>0.24073077270730886</v>
      </c>
      <c r="N576">
        <f>SIN($AC$9 * PI()/180) + 1/Performance!$AE$8</f>
        <v>0.22738716112204788</v>
      </c>
      <c r="O576" s="60">
        <f>$AC$16 * (Performance!$E$12/Constraints!A576 + Performance!$E$23 * (Constraints!$AC$13/Constraints!$AC$17)^2 * Constraints!A576)</f>
        <v>2.1539402193610494E-4</v>
      </c>
      <c r="P576" t="e">
        <f t="shared" si="35"/>
        <v>#VALUE!</v>
      </c>
      <c r="Q576">
        <f t="shared" si="36"/>
        <v>114.57384516146276</v>
      </c>
      <c r="R576">
        <f t="shared" si="37"/>
        <v>126.78367336940923</v>
      </c>
      <c r="S576" t="e">
        <f xml:space="preserve"> 1.667/G576 + P576/A576 * Performance!$E$12 + Performance!$E$23 / Constraints!P576 * Constraints!A576</f>
        <v>#VALUE!</v>
      </c>
      <c r="T576">
        <f xml:space="preserve"> 1.667/H576 + Q576/A576 * Performance!$E$12 + Performance!$E$23 / Constraints!Q576 * Constraints!A576</f>
        <v>0.18571507625930855</v>
      </c>
      <c r="U576">
        <f xml:space="preserve"> 1.667/I576 + R576/A576 * Performance!$E$12 + Performance!$E$23 / Constraints!R576 * Constraints!A576</f>
        <v>0.17400494797368149</v>
      </c>
    </row>
    <row r="577" spans="1:21" x14ac:dyDescent="0.3">
      <c r="A577" s="51">
        <v>287.5</v>
      </c>
      <c r="B577" s="50">
        <f>$V$4*Performance!$E$12*(1/A577)+Performance!$E$23*(1/Constraints!$V$4)*Constraints!A577</f>
        <v>0.11017001540119398</v>
      </c>
      <c r="C577" s="50">
        <f>$V$5*Performance!$E$12*(1/A577)+Performance!$E$23*(1/Constraints!$V$5)*Constraints!A577</f>
        <v>0.16150241198896098</v>
      </c>
      <c r="D577" s="52">
        <f t="shared" si="34"/>
        <v>0.40513928456421822</v>
      </c>
      <c r="E577" s="52">
        <f>$V$4*Performance!$E$12*(1/A577)+Performance!$E$23*(1/Constraints!$V$9)*Constraints!A577</f>
        <v>0.10887161935256874</v>
      </c>
      <c r="F577" s="52">
        <f xml:space="preserve"> 1.21 / (9.81 * Constraints!$N$7 * Performance!$E$15 * Constraints!$N$5 ) * Constraints!A577 + 0.605 /Performance!$E$15 * (Performance!$E$16  - Constraints!$N$6 * Performance!$E$14) + Constraints!$N$6</f>
        <v>0.40497968794386729</v>
      </c>
      <c r="G577" s="54" t="s">
        <v>198</v>
      </c>
      <c r="H577" s="55">
        <f>SQRT(2/$V$3 * A577 * SQRT(Performance!$E$23 / (3 * Performance!$E$12)))</f>
        <v>20.907360544918411</v>
      </c>
      <c r="I577" s="55">
        <f>SQRT(2/$V$3 * A577 * (SQRT(Performance!$E$23)/(SQRT(3*Performance!$E$12 + 4* Performance!$E$23 * Performance!$E$11^2) - SQRT(Performance!$E$23)*Performance!$E$11)))</f>
        <v>21.993185118751295</v>
      </c>
      <c r="J577" t="e">
        <f xml:space="preserve"> $AC$3/G577 + $AC$6/A577 * Performance!$E$12 + Performance!$E$23/Constraints!$AC$6 * Constraints!A577</f>
        <v>#VALUE!</v>
      </c>
      <c r="K577">
        <f xml:space="preserve"> $AC$3/H577 + $AC$6/A577 * Performance!$E$12 + Performance!$E$23/Constraints!$AC$6 * Constraints!A577</f>
        <v>1.1678569865204604</v>
      </c>
      <c r="L577">
        <f xml:space="preserve"> $AC$3/I577 + $AC$6/A577 * Performance!$E$12 + Performance!$E$23/Constraints!$AC$6 * Constraints!A577</f>
        <v>1.155860998039834</v>
      </c>
      <c r="M577">
        <f>SIN($AC$9 * PI()/180) + 1/Performance!$AE$5</f>
        <v>0.24073077270730886</v>
      </c>
      <c r="N577">
        <f>SIN($AC$9 * PI()/180) + 1/Performance!$AE$8</f>
        <v>0.22738716112204788</v>
      </c>
      <c r="O577" s="60">
        <f>$AC$16 * (Performance!$E$12/Constraints!A577 + Performance!$E$23 * (Constraints!$AC$13/Constraints!$AC$17)^2 * Constraints!A577)</f>
        <v>2.1547120130903101E-4</v>
      </c>
      <c r="P577" t="e">
        <f t="shared" si="35"/>
        <v>#VALUE!</v>
      </c>
      <c r="Q577">
        <f t="shared" si="36"/>
        <v>114.77345116348621</v>
      </c>
      <c r="R577">
        <f t="shared" si="37"/>
        <v>127.00455084914685</v>
      </c>
      <c r="S577" t="e">
        <f xml:space="preserve"> 1.667/G577 + P577/A577 * Performance!$E$12 + Performance!$E$23 / Constraints!P577 * Constraints!A577</f>
        <v>#VALUE!</v>
      </c>
      <c r="T577">
        <f xml:space="preserve"> 1.667/H577 + Q577/A577 * Performance!$E$12 + Performance!$E$23 / Constraints!Q577 * Constraints!A577</f>
        <v>0.18564565292412055</v>
      </c>
      <c r="U577">
        <f xml:space="preserve"> 1.667/I577 + R577/A577 * Performance!$E$12 + Performance!$E$23 / Constraints!R577 * Constraints!A577</f>
        <v>0.17393895213491739</v>
      </c>
    </row>
    <row r="578" spans="1:21" x14ac:dyDescent="0.3">
      <c r="A578" s="51">
        <v>288</v>
      </c>
      <c r="B578" s="50">
        <f>$V$4*Performance!$E$12*(1/A578)+Performance!$E$23*(1/Constraints!$V$4)*Constraints!A578</f>
        <v>0.11001832760512116</v>
      </c>
      <c r="C578" s="50">
        <f>$V$5*Performance!$E$12*(1/A578)+Performance!$E$23*(1/Constraints!$V$5)*Constraints!A578</f>
        <v>0.16124737953171567</v>
      </c>
      <c r="D578" s="52">
        <f t="shared" si="34"/>
        <v>0.40541157027650376</v>
      </c>
      <c r="E578" s="52">
        <f>$V$4*Performance!$E$12*(1/A578)+Performance!$E$23*(1/Constraints!$V$9)*Constraints!A578</f>
        <v>0.10871767347641137</v>
      </c>
      <c r="F578" s="52">
        <f xml:space="preserve"> 1.21 / (9.81 * Constraints!$N$7 * Performance!$E$15 * Constraints!$N$5 ) * Constraints!A578 + 0.605 /Performance!$E$15 * (Performance!$E$16  - Constraints!$N$6 * Performance!$E$14) + Constraints!$N$6</f>
        <v>0.40525169609681322</v>
      </c>
      <c r="G578" s="54" t="s">
        <v>198</v>
      </c>
      <c r="H578" s="55">
        <f>SQRT(2/$V$3 * A578 * SQRT(Performance!$E$23 / (3 * Performance!$E$12)))</f>
        <v>20.925532960817595</v>
      </c>
      <c r="I578" s="55">
        <f>SQRT(2/$V$3 * A578 * (SQRT(Performance!$E$23)/(SQRT(3*Performance!$E$12 + 4* Performance!$E$23 * Performance!$E$11^2) - SQRT(Performance!$E$23)*Performance!$E$11)))</f>
        <v>22.012301319768973</v>
      </c>
      <c r="J578" t="e">
        <f xml:space="preserve"> $AC$3/G578 + $AC$6/A578 * Performance!$E$12 + Performance!$E$23/Constraints!$AC$6 * Constraints!A578</f>
        <v>#VALUE!</v>
      </c>
      <c r="K578">
        <f xml:space="preserve"> $AC$3/H578 + $AC$6/A578 * Performance!$E$12 + Performance!$E$23/Constraints!$AC$6 * Constraints!A578</f>
        <v>1.1692502324246692</v>
      </c>
      <c r="L578">
        <f xml:space="preserve"> $AC$3/I578 + $AC$6/A578 * Performance!$E$12 + Performance!$E$23/Constraints!$AC$6 * Constraints!A578</f>
        <v>1.1572646616520268</v>
      </c>
      <c r="M578">
        <f>SIN($AC$9 * PI()/180) + 1/Performance!$AE$5</f>
        <v>0.24073077270730886</v>
      </c>
      <c r="N578">
        <f>SIN($AC$9 * PI()/180) + 1/Performance!$AE$8</f>
        <v>0.22738716112204788</v>
      </c>
      <c r="O578" s="60">
        <f>$AC$16 * (Performance!$E$12/Constraints!A578 + Performance!$E$23 * (Constraints!$AC$13/Constraints!$AC$17)^2 * Constraints!A578)</f>
        <v>2.1554889771688445E-4</v>
      </c>
      <c r="P578" t="e">
        <f t="shared" si="35"/>
        <v>#VALUE!</v>
      </c>
      <c r="Q578">
        <f t="shared" si="36"/>
        <v>114.97305716550966</v>
      </c>
      <c r="R578">
        <f t="shared" si="37"/>
        <v>127.22542832888449</v>
      </c>
      <c r="S578" t="e">
        <f xml:space="preserve"> 1.667/G578 + P578/A578 * Performance!$E$12 + Performance!$E$23 / Constraints!P578 * Constraints!A578</f>
        <v>#VALUE!</v>
      </c>
      <c r="T578">
        <f xml:space="preserve"> 1.667/H578 + Q578/A578 * Performance!$E$12 + Performance!$E$23 / Constraints!Q578 * Constraints!A578</f>
        <v>0.18557641045742676</v>
      </c>
      <c r="U578">
        <f xml:space="preserve"> 1.667/I578 + R578/A578 * Performance!$E$12 + Performance!$E$23 / Constraints!R578 * Constraints!A578</f>
        <v>0.17387312823499701</v>
      </c>
    </row>
    <row r="579" spans="1:21" x14ac:dyDescent="0.3">
      <c r="A579" s="51">
        <v>288.5</v>
      </c>
      <c r="B579" s="50">
        <f>$V$4*Performance!$E$12*(1/A579)+Performance!$E$23*(1/Constraints!$V$4)*Constraints!A579</f>
        <v>0.10986723424504673</v>
      </c>
      <c r="C579" s="50">
        <f>$V$5*Performance!$E$12*(1/A579)+Performance!$E$23*(1/Constraints!$V$5)*Constraints!A579</f>
        <v>0.16099327504780955</v>
      </c>
      <c r="D579" s="52">
        <f t="shared" si="34"/>
        <v>0.40568385598878942</v>
      </c>
      <c r="E579" s="52">
        <f>$V$4*Performance!$E$12*(1/A579)+Performance!$E$23*(1/Constraints!$V$9)*Constraints!A579</f>
        <v>0.10856432203625237</v>
      </c>
      <c r="F579" s="52">
        <f xml:space="preserve"> 1.21 / (9.81 * Constraints!$N$7 * Performance!$E$15 * Constraints!$N$5 ) * Constraints!A579 + 0.605 /Performance!$E$15 * (Performance!$E$16  - Constraints!$N$6 * Performance!$E$14) + Constraints!$N$6</f>
        <v>0.40552370424975903</v>
      </c>
      <c r="G579" s="54" t="s">
        <v>198</v>
      </c>
      <c r="H579" s="55">
        <f>SQRT(2/$V$3 * A579 * SQRT(Performance!$E$23 / (3 * Performance!$E$12)))</f>
        <v>20.943689608884966</v>
      </c>
      <c r="I579" s="55">
        <f>SQRT(2/$V$3 * A579 * (SQRT(Performance!$E$23)/(SQRT(3*Performance!$E$12 + 4* Performance!$E$23 * Performance!$E$11^2) - SQRT(Performance!$E$23)*Performance!$E$11)))</f>
        <v>22.031400934051884</v>
      </c>
      <c r="J579" t="e">
        <f xml:space="preserve"> $AC$3/G579 + $AC$6/A579 * Performance!$E$12 + Performance!$E$23/Constraints!$AC$6 * Constraints!A579</f>
        <v>#VALUE!</v>
      </c>
      <c r="K579">
        <f xml:space="preserve"> $AC$3/H579 + $AC$6/A579 * Performance!$E$12 + Performance!$E$23/Constraints!$AC$6 * Constraints!A579</f>
        <v>1.1706440344462266</v>
      </c>
      <c r="L579">
        <f xml:space="preserve"> $AC$3/I579 + $AC$6/A579 * Performance!$E$12 + Performance!$E$23/Constraints!$AC$6 * Constraints!A579</f>
        <v>1.1586688542873904</v>
      </c>
      <c r="M579">
        <f>SIN($AC$9 * PI()/180) + 1/Performance!$AE$5</f>
        <v>0.24073077270730886</v>
      </c>
      <c r="N579">
        <f>SIN($AC$9 * PI()/180) + 1/Performance!$AE$8</f>
        <v>0.22738716112204788</v>
      </c>
      <c r="O579" s="60">
        <f>$AC$16 * (Performance!$E$12/Constraints!A579 + Performance!$E$23 * (Constraints!$AC$13/Constraints!$AC$17)^2 * Constraints!A579)</f>
        <v>2.1562710847144206E-4</v>
      </c>
      <c r="P579" t="e">
        <f t="shared" si="35"/>
        <v>#VALUE!</v>
      </c>
      <c r="Q579">
        <f t="shared" si="36"/>
        <v>115.17266316753312</v>
      </c>
      <c r="R579">
        <f t="shared" si="37"/>
        <v>127.44630580862213</v>
      </c>
      <c r="S579" t="e">
        <f xml:space="preserve"> 1.667/G579 + P579/A579 * Performance!$E$12 + Performance!$E$23 / Constraints!P579 * Constraints!A579</f>
        <v>#VALUE!</v>
      </c>
      <c r="T579">
        <f xml:space="preserve"> 1.667/H579 + Q579/A579 * Performance!$E$12 + Performance!$E$23 / Constraints!Q579 * Constraints!A579</f>
        <v>0.18550734807522817</v>
      </c>
      <c r="U579">
        <f xml:space="preserve"> 1.667/I579 + R579/A579 * Performance!$E$12 + Performance!$E$23 / Constraints!R579 * Constraints!A579</f>
        <v>0.17380747552862819</v>
      </c>
    </row>
    <row r="580" spans="1:21" x14ac:dyDescent="0.3">
      <c r="A580" s="51">
        <v>289</v>
      </c>
      <c r="B580" s="50">
        <f>$V$4*Performance!$E$12*(1/A580)+Performance!$E$23*(1/Constraints!$V$4)*Constraints!A580</f>
        <v>0.10971673223566271</v>
      </c>
      <c r="C580" s="50">
        <f>$V$5*Performance!$E$12*(1/A580)+Performance!$E$23*(1/Constraints!$V$5)*Constraints!A580</f>
        <v>0.16074009372077197</v>
      </c>
      <c r="D580" s="52">
        <f t="shared" si="34"/>
        <v>0.40595614170107497</v>
      </c>
      <c r="E580" s="52">
        <f>$V$4*Performance!$E$12*(1/A580)+Performance!$E$23*(1/Constraints!$V$9)*Constraints!A580</f>
        <v>0.10841156194678378</v>
      </c>
      <c r="F580" s="52">
        <f xml:space="preserve"> 1.21 / (9.81 * Constraints!$N$7 * Performance!$E$15 * Constraints!$N$5 ) * Constraints!A580 + 0.605 /Performance!$E$15 * (Performance!$E$16  - Constraints!$N$6 * Performance!$E$14) + Constraints!$N$6</f>
        <v>0.4057957124027049</v>
      </c>
      <c r="G580" s="54" t="s">
        <v>198</v>
      </c>
      <c r="H580" s="55">
        <f>SQRT(2/$V$3 * A580 * SQRT(Performance!$E$23 / (3 * Performance!$E$12)))</f>
        <v>20.96183053009371</v>
      </c>
      <c r="I580" s="55">
        <f>SQRT(2/$V$3 * A580 * (SQRT(Performance!$E$23)/(SQRT(3*Performance!$E$12 + 4* Performance!$E$23 * Performance!$E$11^2) - SQRT(Performance!$E$23)*Performance!$E$11)))</f>
        <v>22.050484004701161</v>
      </c>
      <c r="J580" t="e">
        <f xml:space="preserve"> $AC$3/G580 + $AC$6/A580 * Performance!$E$12 + Performance!$E$23/Constraints!$AC$6 * Constraints!A580</f>
        <v>#VALUE!</v>
      </c>
      <c r="K580">
        <f xml:space="preserve"> $AC$3/H580 + $AC$6/A580 * Performance!$E$12 + Performance!$E$23/Constraints!$AC$6 * Constraints!A580</f>
        <v>1.1720383901724114</v>
      </c>
      <c r="L580">
        <f xml:space="preserve"> $AC$3/I580 + $AC$6/A580 * Performance!$E$12 + Performance!$E$23/Constraints!$AC$6 * Constraints!A580</f>
        <v>1.1600735736504444</v>
      </c>
      <c r="M580">
        <f>SIN($AC$9 * PI()/180) + 1/Performance!$AE$5</f>
        <v>0.24073077270730886</v>
      </c>
      <c r="N580">
        <f>SIN($AC$9 * PI()/180) + 1/Performance!$AE$8</f>
        <v>0.22738716112204788</v>
      </c>
      <c r="O580" s="60">
        <f>$AC$16 * (Performance!$E$12/Constraints!A580 + Performance!$E$23 * (Constraints!$AC$13/Constraints!$AC$17)^2 * Constraints!A580)</f>
        <v>2.1570583090308425E-4</v>
      </c>
      <c r="P580" t="e">
        <f t="shared" si="35"/>
        <v>#VALUE!</v>
      </c>
      <c r="Q580">
        <f t="shared" si="36"/>
        <v>115.3722691695566</v>
      </c>
      <c r="R580">
        <f t="shared" si="37"/>
        <v>127.66718328835981</v>
      </c>
      <c r="S580" t="e">
        <f xml:space="preserve"> 1.667/G580 + P580/A580 * Performance!$E$12 + Performance!$E$23 / Constraints!P580 * Constraints!A580</f>
        <v>#VALUE!</v>
      </c>
      <c r="T580">
        <f xml:space="preserve"> 1.667/H580 + Q580/A580 * Performance!$E$12 + Performance!$E$23 / Constraints!Q580 * Constraints!A580</f>
        <v>0.18543846499827518</v>
      </c>
      <c r="U580">
        <f xml:space="preserve"> 1.667/I580 + R580/A580 * Performance!$E$12 + Performance!$E$23 / Constraints!R580 * Constraints!A580</f>
        <v>0.17374199327503356</v>
      </c>
    </row>
    <row r="581" spans="1:21" x14ac:dyDescent="0.3">
      <c r="A581" s="51">
        <v>289.5</v>
      </c>
      <c r="B581" s="50">
        <f>$V$4*Performance!$E$12*(1/A581)+Performance!$E$23*(1/Constraints!$V$4)*Constraints!A581</f>
        <v>0.10956681851297588</v>
      </c>
      <c r="C581" s="50">
        <f>$V$5*Performance!$E$12*(1/A581)+Performance!$E$23*(1/Constraints!$V$5)*Constraints!A581</f>
        <v>0.16048783076740666</v>
      </c>
      <c r="D581" s="52">
        <f t="shared" si="34"/>
        <v>0.40622842741336057</v>
      </c>
      <c r="E581" s="52">
        <f>$V$4*Performance!$E$12*(1/A581)+Performance!$E$23*(1/Constraints!$V$9)*Constraints!A581</f>
        <v>0.10825939014401238</v>
      </c>
      <c r="F581" s="52">
        <f xml:space="preserve"> 1.21 / (9.81 * Constraints!$N$7 * Performance!$E$15 * Constraints!$N$5 ) * Constraints!A581 + 0.605 /Performance!$E$15 * (Performance!$E$16  - Constraints!$N$6 * Performance!$E$14) + Constraints!$N$6</f>
        <v>0.40606772055565077</v>
      </c>
      <c r="G581" s="54" t="s">
        <v>198</v>
      </c>
      <c r="H581" s="55">
        <f>SQRT(2/$V$3 * A581 * SQRT(Performance!$E$23 / (3 * Performance!$E$12)))</f>
        <v>20.979955765239861</v>
      </c>
      <c r="I581" s="55">
        <f>SQRT(2/$V$3 * A581 * (SQRT(Performance!$E$23)/(SQRT(3*Performance!$E$12 + 4* Performance!$E$23 * Performance!$E$11^2) - SQRT(Performance!$E$23)*Performance!$E$11)))</f>
        <v>22.069550574631581</v>
      </c>
      <c r="J581" t="e">
        <f xml:space="preserve"> $AC$3/G581 + $AC$6/A581 * Performance!$E$12 + Performance!$E$23/Constraints!$AC$6 * Constraints!A581</f>
        <v>#VALUE!</v>
      </c>
      <c r="K581">
        <f xml:space="preserve"> $AC$3/H581 + $AC$6/A581 * Performance!$E$12 + Performance!$E$23/Constraints!$AC$6 * Constraints!A581</f>
        <v>1.1734332972051276</v>
      </c>
      <c r="L581">
        <f xml:space="preserve"> $AC$3/I581 + $AC$6/A581 * Performance!$E$12 + Performance!$E$23/Constraints!$AC$6 * Constraints!A581</f>
        <v>1.1614788174596231</v>
      </c>
      <c r="M581">
        <f>SIN($AC$9 * PI()/180) + 1/Performance!$AE$5</f>
        <v>0.24073077270730886</v>
      </c>
      <c r="N581">
        <f>SIN($AC$9 * PI()/180) + 1/Performance!$AE$8</f>
        <v>0.22738716112204788</v>
      </c>
      <c r="O581" s="60">
        <f>$AC$16 * (Performance!$E$12/Constraints!A581 + Performance!$E$23 * (Constraints!$AC$13/Constraints!$AC$17)^2 * Constraints!A581)</f>
        <v>2.1578506236063436E-4</v>
      </c>
      <c r="P581" t="e">
        <f t="shared" si="35"/>
        <v>#VALUE!</v>
      </c>
      <c r="Q581">
        <f t="shared" si="36"/>
        <v>115.57187517158005</v>
      </c>
      <c r="R581">
        <f t="shared" si="37"/>
        <v>127.88806076809746</v>
      </c>
      <c r="S581" t="e">
        <f xml:space="preserve"> 1.667/G581 + P581/A581 * Performance!$E$12 + Performance!$E$23 / Constraints!P581 * Constraints!A581</f>
        <v>#VALUE!</v>
      </c>
      <c r="T581">
        <f xml:space="preserve"> 1.667/H581 + Q581/A581 * Performance!$E$12 + Performance!$E$23 / Constraints!Q581 * Constraints!A581</f>
        <v>0.18536976045203082</v>
      </c>
      <c r="U581">
        <f xml:space="preserve"> 1.667/I581 + R581/A581 * Performance!$E$12 + Performance!$E$23 / Constraints!R581 * Constraints!A581</f>
        <v>0.17367668073791584</v>
      </c>
    </row>
    <row r="582" spans="1:21" x14ac:dyDescent="0.3">
      <c r="A582" s="51">
        <v>290</v>
      </c>
      <c r="B582" s="50">
        <f>$V$4*Performance!$E$12*(1/A582)+Performance!$E$23*(1/Constraints!$V$4)*Constraints!A582</f>
        <v>0.10941749003412404</v>
      </c>
      <c r="C582" s="50">
        <f>$V$5*Performance!$E$12*(1/A582)+Performance!$E$23*(1/Constraints!$V$5)*Constraints!A582</f>
        <v>0.16023648143750507</v>
      </c>
      <c r="D582" s="52">
        <f t="shared" si="34"/>
        <v>0.40650071312564617</v>
      </c>
      <c r="E582" s="52">
        <f>$V$4*Performance!$E$12*(1/A582)+Performance!$E$23*(1/Constraints!$V$9)*Constraints!A582</f>
        <v>0.10810780358507598</v>
      </c>
      <c r="F582" s="52">
        <f xml:space="preserve"> 1.21 / (9.81 * Constraints!$N$7 * Performance!$E$15 * Constraints!$N$5 ) * Constraints!A582 + 0.605 /Performance!$E$15 * (Performance!$E$16  - Constraints!$N$6 * Performance!$E$14) + Constraints!$N$6</f>
        <v>0.40633972870859658</v>
      </c>
      <c r="G582" s="54" t="s">
        <v>198</v>
      </c>
      <c r="H582" s="55">
        <f>SQRT(2/$V$3 * A582 * SQRT(Performance!$E$23 / (3 * Performance!$E$12)))</f>
        <v>20.998065354943385</v>
      </c>
      <c r="I582" s="55">
        <f>SQRT(2/$V$3 * A582 * (SQRT(Performance!$E$23)/(SQRT(3*Performance!$E$12 + 4* Performance!$E$23 * Performance!$E$11^2) - SQRT(Performance!$E$23)*Performance!$E$11)))</f>
        <v>22.088600686572715</v>
      </c>
      <c r="J582" t="e">
        <f xml:space="preserve"> $AC$3/G582 + $AC$6/A582 * Performance!$E$12 + Performance!$E$23/Constraints!$AC$6 * Constraints!A582</f>
        <v>#VALUE!</v>
      </c>
      <c r="K582">
        <f xml:space="preserve"> $AC$3/H582 + $AC$6/A582 * Performance!$E$12 + Performance!$E$23/Constraints!$AC$6 * Constraints!A582</f>
        <v>1.1748287531607884</v>
      </c>
      <c r="L582">
        <f xml:space="preserve"> $AC$3/I582 + $AC$6/A582 * Performance!$E$12 + Performance!$E$23/Constraints!$AC$6 * Constraints!A582</f>
        <v>1.1628845834471677</v>
      </c>
      <c r="M582">
        <f>SIN($AC$9 * PI()/180) + 1/Performance!$AE$5</f>
        <v>0.24073077270730886</v>
      </c>
      <c r="N582">
        <f>SIN($AC$9 * PI()/180) + 1/Performance!$AE$8</f>
        <v>0.22738716112204788</v>
      </c>
      <c r="O582" s="60">
        <f>$AC$16 * (Performance!$E$12/Constraints!A582 + Performance!$E$23 * (Constraints!$AC$13/Constraints!$AC$17)^2 * Constraints!A582)</f>
        <v>2.1586480021119989E-4</v>
      </c>
      <c r="P582" t="e">
        <f t="shared" si="35"/>
        <v>#VALUE!</v>
      </c>
      <c r="Q582">
        <f t="shared" si="36"/>
        <v>115.77148117360346</v>
      </c>
      <c r="R582">
        <f t="shared" si="37"/>
        <v>128.10893824783511</v>
      </c>
      <c r="S582" t="e">
        <f xml:space="preserve"> 1.667/G582 + P582/A582 * Performance!$E$12 + Performance!$E$23 / Constraints!P582 * Constraints!A582</f>
        <v>#VALUE!</v>
      </c>
      <c r="T582">
        <f xml:space="preserve"> 1.667/H582 + Q582/A582 * Performance!$E$12 + Performance!$E$23 / Constraints!Q582 * Constraints!A582</f>
        <v>0.18530123366663404</v>
      </c>
      <c r="U582">
        <f xml:space="preserve"> 1.667/I582 + R582/A582 * Performance!$E$12 + Performance!$E$23 / Constraints!R582 * Constraints!A582</f>
        <v>0.1736115371854226</v>
      </c>
    </row>
    <row r="583" spans="1:21" x14ac:dyDescent="0.3">
      <c r="A583" s="51">
        <v>290.5</v>
      </c>
      <c r="B583" s="50">
        <f>$V$4*Performance!$E$12*(1/A583)+Performance!$E$23*(1/Constraints!$V$4)*Constraints!A583</f>
        <v>0.10926874377719407</v>
      </c>
      <c r="C583" s="50">
        <f>$V$5*Performance!$E$12*(1/A583)+Performance!$E$23*(1/Constraints!$V$5)*Constraints!A583</f>
        <v>0.15998604101356217</v>
      </c>
      <c r="D583" s="52">
        <f t="shared" si="34"/>
        <v>0.40677299883793178</v>
      </c>
      <c r="E583" s="52">
        <f>$V$4*Performance!$E$12*(1/A583)+Performance!$E$23*(1/Constraints!$V$9)*Constraints!A583</f>
        <v>0.10795679924806145</v>
      </c>
      <c r="F583" s="52">
        <f xml:space="preserve"> 1.21 / (9.81 * Constraints!$N$7 * Performance!$E$15 * Constraints!$N$5 ) * Constraints!A583 + 0.605 /Performance!$E$15 * (Performance!$E$16  - Constraints!$N$6 * Performance!$E$14) + Constraints!$N$6</f>
        <v>0.40661173686154251</v>
      </c>
      <c r="G583" s="54" t="s">
        <v>198</v>
      </c>
      <c r="H583" s="55">
        <f>SQRT(2/$V$3 * A583 * SQRT(Performance!$E$23 / (3 * Performance!$E$12)))</f>
        <v>21.016159339649249</v>
      </c>
      <c r="I583" s="55">
        <f>SQRT(2/$V$3 * A583 * (SQRT(Performance!$E$23)/(SQRT(3*Performance!$E$12 + 4* Performance!$E$23 * Performance!$E$11^2) - SQRT(Performance!$E$23)*Performance!$E$11)))</f>
        <v>22.107634383070025</v>
      </c>
      <c r="J583" t="e">
        <f xml:space="preserve"> $AC$3/G583 + $AC$6/A583 * Performance!$E$12 + Performance!$E$23/Constraints!$AC$6 * Constraints!A583</f>
        <v>#VALUE!</v>
      </c>
      <c r="K583">
        <f xml:space="preserve"> $AC$3/H583 + $AC$6/A583 * Performance!$E$12 + Performance!$E$23/Constraints!$AC$6 * Constraints!A583</f>
        <v>1.1762247556702039</v>
      </c>
      <c r="L583">
        <f xml:space="preserve"> $AC$3/I583 + $AC$6/A583 * Performance!$E$12 + Performance!$E$23/Constraints!$AC$6 * Constraints!A583</f>
        <v>1.1642908693590182</v>
      </c>
      <c r="M583">
        <f>SIN($AC$9 * PI()/180) + 1/Performance!$AE$5</f>
        <v>0.24073077270730886</v>
      </c>
      <c r="N583">
        <f>SIN($AC$9 * PI()/180) + 1/Performance!$AE$8</f>
        <v>0.22738716112204788</v>
      </c>
      <c r="O583" s="60">
        <f>$AC$16 * (Performance!$E$12/Constraints!A583 + Performance!$E$23 * (Constraints!$AC$13/Constraints!$AC$17)^2 * Constraints!A583)</f>
        <v>2.1594504184001471E-4</v>
      </c>
      <c r="P583" t="e">
        <f t="shared" si="35"/>
        <v>#VALUE!</v>
      </c>
      <c r="Q583">
        <f t="shared" si="36"/>
        <v>115.97108717562696</v>
      </c>
      <c r="R583">
        <f t="shared" si="37"/>
        <v>128.32981572757274</v>
      </c>
      <c r="S583" t="e">
        <f xml:space="preserve"> 1.667/G583 + P583/A583 * Performance!$E$12 + Performance!$E$23 / Constraints!P583 * Constraints!A583</f>
        <v>#VALUE!</v>
      </c>
      <c r="T583">
        <f xml:space="preserve"> 1.667/H583 + Q583/A583 * Performance!$E$12 + Performance!$E$23 / Constraints!Q583 * Constraints!A583</f>
        <v>0.18523288387686326</v>
      </c>
      <c r="U583">
        <f xml:space="preserve"> 1.667/I583 + R583/A583 * Performance!$E$12 + Performance!$E$23 / Constraints!R583 * Constraints!A583</f>
        <v>0.17354656189011231</v>
      </c>
    </row>
    <row r="584" spans="1:21" x14ac:dyDescent="0.3">
      <c r="A584" s="51">
        <v>291</v>
      </c>
      <c r="B584" s="50">
        <f>$V$4*Performance!$E$12*(1/A584)+Performance!$E$23*(1/Constraints!$V$4)*Constraints!A584</f>
        <v>0.10912057674104206</v>
      </c>
      <c r="C584" s="50">
        <f>$V$5*Performance!$E$12*(1/A584)+Performance!$E$23*(1/Constraints!$V$5)*Constraints!A584</f>
        <v>0.1597365048104957</v>
      </c>
      <c r="D584" s="52">
        <f t="shared" si="34"/>
        <v>0.40704528455021738</v>
      </c>
      <c r="E584" s="52">
        <f>$V$4*Performance!$E$12*(1/A584)+Performance!$E$23*(1/Constraints!$V$9)*Constraints!A584</f>
        <v>0.10780637413182487</v>
      </c>
      <c r="F584" s="52">
        <f xml:space="preserve"> 1.21 / (9.81 * Constraints!$N$7 * Performance!$E$15 * Constraints!$N$5 ) * Constraints!A584 + 0.605 /Performance!$E$15 * (Performance!$E$16  - Constraints!$N$6 * Performance!$E$14) + Constraints!$N$6</f>
        <v>0.40688374501448832</v>
      </c>
      <c r="G584" s="54" t="s">
        <v>198</v>
      </c>
      <c r="H584" s="55">
        <f>SQRT(2/$V$3 * A584 * SQRT(Performance!$E$23 / (3 * Performance!$E$12)))</f>
        <v>21.034237759628439</v>
      </c>
      <c r="I584" s="55">
        <f>SQRT(2/$V$3 * A584 * (SQRT(Performance!$E$23)/(SQRT(3*Performance!$E$12 + 4* Performance!$E$23 * Performance!$E$11^2) - SQRT(Performance!$E$23)*Performance!$E$11)))</f>
        <v>22.12665170648599</v>
      </c>
      <c r="J584" t="e">
        <f xml:space="preserve"> $AC$3/G584 + $AC$6/A584 * Performance!$E$12 + Performance!$E$23/Constraints!$AC$6 * Constraints!A584</f>
        <v>#VALUE!</v>
      </c>
      <c r="K584">
        <f xml:space="preserve"> $AC$3/H584 + $AC$6/A584 * Performance!$E$12 + Performance!$E$23/Constraints!$AC$6 * Constraints!A584</f>
        <v>1.177621302378471</v>
      </c>
      <c r="L584">
        <f xml:space="preserve"> $AC$3/I584 + $AC$6/A584 * Performance!$E$12 + Performance!$E$23/Constraints!$AC$6 * Constraints!A584</f>
        <v>1.1656976729547075</v>
      </c>
      <c r="M584">
        <f>SIN($AC$9 * PI()/180) + 1/Performance!$AE$5</f>
        <v>0.24073077270730886</v>
      </c>
      <c r="N584">
        <f>SIN($AC$9 * PI()/180) + 1/Performance!$AE$8</f>
        <v>0.22738716112204788</v>
      </c>
      <c r="O584" s="60">
        <f>$AC$16 * (Performance!$E$12/Constraints!A584 + Performance!$E$23 * (Constraints!$AC$13/Constraints!$AC$17)^2 * Constraints!A584)</f>
        <v>2.160257846502838E-4</v>
      </c>
      <c r="P584" t="e">
        <f t="shared" si="35"/>
        <v>#VALUE!</v>
      </c>
      <c r="Q584">
        <f t="shared" si="36"/>
        <v>116.17069317765038</v>
      </c>
      <c r="R584">
        <f t="shared" si="37"/>
        <v>128.55069320731039</v>
      </c>
      <c r="S584" t="e">
        <f xml:space="preserve"> 1.667/G584 + P584/A584 * Performance!$E$12 + Performance!$E$23 / Constraints!P584 * Constraints!A584</f>
        <v>#VALUE!</v>
      </c>
      <c r="T584">
        <f xml:space="preserve"> 1.667/H584 + Q584/A584 * Performance!$E$12 + Performance!$E$23 / Constraints!Q584 * Constraints!A584</f>
        <v>0.18516471032210122</v>
      </c>
      <c r="U584">
        <f xml:space="preserve"> 1.667/I584 + R584/A584 * Performance!$E$12 + Performance!$E$23 / Constraints!R584 * Constraints!A584</f>
        <v>0.17348175412891975</v>
      </c>
    </row>
    <row r="585" spans="1:21" x14ac:dyDescent="0.3">
      <c r="A585" s="51">
        <v>291.5</v>
      </c>
      <c r="B585" s="50">
        <f>$V$4*Performance!$E$12*(1/A585)+Performance!$E$23*(1/Constraints!$V$4)*Constraints!A585</f>
        <v>0.10897298594511511</v>
      </c>
      <c r="C585" s="50">
        <f>$V$5*Performance!$E$12*(1/A585)+Performance!$E$23*(1/Constraints!$V$5)*Constraints!A585</f>
        <v>0.15948786817536806</v>
      </c>
      <c r="D585" s="52">
        <f t="shared" si="34"/>
        <v>0.40731757026250293</v>
      </c>
      <c r="E585" s="52">
        <f>$V$4*Performance!$E$12*(1/A585)+Performance!$E$23*(1/Constraints!$V$9)*Constraints!A585</f>
        <v>0.10765652525581336</v>
      </c>
      <c r="F585" s="52">
        <f xml:space="preserve"> 1.21 / (9.81 * Constraints!$N$7 * Performance!$E$15 * Constraints!$N$5 ) * Constraints!A585 + 0.605 /Performance!$E$15 * (Performance!$E$16  - Constraints!$N$6 * Performance!$E$14) + Constraints!$N$6</f>
        <v>0.40715575316743419</v>
      </c>
      <c r="G585" s="54" t="s">
        <v>198</v>
      </c>
      <c r="H585" s="55">
        <f>SQRT(2/$V$3 * A585 * SQRT(Performance!$E$23 / (3 * Performance!$E$12)))</f>
        <v>21.052300654979049</v>
      </c>
      <c r="I585" s="55">
        <f>SQRT(2/$V$3 * A585 * (SQRT(Performance!$E$23)/(SQRT(3*Performance!$E$12 + 4* Performance!$E$23 * Performance!$E$11^2) - SQRT(Performance!$E$23)*Performance!$E$11)))</f>
        <v>22.145652699001189</v>
      </c>
      <c r="J585" t="e">
        <f xml:space="preserve"> $AC$3/G585 + $AC$6/A585 * Performance!$E$12 + Performance!$E$23/Constraints!$AC$6 * Constraints!A585</f>
        <v>#VALUE!</v>
      </c>
      <c r="K585">
        <f xml:space="preserve"> $AC$3/H585 + $AC$6/A585 * Performance!$E$12 + Performance!$E$23/Constraints!$AC$6 * Constraints!A585</f>
        <v>1.1790183909448606</v>
      </c>
      <c r="L585">
        <f xml:space="preserve"> $AC$3/I585 + $AC$6/A585 * Performance!$E$12 + Performance!$E$23/Constraints!$AC$6 * Constraints!A585</f>
        <v>1.1671049920072569</v>
      </c>
      <c r="M585">
        <f>SIN($AC$9 * PI()/180) + 1/Performance!$AE$5</f>
        <v>0.24073077270730886</v>
      </c>
      <c r="N585">
        <f>SIN($AC$9 * PI()/180) + 1/Performance!$AE$8</f>
        <v>0.22738716112204788</v>
      </c>
      <c r="O585" s="60">
        <f>$AC$16 * (Performance!$E$12/Constraints!A585 + Performance!$E$23 * (Constraints!$AC$13/Constraints!$AC$17)^2 * Constraints!A585)</f>
        <v>2.1610702606302879E-4</v>
      </c>
      <c r="P585" t="e">
        <f t="shared" si="35"/>
        <v>#VALUE!</v>
      </c>
      <c r="Q585">
        <f t="shared" si="36"/>
        <v>116.37029917967382</v>
      </c>
      <c r="R585">
        <f t="shared" si="37"/>
        <v>128.77157068704801</v>
      </c>
      <c r="S585" t="e">
        <f xml:space="preserve"> 1.667/G585 + P585/A585 * Performance!$E$12 + Performance!$E$23 / Constraints!P585 * Constraints!A585</f>
        <v>#VALUE!</v>
      </c>
      <c r="T585">
        <f xml:space="preserve"> 1.667/H585 + Q585/A585 * Performance!$E$12 + Performance!$E$23 / Constraints!Q585 * Constraints!A585</f>
        <v>0.18509671224629848</v>
      </c>
      <c r="U585">
        <f xml:space="preserve"> 1.667/I585 + R585/A585 * Performance!$E$12 + Performance!$E$23 / Constraints!R585 * Constraints!A585</f>
        <v>0.17341711318312258</v>
      </c>
    </row>
    <row r="586" spans="1:21" x14ac:dyDescent="0.3">
      <c r="A586" s="51">
        <v>292</v>
      </c>
      <c r="B586" s="50">
        <f>$V$4*Performance!$E$12*(1/A586)+Performance!$E$23*(1/Constraints!$V$4)*Constraints!A586</f>
        <v>0.1088259684292751</v>
      </c>
      <c r="C586" s="50">
        <f>$V$5*Performance!$E$12*(1/A586)+Performance!$E$23*(1/Constraints!$V$5)*Constraints!A586</f>
        <v>0.15924012648711103</v>
      </c>
      <c r="D586" s="52">
        <f t="shared" si="34"/>
        <v>0.40758985597478858</v>
      </c>
      <c r="E586" s="52">
        <f>$V$4*Performance!$E$12*(1/A586)+Performance!$E$23*(1/Constraints!$V$9)*Constraints!A586</f>
        <v>0.10750724965988878</v>
      </c>
      <c r="F586" s="52">
        <f xml:space="preserve"> 1.21 / (9.81 * Constraints!$N$7 * Performance!$E$15 * Constraints!$N$5 ) * Constraints!A586 + 0.605 /Performance!$E$15 * (Performance!$E$16  - Constraints!$N$6 * Performance!$E$14) + Constraints!$N$6</f>
        <v>0.40742776132038006</v>
      </c>
      <c r="G586" s="54" t="s">
        <v>198</v>
      </c>
      <c r="H586" s="55">
        <f>SQRT(2/$V$3 * A586 * SQRT(Performance!$E$23 / (3 * Performance!$E$12)))</f>
        <v>21.070348065627297</v>
      </c>
      <c r="I586" s="55">
        <f>SQRT(2/$V$3 * A586 * (SQRT(Performance!$E$23)/(SQRT(3*Performance!$E$12 + 4* Performance!$E$23 * Performance!$E$11^2) - SQRT(Performance!$E$23)*Performance!$E$11)))</f>
        <v>22.164637402615416</v>
      </c>
      <c r="J586" t="e">
        <f xml:space="preserve"> $AC$3/G586 + $AC$6/A586 * Performance!$E$12 + Performance!$E$23/Constraints!$AC$6 * Constraints!A586</f>
        <v>#VALUE!</v>
      </c>
      <c r="K586">
        <f xml:space="preserve"> $AC$3/H586 + $AC$6/A586 * Performance!$E$12 + Performance!$E$23/Constraints!$AC$6 * Constraints!A586</f>
        <v>1.1804160190427107</v>
      </c>
      <c r="L586">
        <f xml:space="preserve"> $AC$3/I586 + $AC$6/A586 * Performance!$E$12 + Performance!$E$23/Constraints!$AC$6 * Constraints!A586</f>
        <v>1.1685128243030716</v>
      </c>
      <c r="M586">
        <f>SIN($AC$9 * PI()/180) + 1/Performance!$AE$5</f>
        <v>0.24073077270730886</v>
      </c>
      <c r="N586">
        <f>SIN($AC$9 * PI()/180) + 1/Performance!$AE$8</f>
        <v>0.22738716112204788</v>
      </c>
      <c r="O586" s="60">
        <f>$AC$16 * (Performance!$E$12/Constraints!A586 + Performance!$E$23 * (Constraints!$AC$13/Constraints!$AC$17)^2 * Constraints!A586)</f>
        <v>2.1618876351693563E-4</v>
      </c>
      <c r="P586" t="e">
        <f t="shared" si="35"/>
        <v>#VALUE!</v>
      </c>
      <c r="Q586">
        <f t="shared" si="36"/>
        <v>116.56990518169731</v>
      </c>
      <c r="R586">
        <f t="shared" si="37"/>
        <v>128.99244816678569</v>
      </c>
      <c r="S586" t="e">
        <f xml:space="preserve"> 1.667/G586 + P586/A586 * Performance!$E$12 + Performance!$E$23 / Constraints!P586 * Constraints!A586</f>
        <v>#VALUE!</v>
      </c>
      <c r="T586">
        <f xml:space="preserve"> 1.667/H586 + Q586/A586 * Performance!$E$12 + Performance!$E$23 / Constraints!Q586 * Constraints!A586</f>
        <v>0.18502888889793881</v>
      </c>
      <c r="U586">
        <f xml:space="preserve"> 1.667/I586 + R586/A586 * Performance!$E$12 + Performance!$E$23 / Constraints!R586 * Constraints!A586</f>
        <v>0.17335263833830755</v>
      </c>
    </row>
    <row r="587" spans="1:21" x14ac:dyDescent="0.3">
      <c r="A587" s="51">
        <v>292.5</v>
      </c>
      <c r="B587" s="50">
        <f>$V$4*Performance!$E$12*(1/A587)+Performance!$E$23*(1/Constraints!$V$4)*Constraints!A587</f>
        <v>0.10867952125362412</v>
      </c>
      <c r="C587" s="50">
        <f>$V$5*Performance!$E$12*(1/A587)+Performance!$E$23*(1/Constraints!$V$5)*Constraints!A587</f>
        <v>0.15899327515625356</v>
      </c>
      <c r="D587" s="52">
        <f t="shared" si="34"/>
        <v>0.40786214168707413</v>
      </c>
      <c r="E587" s="52">
        <f>$V$4*Performance!$E$12*(1/A587)+Performance!$E$23*(1/Constraints!$V$9)*Constraints!A587</f>
        <v>0.10735854440415324</v>
      </c>
      <c r="F587" s="52">
        <f xml:space="preserve"> 1.21 / (9.81 * Constraints!$N$7 * Performance!$E$15 * Constraints!$N$5 ) * Constraints!A587 + 0.605 /Performance!$E$15 * (Performance!$E$16  - Constraints!$N$6 * Performance!$E$14) + Constraints!$N$6</f>
        <v>0.40769976947332587</v>
      </c>
      <c r="G587" s="54" t="s">
        <v>198</v>
      </c>
      <c r="H587" s="55">
        <f>SQRT(2/$V$3 * A587 * SQRT(Performance!$E$23 / (3 * Performance!$E$12)))</f>
        <v>21.088380031328544</v>
      </c>
      <c r="I587" s="55">
        <f>SQRT(2/$V$3 * A587 * (SQRT(Performance!$E$23)/(SQRT(3*Performance!$E$12 + 4* Performance!$E$23 * Performance!$E$11^2) - SQRT(Performance!$E$23)*Performance!$E$11)))</f>
        <v>22.183605859148724</v>
      </c>
      <c r="J587" t="e">
        <f xml:space="preserve"> $AC$3/G587 + $AC$6/A587 * Performance!$E$12 + Performance!$E$23/Constraints!$AC$6 * Constraints!A587</f>
        <v>#VALUE!</v>
      </c>
      <c r="K587">
        <f xml:space="preserve"> $AC$3/H587 + $AC$6/A587 * Performance!$E$12 + Performance!$E$23/Constraints!$AC$6 * Constraints!A587</f>
        <v>1.1818141843593157</v>
      </c>
      <c r="L587">
        <f xml:space="preserve"> $AC$3/I587 + $AC$6/A587 * Performance!$E$12 + Performance!$E$23/Constraints!$AC$6 * Constraints!A587</f>
        <v>1.1699211676418366</v>
      </c>
      <c r="M587">
        <f>SIN($AC$9 * PI()/180) + 1/Performance!$AE$5</f>
        <v>0.24073077270730886</v>
      </c>
      <c r="N587">
        <f>SIN($AC$9 * PI()/180) + 1/Performance!$AE$8</f>
        <v>0.22738716112204788</v>
      </c>
      <c r="O587" s="60">
        <f>$AC$16 * (Performance!$E$12/Constraints!A587 + Performance!$E$23 * (Constraints!$AC$13/Constraints!$AC$17)^2 * Constraints!A587)</f>
        <v>2.1627099446820349E-4</v>
      </c>
      <c r="P587" t="e">
        <f t="shared" si="35"/>
        <v>#VALUE!</v>
      </c>
      <c r="Q587">
        <f t="shared" si="36"/>
        <v>116.76951118372077</v>
      </c>
      <c r="R587">
        <f t="shared" si="37"/>
        <v>129.21332564652332</v>
      </c>
      <c r="S587" t="e">
        <f xml:space="preserve"> 1.667/G587 + P587/A587 * Performance!$E$12 + Performance!$E$23 / Constraints!P587 * Constraints!A587</f>
        <v>#VALUE!</v>
      </c>
      <c r="T587">
        <f xml:space="preserve"> 1.667/H587 + Q587/A587 * Performance!$E$12 + Performance!$E$23 / Constraints!Q587 * Constraints!A587</f>
        <v>0.18496123953000426</v>
      </c>
      <c r="U587">
        <f xml:space="preserve"> 1.667/I587 + R587/A587 * Performance!$E$12 + Performance!$E$23 / Constraints!R587 * Constraints!A587</f>
        <v>0.17328832888433779</v>
      </c>
    </row>
    <row r="588" spans="1:21" x14ac:dyDescent="0.3">
      <c r="A588" s="51">
        <v>293</v>
      </c>
      <c r="B588" s="50">
        <f>$V$4*Performance!$E$12*(1/A588)+Performance!$E$23*(1/Constraints!$V$4)*Constraints!A588</f>
        <v>0.10853364149833189</v>
      </c>
      <c r="C588" s="50">
        <f>$V$5*Performance!$E$12*(1/A588)+Performance!$E$23*(1/Constraints!$V$5)*Constraints!A588</f>
        <v>0.15874730962465186</v>
      </c>
      <c r="D588" s="52">
        <f t="shared" si="34"/>
        <v>0.40813442739935979</v>
      </c>
      <c r="E588" s="52">
        <f>$V$4*Performance!$E$12*(1/A588)+Performance!$E$23*(1/Constraints!$V$9)*Constraints!A588</f>
        <v>0.10721040656877644</v>
      </c>
      <c r="F588" s="52">
        <f xml:space="preserve"> 1.21 / (9.81 * Constraints!$N$7 * Performance!$E$15 * Constraints!$N$5 ) * Constraints!A588 + 0.605 /Performance!$E$15 * (Performance!$E$16  - Constraints!$N$6 * Performance!$E$14) + Constraints!$N$6</f>
        <v>0.40797177762627174</v>
      </c>
      <c r="G588" s="54" t="s">
        <v>198</v>
      </c>
      <c r="H588" s="55">
        <f>SQRT(2/$V$3 * A588 * SQRT(Performance!$E$23 / (3 * Performance!$E$12)))</f>
        <v>21.106396591668343</v>
      </c>
      <c r="I588" s="55">
        <f>SQRT(2/$V$3 * A588 * (SQRT(Performance!$E$23)/(SQRT(3*Performance!$E$12 + 4* Performance!$E$23 * Performance!$E$11^2) - SQRT(Performance!$E$23)*Performance!$E$11)))</f>
        <v>22.202558110242546</v>
      </c>
      <c r="J588" t="e">
        <f xml:space="preserve"> $AC$3/G588 + $AC$6/A588 * Performance!$E$12 + Performance!$E$23/Constraints!$AC$6 * Constraints!A588</f>
        <v>#VALUE!</v>
      </c>
      <c r="K588">
        <f xml:space="preserve"> $AC$3/H588 + $AC$6/A588 * Performance!$E$12 + Performance!$E$23/Constraints!$AC$6 * Constraints!A588</f>
        <v>1.1832128845958196</v>
      </c>
      <c r="L588">
        <f xml:space="preserve"> $AC$3/I588 + $AC$6/A588 * Performance!$E$12 + Performance!$E$23/Constraints!$AC$6 * Constraints!A588</f>
        <v>1.1713300198364156</v>
      </c>
      <c r="M588">
        <f>SIN($AC$9 * PI()/180) + 1/Performance!$AE$5</f>
        <v>0.24073077270730886</v>
      </c>
      <c r="N588">
        <f>SIN($AC$9 * PI()/180) + 1/Performance!$AE$8</f>
        <v>0.22738716112204788</v>
      </c>
      <c r="O588" s="60">
        <f>$AC$16 * (Performance!$E$12/Constraints!A588 + Performance!$E$23 * (Constraints!$AC$13/Constraints!$AC$17)^2 * Constraints!A588)</f>
        <v>2.1635371639039535E-4</v>
      </c>
      <c r="P588" t="e">
        <f t="shared" si="35"/>
        <v>#VALUE!</v>
      </c>
      <c r="Q588">
        <f t="shared" si="36"/>
        <v>116.96911718574421</v>
      </c>
      <c r="R588">
        <f t="shared" si="37"/>
        <v>129.43420312626097</v>
      </c>
      <c r="S588" t="e">
        <f xml:space="preserve"> 1.667/G588 + P588/A588 * Performance!$E$12 + Performance!$E$23 / Constraints!P588 * Constraints!A588</f>
        <v>#VALUE!</v>
      </c>
      <c r="T588">
        <f xml:space="preserve"> 1.667/H588 + Q588/A588 * Performance!$E$12 + Performance!$E$23 / Constraints!Q588 * Constraints!A588</f>
        <v>0.18489376339994038</v>
      </c>
      <c r="U588">
        <f xml:space="preserve"> 1.667/I588 + R588/A588 * Performance!$E$12 + Performance!$E$23 / Constraints!R588 * Constraints!A588</f>
        <v>0.17322418411531937</v>
      </c>
    </row>
    <row r="589" spans="1:21" x14ac:dyDescent="0.3">
      <c r="A589" s="51">
        <v>293.5</v>
      </c>
      <c r="B589" s="50">
        <f>$V$4*Performance!$E$12*(1/A589)+Performance!$E$23*(1/Constraints!$V$4)*Constraints!A589</f>
        <v>0.10838832626346469</v>
      </c>
      <c r="C589" s="50">
        <f>$V$5*Performance!$E$12*(1/A589)+Performance!$E$23*(1/Constraints!$V$5)*Constraints!A589</f>
        <v>0.15850222536522296</v>
      </c>
      <c r="D589" s="52">
        <f t="shared" si="34"/>
        <v>0.40840671311164534</v>
      </c>
      <c r="E589" s="52">
        <f>$V$4*Performance!$E$12*(1/A589)+Performance!$E$23*(1/Constraints!$V$9)*Constraints!A589</f>
        <v>0.10706283325382467</v>
      </c>
      <c r="F589" s="52">
        <f xml:space="preserve"> 1.21 / (9.81 * Constraints!$N$7 * Performance!$E$15 * Constraints!$N$5 ) * Constraints!A589 + 0.605 /Performance!$E$15 * (Performance!$E$16  - Constraints!$N$6 * Performance!$E$14) + Constraints!$N$6</f>
        <v>0.40824378577921761</v>
      </c>
      <c r="G589" s="54" t="s">
        <v>198</v>
      </c>
      <c r="H589" s="55">
        <f>SQRT(2/$V$3 * A589 * SQRT(Performance!$E$23 / (3 * Performance!$E$12)))</f>
        <v>21.12439778606343</v>
      </c>
      <c r="I589" s="55">
        <f>SQRT(2/$V$3 * A589 * (SQRT(Performance!$E$23)/(SQRT(3*Performance!$E$12 + 4* Performance!$E$23 * Performance!$E$11^2) - SQRT(Performance!$E$23)*Performance!$E$11)))</f>
        <v>22.221494197360727</v>
      </c>
      <c r="J589" t="e">
        <f xml:space="preserve"> $AC$3/G589 + $AC$6/A589 * Performance!$E$12 + Performance!$E$23/Constraints!$AC$6 * Constraints!A589</f>
        <v>#VALUE!</v>
      </c>
      <c r="K589">
        <f xml:space="preserve"> $AC$3/H589 + $AC$6/A589 * Performance!$E$12 + Performance!$E$23/Constraints!$AC$6 * Constraints!A589</f>
        <v>1.1846121174671105</v>
      </c>
      <c r="L589">
        <f xml:space="preserve"> $AC$3/I589 + $AC$6/A589 * Performance!$E$12 + Performance!$E$23/Constraints!$AC$6 * Constraints!A589</f>
        <v>1.1727393787127491</v>
      </c>
      <c r="M589">
        <f>SIN($AC$9 * PI()/180) + 1/Performance!$AE$5</f>
        <v>0.24073077270730886</v>
      </c>
      <c r="N589">
        <f>SIN($AC$9 * PI()/180) + 1/Performance!$AE$8</f>
        <v>0.22738716112204788</v>
      </c>
      <c r="O589" s="60">
        <f>$AC$16 * (Performance!$E$12/Constraints!A589 + Performance!$E$23 * (Constraints!$AC$13/Constraints!$AC$17)^2 * Constraints!A589)</f>
        <v>2.1643692677429012E-4</v>
      </c>
      <c r="P589" t="e">
        <f t="shared" si="35"/>
        <v>#VALUE!</v>
      </c>
      <c r="Q589">
        <f t="shared" si="36"/>
        <v>117.16872318776765</v>
      </c>
      <c r="R589">
        <f t="shared" si="37"/>
        <v>129.65508060599862</v>
      </c>
      <c r="S589" t="e">
        <f xml:space="preserve"> 1.667/G589 + P589/A589 * Performance!$E$12 + Performance!$E$23 / Constraints!P589 * Constraints!A589</f>
        <v>#VALUE!</v>
      </c>
      <c r="T589">
        <f xml:space="preserve"> 1.667/H589 + Q589/A589 * Performance!$E$12 + Performance!$E$23 / Constraints!Q589 * Constraints!A589</f>
        <v>0.18482645976962214</v>
      </c>
      <c r="U589">
        <f xml:space="preserve"> 1.667/I589 + R589/A589 * Performance!$E$12 + Performance!$E$23 / Constraints!R589 * Constraints!A589</f>
        <v>0.1731602033295693</v>
      </c>
    </row>
    <row r="590" spans="1:21" x14ac:dyDescent="0.3">
      <c r="A590" s="51">
        <v>294</v>
      </c>
      <c r="B590" s="50">
        <f>$V$4*Performance!$E$12*(1/A590)+Performance!$E$23*(1/Constraints!$V$4)*Constraints!A590</f>
        <v>0.10824357266881625</v>
      </c>
      <c r="C590" s="50">
        <f>$V$5*Performance!$E$12*(1/A590)+Performance!$E$23*(1/Constraints!$V$5)*Constraints!A590</f>
        <v>0.15825801788168017</v>
      </c>
      <c r="D590" s="52">
        <f t="shared" si="34"/>
        <v>0.40867899882393094</v>
      </c>
      <c r="E590" s="52">
        <f>$V$4*Performance!$E$12*(1/A590)+Performance!$E$23*(1/Constraints!$V$9)*Constraints!A590</f>
        <v>0.10691582157909167</v>
      </c>
      <c r="F590" s="52">
        <f xml:space="preserve"> 1.21 / (9.81 * Constraints!$N$7 * Performance!$E$15 * Constraints!$N$5 ) * Constraints!A590 + 0.605 /Performance!$E$15 * (Performance!$E$16  - Constraints!$N$6 * Performance!$E$14) + Constraints!$N$6</f>
        <v>0.40851579393216347</v>
      </c>
      <c r="G590" s="54" t="s">
        <v>198</v>
      </c>
      <c r="H590" s="55">
        <f>SQRT(2/$V$3 * A590 * SQRT(Performance!$E$23 / (3 * Performance!$E$12)))</f>
        <v>21.142383653762746</v>
      </c>
      <c r="I590" s="55">
        <f>SQRT(2/$V$3 * A590 * (SQRT(Performance!$E$23)/(SQRT(3*Performance!$E$12 + 4* Performance!$E$23 * Performance!$E$11^2) - SQRT(Performance!$E$23)*Performance!$E$11)))</f>
        <v>22.2404141617906</v>
      </c>
      <c r="J590" t="e">
        <f xml:space="preserve"> $AC$3/G590 + $AC$6/A590 * Performance!$E$12 + Performance!$E$23/Constraints!$AC$6 * Constraints!A590</f>
        <v>#VALUE!</v>
      </c>
      <c r="K590">
        <f xml:space="preserve"> $AC$3/H590 + $AC$6/A590 * Performance!$E$12 + Performance!$E$23/Constraints!$AC$6 * Constraints!A590</f>
        <v>1.1860118807017139</v>
      </c>
      <c r="L590">
        <f xml:space="preserve"> $AC$3/I590 + $AC$6/A590 * Performance!$E$12 + Performance!$E$23/Constraints!$AC$6 * Constraints!A590</f>
        <v>1.1741492421097544</v>
      </c>
      <c r="M590">
        <f>SIN($AC$9 * PI()/180) + 1/Performance!$AE$5</f>
        <v>0.24073077270730886</v>
      </c>
      <c r="N590">
        <f>SIN($AC$9 * PI()/180) + 1/Performance!$AE$8</f>
        <v>0.22738716112204788</v>
      </c>
      <c r="O590" s="60">
        <f>$AC$16 * (Performance!$E$12/Constraints!A590 + Performance!$E$23 * (Constraints!$AC$13/Constraints!$AC$17)^2 * Constraints!A590)</f>
        <v>2.1652062312773625E-4</v>
      </c>
      <c r="P590" t="e">
        <f t="shared" si="35"/>
        <v>#VALUE!</v>
      </c>
      <c r="Q590">
        <f t="shared" si="36"/>
        <v>117.36832918979114</v>
      </c>
      <c r="R590">
        <f t="shared" si="37"/>
        <v>129.87595808573627</v>
      </c>
      <c r="S590" t="e">
        <f xml:space="preserve"> 1.667/G590 + P590/A590 * Performance!$E$12 + Performance!$E$23 / Constraints!P590 * Constraints!A590</f>
        <v>#VALUE!</v>
      </c>
      <c r="T590">
        <f xml:space="preserve"> 1.667/H590 + Q590/A590 * Performance!$E$12 + Performance!$E$23 / Constraints!Q590 * Constraints!A590</f>
        <v>0.18475932790532001</v>
      </c>
      <c r="U590">
        <f xml:space="preserve"> 1.667/I590 + R590/A590 * Performance!$E$12 + Performance!$E$23 / Constraints!R590 * Constraints!A590</f>
        <v>0.17309638582958287</v>
      </c>
    </row>
    <row r="591" spans="1:21" x14ac:dyDescent="0.3">
      <c r="A591" s="51">
        <v>294.5</v>
      </c>
      <c r="B591" s="50">
        <f>$V$4*Performance!$E$12*(1/A591)+Performance!$E$23*(1/Constraints!$V$4)*Constraints!A591</f>
        <v>0.10809937785374034</v>
      </c>
      <c r="C591" s="50">
        <f>$V$5*Performance!$E$12*(1/A591)+Performance!$E$23*(1/Constraints!$V$5)*Constraints!A591</f>
        <v>0.15801468270827199</v>
      </c>
      <c r="D591" s="52">
        <f t="shared" si="34"/>
        <v>0.40895128453621654</v>
      </c>
      <c r="E591" s="52">
        <f>$V$4*Performance!$E$12*(1/A591)+Performance!$E$23*(1/Constraints!$V$9)*Constraints!A591</f>
        <v>0.10676936868393119</v>
      </c>
      <c r="F591" s="52">
        <f xml:space="preserve"> 1.21 / (9.81 * Constraints!$N$7 * Performance!$E$15 * Constraints!$N$5 ) * Constraints!A591 + 0.605 /Performance!$E$15 * (Performance!$E$16  - Constraints!$N$6 * Performance!$E$14) + Constraints!$N$6</f>
        <v>0.40878780208510934</v>
      </c>
      <c r="G591" s="54" t="s">
        <v>198</v>
      </c>
      <c r="H591" s="55">
        <f>SQRT(2/$V$3 * A591 * SQRT(Performance!$E$23 / (3 * Performance!$E$12)))</f>
        <v>21.160354233848416</v>
      </c>
      <c r="I591" s="55">
        <f>SQRT(2/$V$3 * A591 * (SQRT(Performance!$E$23)/(SQRT(3*Performance!$E$12 + 4* Performance!$E$23 * Performance!$E$11^2) - SQRT(Performance!$E$23)*Performance!$E$11)))</f>
        <v>22.259318044644029</v>
      </c>
      <c r="J591" t="e">
        <f xml:space="preserve"> $AC$3/G591 + $AC$6/A591 * Performance!$E$12 + Performance!$E$23/Constraints!$AC$6 * Constraints!A591</f>
        <v>#VALUE!</v>
      </c>
      <c r="K591">
        <f xml:space="preserve"> $AC$3/H591 + $AC$6/A591 * Performance!$E$12 + Performance!$E$23/Constraints!$AC$6 * Constraints!A591</f>
        <v>1.1874121720416895</v>
      </c>
      <c r="L591">
        <f xml:space="preserve"> $AC$3/I591 + $AC$6/A591 * Performance!$E$12 + Performance!$E$23/Constraints!$AC$6 * Constraints!A591</f>
        <v>1.1755596078792263</v>
      </c>
      <c r="M591">
        <f>SIN($AC$9 * PI()/180) + 1/Performance!$AE$5</f>
        <v>0.24073077270730886</v>
      </c>
      <c r="N591">
        <f>SIN($AC$9 * PI()/180) + 1/Performance!$AE$8</f>
        <v>0.22738716112204788</v>
      </c>
      <c r="O591" s="60">
        <f>$AC$16 * (Performance!$E$12/Constraints!A591 + Performance!$E$23 * (Constraints!$AC$13/Constraints!$AC$17)^2 * Constraints!A591)</f>
        <v>2.1660480297550688E-4</v>
      </c>
      <c r="P591" t="e">
        <f t="shared" si="35"/>
        <v>#VALUE!</v>
      </c>
      <c r="Q591">
        <f t="shared" si="36"/>
        <v>117.56793519181456</v>
      </c>
      <c r="R591">
        <f t="shared" si="37"/>
        <v>130.0968355654739</v>
      </c>
      <c r="S591" t="e">
        <f xml:space="preserve"> 1.667/G591 + P591/A591 * Performance!$E$12 + Performance!$E$23 / Constraints!P591 * Constraints!A591</f>
        <v>#VALUE!</v>
      </c>
      <c r="T591">
        <f xml:space="preserve"> 1.667/H591 + Q591/A591 * Performance!$E$12 + Performance!$E$23 / Constraints!Q591 * Constraints!A591</f>
        <v>0.18469236707766634</v>
      </c>
      <c r="U591">
        <f xml:space="preserve"> 1.667/I591 + R591/A591 * Performance!$E$12 + Performance!$E$23 / Constraints!R591 * Constraints!A591</f>
        <v>0.17303273092200205</v>
      </c>
    </row>
    <row r="592" spans="1:21" x14ac:dyDescent="0.3">
      <c r="A592" s="51">
        <v>295</v>
      </c>
      <c r="B592" s="50">
        <f>$V$4*Performance!$E$12*(1/A592)+Performance!$E$23*(1/Constraints!$V$4)*Constraints!A592</f>
        <v>0.10795573897698488</v>
      </c>
      <c r="C592" s="50">
        <f>$V$5*Performance!$E$12*(1/A592)+Performance!$E$23*(1/Constraints!$V$5)*Constraints!A592</f>
        <v>0.15777221540952319</v>
      </c>
      <c r="D592" s="52">
        <f t="shared" si="34"/>
        <v>0.40922357024850214</v>
      </c>
      <c r="E592" s="52">
        <f>$V$4*Performance!$E$12*(1/A592)+Performance!$E$23*(1/Constraints!$V$9)*Constraints!A592</f>
        <v>0.10662347172709116</v>
      </c>
      <c r="F592" s="52">
        <f xml:space="preserve"> 1.21 / (9.81 * Constraints!$N$7 * Performance!$E$15 * Constraints!$N$5 ) * Constraints!A592 + 0.605 /Performance!$E$15 * (Performance!$E$16  - Constraints!$N$6 * Performance!$E$14) + Constraints!$N$6</f>
        <v>0.40905981023805515</v>
      </c>
      <c r="G592" s="54" t="s">
        <v>198</v>
      </c>
      <c r="H592" s="55">
        <f>SQRT(2/$V$3 * A592 * SQRT(Performance!$E$23 / (3 * Performance!$E$12)))</f>
        <v>21.17830956523677</v>
      </c>
      <c r="I592" s="55">
        <f>SQRT(2/$V$3 * A592 * (SQRT(Performance!$E$23)/(SQRT(3*Performance!$E$12 + 4* Performance!$E$23 * Performance!$E$11^2) - SQRT(Performance!$E$23)*Performance!$E$11)))</f>
        <v>22.278205886858455</v>
      </c>
      <c r="J592" t="e">
        <f xml:space="preserve"> $AC$3/G592 + $AC$6/A592 * Performance!$E$12 + Performance!$E$23/Constraints!$AC$6 * Constraints!A592</f>
        <v>#VALUE!</v>
      </c>
      <c r="K592">
        <f xml:space="preserve"> $AC$3/H592 + $AC$6/A592 * Performance!$E$12 + Performance!$E$23/Constraints!$AC$6 * Constraints!A592</f>
        <v>1.1888129892425261</v>
      </c>
      <c r="L592">
        <f xml:space="preserve"> $AC$3/I592 + $AC$6/A592 * Performance!$E$12 + Performance!$E$23/Constraints!$AC$6 * Constraints!A592</f>
        <v>1.1769704738857376</v>
      </c>
      <c r="M592">
        <f>SIN($AC$9 * PI()/180) + 1/Performance!$AE$5</f>
        <v>0.24073077270730886</v>
      </c>
      <c r="N592">
        <f>SIN($AC$9 * PI()/180) + 1/Performance!$AE$8</f>
        <v>0.22738716112204788</v>
      </c>
      <c r="O592" s="60">
        <f>$AC$16 * (Performance!$E$12/Constraints!A592 + Performance!$E$23 * (Constraints!$AC$13/Constraints!$AC$17)^2 * Constraints!A592)</f>
        <v>2.1668946385915624E-4</v>
      </c>
      <c r="P592" t="e">
        <f t="shared" si="35"/>
        <v>#VALUE!</v>
      </c>
      <c r="Q592">
        <f t="shared" si="36"/>
        <v>117.76754119383804</v>
      </c>
      <c r="R592">
        <f t="shared" si="37"/>
        <v>130.31771304521158</v>
      </c>
      <c r="S592" t="e">
        <f xml:space="preserve"> 1.667/G592 + P592/A592 * Performance!$E$12 + Performance!$E$23 / Constraints!P592 * Constraints!A592</f>
        <v>#VALUE!</v>
      </c>
      <c r="T592">
        <f xml:space="preserve"> 1.667/H592 + Q592/A592 * Performance!$E$12 + Performance!$E$23 / Constraints!Q592 * Constraints!A592</f>
        <v>0.18462557656162193</v>
      </c>
      <c r="U592">
        <f xml:space="preserve"> 1.667/I592 + R592/A592 * Performance!$E$12 + Performance!$E$23 / Constraints!R592 * Constraints!A592</f>
        <v>0.17296923791758356</v>
      </c>
    </row>
    <row r="593" spans="1:21" x14ac:dyDescent="0.3">
      <c r="A593" s="51">
        <v>295.5</v>
      </c>
      <c r="B593" s="50">
        <f>$V$4*Performance!$E$12*(1/A593)+Performance!$E$23*(1/Constraints!$V$4)*Constraints!A593</f>
        <v>0.1078126532165279</v>
      </c>
      <c r="C593" s="50">
        <f>$V$5*Performance!$E$12*(1/A593)+Performance!$E$23*(1/Constraints!$V$5)*Constraints!A593</f>
        <v>0.15753061157997858</v>
      </c>
      <c r="D593" s="52">
        <f t="shared" si="34"/>
        <v>0.40949585596078775</v>
      </c>
      <c r="E593" s="52">
        <f>$V$4*Performance!$E$12*(1/A593)+Performance!$E$23*(1/Constraints!$V$9)*Constraints!A593</f>
        <v>0.10647812788654962</v>
      </c>
      <c r="F593" s="52">
        <f xml:space="preserve"> 1.21 / (9.81 * Constraints!$N$7 * Performance!$E$15 * Constraints!$N$5 ) * Constraints!A593 + 0.605 /Performance!$E$15 * (Performance!$E$16  - Constraints!$N$6 * Performance!$E$14) + Constraints!$N$6</f>
        <v>0.40933181839100102</v>
      </c>
      <c r="G593" s="54" t="s">
        <v>198</v>
      </c>
      <c r="H593" s="55">
        <f>SQRT(2/$V$3 * A593 * SQRT(Performance!$E$23 / (3 * Performance!$E$12)))</f>
        <v>21.196249686679288</v>
      </c>
      <c r="I593" s="55">
        <f>SQRT(2/$V$3 * A593 * (SQRT(Performance!$E$23)/(SQRT(3*Performance!$E$12 + 4* Performance!$E$23 * Performance!$E$11^2) - SQRT(Performance!$E$23)*Performance!$E$11)))</f>
        <v>22.297077729197927</v>
      </c>
      <c r="J593" t="e">
        <f xml:space="preserve"> $AC$3/G593 + $AC$6/A593 * Performance!$E$12 + Performance!$E$23/Constraints!$AC$6 * Constraints!A593</f>
        <v>#VALUE!</v>
      </c>
      <c r="K593">
        <f xml:space="preserve"> $AC$3/H593 + $AC$6/A593 * Performance!$E$12 + Performance!$E$23/Constraints!$AC$6 * Constraints!A593</f>
        <v>1.190214330073041</v>
      </c>
      <c r="L593">
        <f xml:space="preserve"> $AC$3/I593 + $AC$6/A593 * Performance!$E$12 + Performance!$E$23/Constraints!$AC$6 * Constraints!A593</f>
        <v>1.1783818380065432</v>
      </c>
      <c r="M593">
        <f>SIN($AC$9 * PI()/180) + 1/Performance!$AE$5</f>
        <v>0.24073077270730886</v>
      </c>
      <c r="N593">
        <f>SIN($AC$9 * PI()/180) + 1/Performance!$AE$8</f>
        <v>0.22738716112204788</v>
      </c>
      <c r="O593" s="60">
        <f>$AC$16 * (Performance!$E$12/Constraints!A593 + Performance!$E$23 * (Constraints!$AC$13/Constraints!$AC$17)^2 * Constraints!A593)</f>
        <v>2.1677460333687786E-4</v>
      </c>
      <c r="P593" t="e">
        <f t="shared" si="35"/>
        <v>#VALUE!</v>
      </c>
      <c r="Q593">
        <f t="shared" si="36"/>
        <v>117.9671471958615</v>
      </c>
      <c r="R593">
        <f t="shared" si="37"/>
        <v>130.53859052494923</v>
      </c>
      <c r="S593" t="e">
        <f xml:space="preserve"> 1.667/G593 + P593/A593 * Performance!$E$12 + Performance!$E$23 / Constraints!P593 * Constraints!A593</f>
        <v>#VALUE!</v>
      </c>
      <c r="T593">
        <f xml:space="preserve"> 1.667/H593 + Q593/A593 * Performance!$E$12 + Performance!$E$23 / Constraints!Q593 * Constraints!A593</f>
        <v>0.18455895563644339</v>
      </c>
      <c r="U593">
        <f xml:space="preserve"> 1.667/I593 + R593/A593 * Performance!$E$12 + Performance!$E$23 / Constraints!R593 * Constraints!A593</f>
        <v>0.17290590613116774</v>
      </c>
    </row>
    <row r="594" spans="1:21" x14ac:dyDescent="0.3">
      <c r="A594" s="51">
        <v>296</v>
      </c>
      <c r="B594" s="50">
        <f>$V$4*Performance!$E$12*(1/A594)+Performance!$E$23*(1/Constraints!$V$4)*Constraints!A594</f>
        <v>0.10767011776941526</v>
      </c>
      <c r="C594" s="50">
        <f>$V$5*Performance!$E$12*(1/A594)+Performance!$E$23*(1/Constraints!$V$5)*Constraints!A594</f>
        <v>0.15728986684394972</v>
      </c>
      <c r="D594" s="52">
        <f t="shared" si="34"/>
        <v>0.40976814167307329</v>
      </c>
      <c r="E594" s="52">
        <f>$V$4*Performance!$E$12*(1/A594)+Performance!$E$23*(1/Constraints!$V$9)*Constraints!A594</f>
        <v>0.10633333435935241</v>
      </c>
      <c r="F594" s="52">
        <f xml:space="preserve"> 1.21 / (9.81 * Constraints!$N$7 * Performance!$E$15 * Constraints!$N$5 ) * Constraints!A594 + 0.605 /Performance!$E$15 * (Performance!$E$16  - Constraints!$N$6 * Performance!$E$14) + Constraints!$N$6</f>
        <v>0.40960382654394689</v>
      </c>
      <c r="G594" s="54" t="s">
        <v>198</v>
      </c>
      <c r="H594" s="55">
        <f>SQRT(2/$V$3 * A594 * SQRT(Performance!$E$23 / (3 * Performance!$E$12)))</f>
        <v>21.214174636763609</v>
      </c>
      <c r="I594" s="55">
        <f>SQRT(2/$V$3 * A594 * (SQRT(Performance!$E$23)/(SQRT(3*Performance!$E$12 + 4* Performance!$E$23 * Performance!$E$11^2) - SQRT(Performance!$E$23)*Performance!$E$11)))</f>
        <v>22.315933612254128</v>
      </c>
      <c r="J594" t="e">
        <f xml:space="preserve"> $AC$3/G594 + $AC$6/A594 * Performance!$E$12 + Performance!$E$23/Constraints!$AC$6 * Constraints!A594</f>
        <v>#VALUE!</v>
      </c>
      <c r="K594">
        <f xml:space="preserve"> $AC$3/H594 + $AC$6/A594 * Performance!$E$12 + Performance!$E$23/Constraints!$AC$6 * Constraints!A594</f>
        <v>1.1916161923152768</v>
      </c>
      <c r="L594">
        <f xml:space="preserve"> $AC$3/I594 + $AC$6/A594 * Performance!$E$12 + Performance!$E$23/Constraints!$AC$6 * Constraints!A594</f>
        <v>1.1797936981314823</v>
      </c>
      <c r="M594">
        <f>SIN($AC$9 * PI()/180) + 1/Performance!$AE$5</f>
        <v>0.24073077270730886</v>
      </c>
      <c r="N594">
        <f>SIN($AC$9 * PI()/180) + 1/Performance!$AE$8</f>
        <v>0.22738716112204788</v>
      </c>
      <c r="O594" s="60">
        <f>$AC$16 * (Performance!$E$12/Constraints!A594 + Performance!$E$23 * (Constraints!$AC$13/Constraints!$AC$17)^2 * Constraints!A594)</f>
        <v>2.1686021898336392E-4</v>
      </c>
      <c r="P594" t="e">
        <f t="shared" si="35"/>
        <v>#VALUE!</v>
      </c>
      <c r="Q594">
        <f t="shared" si="36"/>
        <v>118.16675319788497</v>
      </c>
      <c r="R594">
        <f t="shared" si="37"/>
        <v>130.75946800468688</v>
      </c>
      <c r="S594" t="e">
        <f xml:space="preserve"> 1.667/G594 + P594/A594 * Performance!$E$12 + Performance!$E$23 / Constraints!P594 * Constraints!A594</f>
        <v>#VALUE!</v>
      </c>
      <c r="T594">
        <f xml:space="preserve"> 1.667/H594 + Q594/A594 * Performance!$E$12 + Performance!$E$23 / Constraints!Q594 * Constraints!A594</f>
        <v>0.1844925035856502</v>
      </c>
      <c r="U594">
        <f xml:space="preserve"> 1.667/I594 + R594/A594 * Performance!$E$12 + Performance!$E$23 / Constraints!R594 * Constraints!A594</f>
        <v>0.17284273488164748</v>
      </c>
    </row>
    <row r="595" spans="1:21" x14ac:dyDescent="0.3">
      <c r="A595" s="51">
        <v>296.5</v>
      </c>
      <c r="B595" s="50">
        <f>$V$4*Performance!$E$12*(1/A595)+Performance!$E$23*(1/Constraints!$V$4)*Constraints!A595</f>
        <v>0.10752812985159961</v>
      </c>
      <c r="C595" s="50">
        <f>$V$5*Performance!$E$12*(1/A595)+Performance!$E$23*(1/Constraints!$V$5)*Constraints!A595</f>
        <v>0.15704997685526356</v>
      </c>
      <c r="D595" s="52">
        <f t="shared" si="34"/>
        <v>0.41004042738535895</v>
      </c>
      <c r="E595" s="52">
        <f>$V$4*Performance!$E$12*(1/A595)+Performance!$E$23*(1/Constraints!$V$9)*Constraints!A595</f>
        <v>0.1061890883614522</v>
      </c>
      <c r="F595" s="52">
        <f xml:space="preserve"> 1.21 / (9.81 * Constraints!$N$7 * Performance!$E$15 * Constraints!$N$5 ) * Constraints!A595 + 0.605 /Performance!$E$15 * (Performance!$E$16  - Constraints!$N$6 * Performance!$E$14) + Constraints!$N$6</f>
        <v>0.4098758346968927</v>
      </c>
      <c r="G595" s="54" t="s">
        <v>198</v>
      </c>
      <c r="H595" s="55">
        <f>SQRT(2/$V$3 * A595 * SQRT(Performance!$E$23 / (3 * Performance!$E$12)))</f>
        <v>21.232084453914478</v>
      </c>
      <c r="I595" s="55">
        <f>SQRT(2/$V$3 * A595 * (SQRT(Performance!$E$23)/(SQRT(3*Performance!$E$12 + 4* Performance!$E$23 * Performance!$E$11^2) - SQRT(Performance!$E$23)*Performance!$E$11)))</f>
        <v>22.3347735764474</v>
      </c>
      <c r="J595" t="e">
        <f xml:space="preserve"> $AC$3/G595 + $AC$6/A595 * Performance!$E$12 + Performance!$E$23/Constraints!$AC$6 * Constraints!A595</f>
        <v>#VALUE!</v>
      </c>
      <c r="K595">
        <f xml:space="preserve"> $AC$3/H595 + $AC$6/A595 * Performance!$E$12 + Performance!$E$23/Constraints!$AC$6 * Constraints!A595</f>
        <v>1.1930185737644021</v>
      </c>
      <c r="L595">
        <f xml:space="preserve"> $AC$3/I595 + $AC$6/A595 * Performance!$E$12 + Performance!$E$23/Constraints!$AC$6 * Constraints!A595</f>
        <v>1.1812060521628829</v>
      </c>
      <c r="M595">
        <f>SIN($AC$9 * PI()/180) + 1/Performance!$AE$5</f>
        <v>0.24073077270730886</v>
      </c>
      <c r="N595">
        <f>SIN($AC$9 * PI()/180) + 1/Performance!$AE$8</f>
        <v>0.22738716112204788</v>
      </c>
      <c r="O595" s="60">
        <f>$AC$16 * (Performance!$E$12/Constraints!A595 + Performance!$E$23 * (Constraints!$AC$13/Constraints!$AC$17)^2 * Constraints!A595)</f>
        <v>2.1694630838966624E-4</v>
      </c>
      <c r="P595" t="e">
        <f t="shared" si="35"/>
        <v>#VALUE!</v>
      </c>
      <c r="Q595">
        <f t="shared" si="36"/>
        <v>118.3663591999084</v>
      </c>
      <c r="R595">
        <f t="shared" si="37"/>
        <v>130.9803454844245</v>
      </c>
      <c r="S595" t="e">
        <f xml:space="preserve"> 1.667/G595 + P595/A595 * Performance!$E$12 + Performance!$E$23 / Constraints!P595 * Constraints!A595</f>
        <v>#VALUE!</v>
      </c>
      <c r="T595">
        <f xml:space="preserve"> 1.667/H595 + Q595/A595 * Performance!$E$12 + Performance!$E$23 / Constraints!Q595 * Constraints!A595</f>
        <v>0.18442621969699247</v>
      </c>
      <c r="U595">
        <f xml:space="preserve"> 1.667/I595 + R595/A595 * Performance!$E$12 + Performance!$E$23 / Constraints!R595 * Constraints!A595</f>
        <v>0.17277972349193729</v>
      </c>
    </row>
    <row r="596" spans="1:21" x14ac:dyDescent="0.3">
      <c r="A596" s="51">
        <v>297</v>
      </c>
      <c r="B596" s="50">
        <f>$V$4*Performance!$E$12*(1/A596)+Performance!$E$23*(1/Constraints!$V$4)*Constraints!A596</f>
        <v>0.10738668669778154</v>
      </c>
      <c r="C596" s="50">
        <f>$V$5*Performance!$E$12*(1/A596)+Performance!$E$23*(1/Constraints!$V$5)*Constraints!A596</f>
        <v>0.1568109372970144</v>
      </c>
      <c r="D596" s="52">
        <f t="shared" si="34"/>
        <v>0.4103127130976445</v>
      </c>
      <c r="E596" s="52">
        <f>$V$4*Performance!$E$12*(1/A596)+Performance!$E$23*(1/Constraints!$V$9)*Constraints!A596</f>
        <v>0.10604538712754956</v>
      </c>
      <c r="F596" s="52">
        <f xml:space="preserve"> 1.21 / (9.81 * Constraints!$N$7 * Performance!$E$15 * Constraints!$N$5 ) * Constraints!A596 + 0.605 /Performance!$E$15 * (Performance!$E$16  - Constraints!$N$6 * Performance!$E$14) + Constraints!$N$6</f>
        <v>0.41014784284983863</v>
      </c>
      <c r="G596" s="54" t="s">
        <v>198</v>
      </c>
      <c r="H596" s="55">
        <f>SQRT(2/$V$3 * A596 * SQRT(Performance!$E$23 / (3 * Performance!$E$12)))</f>
        <v>21.249979176394724</v>
      </c>
      <c r="I596" s="55">
        <f>SQRT(2/$V$3 * A596 * (SQRT(Performance!$E$23)/(SQRT(3*Performance!$E$12 + 4* Performance!$E$23 * Performance!$E$11^2) - SQRT(Performance!$E$23)*Performance!$E$11)))</f>
        <v>22.353597662027749</v>
      </c>
      <c r="J596" t="e">
        <f xml:space="preserve"> $AC$3/G596 + $AC$6/A596 * Performance!$E$12 + Performance!$E$23/Constraints!$AC$6 * Constraints!A596</f>
        <v>#VALUE!</v>
      </c>
      <c r="K596">
        <f xml:space="preserve"> $AC$3/H596 + $AC$6/A596 * Performance!$E$12 + Performance!$E$23/Constraints!$AC$6 * Constraints!A596</f>
        <v>1.1944214722286102</v>
      </c>
      <c r="L596">
        <f xml:space="preserve"> $AC$3/I596 + $AC$6/A596 * Performance!$E$12 + Performance!$E$23/Constraints!$AC$6 * Constraints!A596</f>
        <v>1.1826188980154673</v>
      </c>
      <c r="M596">
        <f>SIN($AC$9 * PI()/180) + 1/Performance!$AE$5</f>
        <v>0.24073077270730886</v>
      </c>
      <c r="N596">
        <f>SIN($AC$9 * PI()/180) + 1/Performance!$AE$8</f>
        <v>0.22738716112204788</v>
      </c>
      <c r="O596" s="60">
        <f>$AC$16 * (Performance!$E$12/Constraints!A596 + Performance!$E$23 * (Constraints!$AC$13/Constraints!$AC$17)^2 * Constraints!A596)</f>
        <v>2.1703286916305845E-4</v>
      </c>
      <c r="P596" t="e">
        <f t="shared" si="35"/>
        <v>#VALUE!</v>
      </c>
      <c r="Q596">
        <f t="shared" si="36"/>
        <v>118.56596520193186</v>
      </c>
      <c r="R596">
        <f t="shared" si="37"/>
        <v>131.20122296416216</v>
      </c>
      <c r="S596" t="e">
        <f xml:space="preserve"> 1.667/G596 + P596/A596 * Performance!$E$12 + Performance!$E$23 / Constraints!P596 * Constraints!A596</f>
        <v>#VALUE!</v>
      </c>
      <c r="T596">
        <f xml:space="preserve"> 1.667/H596 + Q596/A596 * Performance!$E$12 + Performance!$E$23 / Constraints!Q596 * Constraints!A596</f>
        <v>0.18436010326241878</v>
      </c>
      <c r="U596">
        <f xml:space="preserve"> 1.667/I596 + R596/A596 * Performance!$E$12 + Performance!$E$23 / Constraints!R596 * Constraints!A596</f>
        <v>0.17271687128894289</v>
      </c>
    </row>
    <row r="597" spans="1:21" x14ac:dyDescent="0.3">
      <c r="A597" s="51">
        <v>297.5</v>
      </c>
      <c r="B597" s="50">
        <f>$V$4*Performance!$E$12*(1/A597)+Performance!$E$23*(1/Constraints!$V$4)*Constraints!A597</f>
        <v>0.10724578556125178</v>
      </c>
      <c r="C597" s="50">
        <f>$V$5*Performance!$E$12*(1/A597)+Performance!$E$23*(1/Constraints!$V$5)*Constraints!A597</f>
        <v>0.1565727438813177</v>
      </c>
      <c r="D597" s="52">
        <f t="shared" si="34"/>
        <v>0.41058499880993016</v>
      </c>
      <c r="E597" s="52">
        <f>$V$4*Performance!$E$12*(1/A597)+Performance!$E$23*(1/Constraints!$V$9)*Constraints!A597</f>
        <v>0.10590222791093523</v>
      </c>
      <c r="F597" s="52">
        <f xml:space="preserve"> 1.21 / (9.81 * Constraints!$N$7 * Performance!$E$15 * Constraints!$N$5 ) * Constraints!A597 + 0.605 /Performance!$E$15 * (Performance!$E$16  - Constraints!$N$6 * Performance!$E$14) + Constraints!$N$6</f>
        <v>0.41041985100278444</v>
      </c>
      <c r="G597" s="54" t="s">
        <v>198</v>
      </c>
      <c r="H597" s="55">
        <f>SQRT(2/$V$3 * A597 * SQRT(Performance!$E$23 / (3 * Performance!$E$12)))</f>
        <v>21.267858842306197</v>
      </c>
      <c r="I597" s="55">
        <f>SQRT(2/$V$3 * A597 * (SQRT(Performance!$E$23)/(SQRT(3*Performance!$E$12 + 4* Performance!$E$23 * Performance!$E$11^2) - SQRT(Performance!$E$23)*Performance!$E$11)))</f>
        <v>22.372405909075844</v>
      </c>
      <c r="J597" t="e">
        <f xml:space="preserve"> $AC$3/G597 + $AC$6/A597 * Performance!$E$12 + Performance!$E$23/Constraints!$AC$6 * Constraints!A597</f>
        <v>#VALUE!</v>
      </c>
      <c r="K597">
        <f xml:space="preserve"> $AC$3/H597 + $AC$6/A597 * Performance!$E$12 + Performance!$E$23/Constraints!$AC$6 * Constraints!A597</f>
        <v>1.1958248855290226</v>
      </c>
      <c r="L597">
        <f xml:space="preserve"> $AC$3/I597 + $AC$6/A597 * Performance!$E$12 + Performance!$E$23/Constraints!$AC$6 * Constraints!A597</f>
        <v>1.1840322336162574</v>
      </c>
      <c r="M597">
        <f>SIN($AC$9 * PI()/180) + 1/Performance!$AE$5</f>
        <v>0.24073077270730886</v>
      </c>
      <c r="N597">
        <f>SIN($AC$9 * PI()/180) + 1/Performance!$AE$8</f>
        <v>0.22738716112204788</v>
      </c>
      <c r="O597" s="60">
        <f>$AC$16 * (Performance!$E$12/Constraints!A597 + Performance!$E$23 * (Constraints!$AC$13/Constraints!$AC$17)^2 * Constraints!A597)</f>
        <v>2.1711989892689979E-4</v>
      </c>
      <c r="P597" t="e">
        <f t="shared" si="35"/>
        <v>#VALUE!</v>
      </c>
      <c r="Q597">
        <f t="shared" si="36"/>
        <v>118.7655712039553</v>
      </c>
      <c r="R597">
        <f t="shared" si="37"/>
        <v>131.42210044389981</v>
      </c>
      <c r="S597" t="e">
        <f xml:space="preserve"> 1.667/G597 + P597/A597 * Performance!$E$12 + Performance!$E$23 / Constraints!P597 * Constraints!A597</f>
        <v>#VALUE!</v>
      </c>
      <c r="T597">
        <f xml:space="preserve"> 1.667/H597 + Q597/A597 * Performance!$E$12 + Performance!$E$23 / Constraints!Q597 * Constraints!A597</f>
        <v>0.18429415357804452</v>
      </c>
      <c r="U597">
        <f xml:space="preserve"> 1.667/I597 + R597/A597 * Performance!$E$12 + Performance!$E$23 / Constraints!R597 * Constraints!A597</f>
        <v>0.17265417760353119</v>
      </c>
    </row>
    <row r="598" spans="1:21" x14ac:dyDescent="0.3">
      <c r="A598" s="51">
        <v>298</v>
      </c>
      <c r="B598" s="50">
        <f>$V$4*Performance!$E$12*(1/A598)+Performance!$E$23*(1/Constraints!$V$4)*Constraints!A598</f>
        <v>0.10710542371373537</v>
      </c>
      <c r="C598" s="50">
        <f>$V$5*Performance!$E$12*(1/A598)+Performance!$E$23*(1/Constraints!$V$5)*Constraints!A598</f>
        <v>0.15633539234906657</v>
      </c>
      <c r="D598" s="52">
        <f t="shared" si="34"/>
        <v>0.4108572845222157</v>
      </c>
      <c r="E598" s="52">
        <f>$V$4*Performance!$E$12*(1/A598)+Performance!$E$23*(1/Constraints!$V$9)*Constraints!A598</f>
        <v>0.10575960798333425</v>
      </c>
      <c r="F598" s="52">
        <f xml:space="preserve"> 1.21 / (9.81 * Constraints!$N$7 * Performance!$E$15 * Constraints!$N$5 ) * Constraints!A598 + 0.605 /Performance!$E$15 * (Performance!$E$16  - Constraints!$N$6 * Performance!$E$14) + Constraints!$N$6</f>
        <v>0.41069185915573031</v>
      </c>
      <c r="G598" s="54" t="s">
        <v>198</v>
      </c>
      <c r="H598" s="55">
        <f>SQRT(2/$V$3 * A598 * SQRT(Performance!$E$23 / (3 * Performance!$E$12)))</f>
        <v>21.285723489590726</v>
      </c>
      <c r="I598" s="55">
        <f>SQRT(2/$V$3 * A598 * (SQRT(Performance!$E$23)/(SQRT(3*Performance!$E$12 + 4* Performance!$E$23 * Performance!$E$11^2) - SQRT(Performance!$E$23)*Performance!$E$11)))</f>
        <v>22.391198357504031</v>
      </c>
      <c r="J598" t="e">
        <f xml:space="preserve"> $AC$3/G598 + $AC$6/A598 * Performance!$E$12 + Performance!$E$23/Constraints!$AC$6 * Constraints!A598</f>
        <v>#VALUE!</v>
      </c>
      <c r="K598">
        <f xml:space="preserve"> $AC$3/H598 + $AC$6/A598 * Performance!$E$12 + Performance!$E$23/Constraints!$AC$6 * Constraints!A598</f>
        <v>1.1972288114995893</v>
      </c>
      <c r="L598">
        <f xml:space="preserve"> $AC$3/I598 + $AC$6/A598 * Performance!$E$12 + Performance!$E$23/Constraints!$AC$6 * Constraints!A598</f>
        <v>1.1854460569044829</v>
      </c>
      <c r="M598">
        <f>SIN($AC$9 * PI()/180) + 1/Performance!$AE$5</f>
        <v>0.24073077270730886</v>
      </c>
      <c r="N598">
        <f>SIN($AC$9 * PI()/180) + 1/Performance!$AE$8</f>
        <v>0.22738716112204788</v>
      </c>
      <c r="O598" s="60">
        <f>$AC$16 * (Performance!$E$12/Constraints!A598 + Performance!$E$23 * (Constraints!$AC$13/Constraints!$AC$17)^2 * Constraints!A598)</f>
        <v>2.1720739532049999E-4</v>
      </c>
      <c r="P598" t="e">
        <f t="shared" si="35"/>
        <v>#VALUE!</v>
      </c>
      <c r="Q598">
        <f t="shared" si="36"/>
        <v>118.96517720597875</v>
      </c>
      <c r="R598">
        <f t="shared" si="37"/>
        <v>131.64297792363746</v>
      </c>
      <c r="S598" t="e">
        <f xml:space="preserve"> 1.667/G598 + P598/A598 * Performance!$E$12 + Performance!$E$23 / Constraints!P598 * Constraints!A598</f>
        <v>#VALUE!</v>
      </c>
      <c r="T598">
        <f xml:space="preserve"> 1.667/H598 + Q598/A598 * Performance!$E$12 + Performance!$E$23 / Constraints!Q598 * Constraints!A598</f>
        <v>0.18422836994412031</v>
      </c>
      <c r="U598">
        <f xml:space="preserve"> 1.667/I598 + R598/A598 * Performance!$E$12 + Performance!$E$23 / Constraints!R598 * Constraints!A598</f>
        <v>0.17259164177050007</v>
      </c>
    </row>
    <row r="599" spans="1:21" x14ac:dyDescent="0.3">
      <c r="A599" s="51">
        <v>298.5</v>
      </c>
      <c r="B599" s="50">
        <f>$V$4*Performance!$E$12*(1/A599)+Performance!$E$23*(1/Constraints!$V$4)*Constraints!A599</f>
        <v>0.1069655984452373</v>
      </c>
      <c r="C599" s="50">
        <f>$V$5*Performance!$E$12*(1/A599)+Performance!$E$23*(1/Constraints!$V$5)*Constraints!A599</f>
        <v>0.15609887846969103</v>
      </c>
      <c r="D599" s="52">
        <f t="shared" ref="D599:D662" si="38">1.21/(9.8*$N$7*$N$8*$N$5)*A599+0.605/$N$8*($N$11-$N$6*$N$10)+$N$6</f>
        <v>0.41112957023450131</v>
      </c>
      <c r="E599" s="52">
        <f>$V$4*Performance!$E$12*(1/A599)+Performance!$E$23*(1/Constraints!$V$9)*Constraints!A599</f>
        <v>0.10561752463475162</v>
      </c>
      <c r="F599" s="52">
        <f xml:space="preserve"> 1.21 / (9.81 * Constraints!$N$7 * Performance!$E$15 * Constraints!$N$5 ) * Constraints!A599 + 0.605 /Performance!$E$15 * (Performance!$E$16  - Constraints!$N$6 * Performance!$E$14) + Constraints!$N$6</f>
        <v>0.41096386730867618</v>
      </c>
      <c r="G599" s="54" t="s">
        <v>198</v>
      </c>
      <c r="H599" s="55">
        <f>SQRT(2/$V$3 * A599 * SQRT(Performance!$E$23 / (3 * Performance!$E$12)))</f>
        <v>21.303573156031057</v>
      </c>
      <c r="I599" s="55">
        <f>SQRT(2/$V$3 * A599 * (SQRT(Performance!$E$23)/(SQRT(3*Performance!$E$12 + 4* Performance!$E$23 * Performance!$E$11^2) - SQRT(Performance!$E$23)*Performance!$E$11)))</f>
        <v>22.409975047057294</v>
      </c>
      <c r="J599" t="e">
        <f xml:space="preserve"> $AC$3/G599 + $AC$6/A599 * Performance!$E$12 + Performance!$E$23/Constraints!$AC$6 * Constraints!A599</f>
        <v>#VALUE!</v>
      </c>
      <c r="K599">
        <f xml:space="preserve"> $AC$3/H599 + $AC$6/A599 * Performance!$E$12 + Performance!$E$23/Constraints!$AC$6 * Constraints!A599</f>
        <v>1.1986332479869926</v>
      </c>
      <c r="L599">
        <f xml:space="preserve"> $AC$3/I599 + $AC$6/A599 * Performance!$E$12 + Performance!$E$23/Constraints!$AC$6 * Constraints!A599</f>
        <v>1.1868603658314874</v>
      </c>
      <c r="M599">
        <f>SIN($AC$9 * PI()/180) + 1/Performance!$AE$5</f>
        <v>0.24073077270730886</v>
      </c>
      <c r="N599">
        <f>SIN($AC$9 * PI()/180) + 1/Performance!$AE$8</f>
        <v>0.22738716112204788</v>
      </c>
      <c r="O599" s="60">
        <f>$AC$16 * (Performance!$E$12/Constraints!A599 + Performance!$E$23 * (Constraints!$AC$13/Constraints!$AC$17)^2 * Constraints!A599)</f>
        <v>2.1729535599898599E-4</v>
      </c>
      <c r="P599" t="e">
        <f t="shared" ref="P599:P662" si="39" xml:space="preserve"> 0.5 * $AJ$4 * G599^2</f>
        <v>#VALUE!</v>
      </c>
      <c r="Q599">
        <f t="shared" ref="Q599:Q662" si="40" xml:space="preserve"> 0.5 * $AJ$4 * H599^2</f>
        <v>119.16478320800222</v>
      </c>
      <c r="R599">
        <f t="shared" ref="R599:R662" si="41" xml:space="preserve"> 0.5 * $AJ$4 * I599^2</f>
        <v>131.86385540337508</v>
      </c>
      <c r="S599" t="e">
        <f xml:space="preserve"> 1.667/G599 + P599/A599 * Performance!$E$12 + Performance!$E$23 / Constraints!P599 * Constraints!A599</f>
        <v>#VALUE!</v>
      </c>
      <c r="T599">
        <f xml:space="preserve"> 1.667/H599 + Q599/A599 * Performance!$E$12 + Performance!$E$23 / Constraints!Q599 * Constraints!A599</f>
        <v>0.18416275166500093</v>
      </c>
      <c r="U599">
        <f xml:space="preserve"> 1.667/I599 + R599/A599 * Performance!$E$12 + Performance!$E$23 / Constraints!R599 * Constraints!A599</f>
        <v>0.17252926312854905</v>
      </c>
    </row>
    <row r="600" spans="1:21" x14ac:dyDescent="0.3">
      <c r="A600" s="51">
        <v>299</v>
      </c>
      <c r="B600" s="50">
        <f>$V$4*Performance!$E$12*(1/A600)+Performance!$E$23*(1/Constraints!$V$4)*Constraints!A600</f>
        <v>0.10682630706388957</v>
      </c>
      <c r="C600" s="50">
        <f>$V$5*Performance!$E$12*(1/A600)+Performance!$E$23*(1/Constraints!$V$5)*Constraints!A600</f>
        <v>0.15586319804091911</v>
      </c>
      <c r="D600" s="52">
        <f t="shared" si="38"/>
        <v>0.41140185594678691</v>
      </c>
      <c r="E600" s="52">
        <f>$V$4*Performance!$E$12*(1/A600)+Performance!$E$23*(1/Constraints!$V$9)*Constraints!A600</f>
        <v>0.10547597517331933</v>
      </c>
      <c r="F600" s="52">
        <f xml:space="preserve"> 1.21 / (9.81 * Constraints!$N$7 * Performance!$E$15 * Constraints!$N$5 ) * Constraints!A600 + 0.605 /Performance!$E$15 * (Performance!$E$16  - Constraints!$N$6 * Performance!$E$14) + Constraints!$N$6</f>
        <v>0.41123587546162199</v>
      </c>
      <c r="G600" s="54" t="s">
        <v>198</v>
      </c>
      <c r="H600" s="55">
        <f>SQRT(2/$V$3 * A600 * SQRT(Performance!$E$23 / (3 * Performance!$E$12)))</f>
        <v>21.321407879251772</v>
      </c>
      <c r="I600" s="55">
        <f>SQRT(2/$V$3 * A600 * (SQRT(Performance!$E$23)/(SQRT(3*Performance!$E$12 + 4* Performance!$E$23 * Performance!$E$11^2) - SQRT(Performance!$E$23)*Performance!$E$11)))</f>
        <v>22.428736017314261</v>
      </c>
      <c r="J600" t="e">
        <f xml:space="preserve"> $AC$3/G600 + $AC$6/A600 * Performance!$E$12 + Performance!$E$23/Constraints!$AC$6 * Constraints!A600</f>
        <v>#VALUE!</v>
      </c>
      <c r="K600">
        <f xml:space="preserve"> $AC$3/H600 + $AC$6/A600 * Performance!$E$12 + Performance!$E$23/Constraints!$AC$6 * Constraints!A600</f>
        <v>1.2000381928505508</v>
      </c>
      <c r="L600">
        <f xml:space="preserve"> $AC$3/I600 + $AC$6/A600 * Performance!$E$12 + Performance!$E$23/Constraints!$AC$6 * Constraints!A600</f>
        <v>1.1882751583606379</v>
      </c>
      <c r="M600">
        <f>SIN($AC$9 * PI()/180) + 1/Performance!$AE$5</f>
        <v>0.24073077270730886</v>
      </c>
      <c r="N600">
        <f>SIN($AC$9 * PI()/180) + 1/Performance!$AE$8</f>
        <v>0.22738716112204788</v>
      </c>
      <c r="O600" s="60">
        <f>$AC$16 * (Performance!$E$12/Constraints!A600 + Performance!$E$23 * (Constraints!$AC$13/Constraints!$AC$17)^2 * Constraints!A600)</f>
        <v>2.1738377863316934E-4</v>
      </c>
      <c r="P600" t="e">
        <f t="shared" si="39"/>
        <v>#VALUE!</v>
      </c>
      <c r="Q600">
        <f t="shared" si="40"/>
        <v>119.36438921002568</v>
      </c>
      <c r="R600">
        <f t="shared" si="41"/>
        <v>132.08473288311274</v>
      </c>
      <c r="S600" t="e">
        <f xml:space="preserve"> 1.667/G600 + P600/A600 * Performance!$E$12 + Performance!$E$23 / Constraints!P600 * Constraints!A600</f>
        <v>#VALUE!</v>
      </c>
      <c r="T600">
        <f xml:space="preserve"> 1.667/H600 + Q600/A600 * Performance!$E$12 + Performance!$E$23 / Constraints!Q600 * Constraints!A600</f>
        <v>0.18409729804911434</v>
      </c>
      <c r="U600">
        <f xml:space="preserve"> 1.667/I600 + R600/A600 * Performance!$E$12 + Performance!$E$23 / Constraints!R600 * Constraints!A600</f>
        <v>0.1724670410202496</v>
      </c>
    </row>
    <row r="601" spans="1:21" x14ac:dyDescent="0.3">
      <c r="A601" s="51">
        <v>299.5</v>
      </c>
      <c r="B601" s="50">
        <f>$V$4*Performance!$E$12*(1/A601)+Performance!$E$23*(1/Constraints!$V$4)*Constraints!A601</f>
        <v>0.10668754689579997</v>
      </c>
      <c r="C601" s="50">
        <f>$V$5*Performance!$E$12*(1/A601)+Performance!$E$23*(1/Constraints!$V$5)*Constraints!A601</f>
        <v>0.15562834688854071</v>
      </c>
      <c r="D601" s="52">
        <f t="shared" si="38"/>
        <v>0.41167414165907251</v>
      </c>
      <c r="E601" s="52">
        <f>$V$4*Performance!$E$12*(1/A601)+Performance!$E$23*(1/Constraints!$V$9)*Constraints!A601</f>
        <v>0.10533495692514516</v>
      </c>
      <c r="F601" s="52">
        <f xml:space="preserve"> 1.21 / (9.81 * Constraints!$N$7 * Performance!$E$15 * Constraints!$N$5 ) * Constraints!A601 + 0.605 /Performance!$E$15 * (Performance!$E$16  - Constraints!$N$6 * Performance!$E$14) + Constraints!$N$6</f>
        <v>0.41150788361456792</v>
      </c>
      <c r="G601" s="54" t="s">
        <v>198</v>
      </c>
      <c r="H601" s="55">
        <f>SQRT(2/$V$3 * A601 * SQRT(Performance!$E$23 / (3 * Performance!$E$12)))</f>
        <v>21.339227696720236</v>
      </c>
      <c r="I601" s="55">
        <f>SQRT(2/$V$3 * A601 * (SQRT(Performance!$E$23)/(SQRT(3*Performance!$E$12 + 4* Performance!$E$23 * Performance!$E$11^2) - SQRT(Performance!$E$23)*Performance!$E$11)))</f>
        <v>22.447481307688161</v>
      </c>
      <c r="J601" t="e">
        <f xml:space="preserve"> $AC$3/G601 + $AC$6/A601 * Performance!$E$12 + Performance!$E$23/Constraints!$AC$6 * Constraints!A601</f>
        <v>#VALUE!</v>
      </c>
      <c r="K601">
        <f xml:space="preserve"> $AC$3/H601 + $AC$6/A601 * Performance!$E$12 + Performance!$E$23/Constraints!$AC$6 * Constraints!A601</f>
        <v>1.2014436439621234</v>
      </c>
      <c r="L601">
        <f xml:space="preserve"> $AC$3/I601 + $AC$6/A601 * Performance!$E$12 + Performance!$E$23/Constraints!$AC$6 * Constraints!A601</f>
        <v>1.1896904324672346</v>
      </c>
      <c r="M601">
        <f>SIN($AC$9 * PI()/180) + 1/Performance!$AE$5</f>
        <v>0.24073077270730886</v>
      </c>
      <c r="N601">
        <f>SIN($AC$9 * PI()/180) + 1/Performance!$AE$8</f>
        <v>0.22738716112204788</v>
      </c>
      <c r="O601" s="60">
        <f>$AC$16 * (Performance!$E$12/Constraints!A601 + Performance!$E$23 * (Constraints!$AC$13/Constraints!$AC$17)^2 * Constraints!A601)</f>
        <v>2.1747266090941551E-4</v>
      </c>
      <c r="P601" t="e">
        <f t="shared" si="39"/>
        <v>#VALUE!</v>
      </c>
      <c r="Q601">
        <f t="shared" si="40"/>
        <v>119.56399521204912</v>
      </c>
      <c r="R601">
        <f t="shared" si="41"/>
        <v>132.30561036285036</v>
      </c>
      <c r="S601" t="e">
        <f xml:space="preserve"> 1.667/G601 + P601/A601 * Performance!$E$12 + Performance!$E$23 / Constraints!P601 * Constraints!A601</f>
        <v>#VALUE!</v>
      </c>
      <c r="T601">
        <f xml:space="preserve"> 1.667/H601 + Q601/A601 * Performance!$E$12 + Performance!$E$23 / Constraints!Q601 * Constraints!A601</f>
        <v>0.18403200840893119</v>
      </c>
      <c r="U601">
        <f xml:space="preserve"> 1.667/I601 + R601/A601 * Performance!$E$12 + Performance!$E$23 / Constraints!R601 * Constraints!A601</f>
        <v>0.1724049747920163</v>
      </c>
    </row>
    <row r="602" spans="1:21" x14ac:dyDescent="0.3">
      <c r="A602" s="51">
        <v>300</v>
      </c>
      <c r="B602" s="50">
        <f>$V$4*Performance!$E$12*(1/A602)+Performance!$E$23*(1/Constraints!$V$4)*Constraints!A602</f>
        <v>0.10654931528490216</v>
      </c>
      <c r="C602" s="50">
        <f>$V$5*Performance!$E$12*(1/A602)+Performance!$E$23*(1/Constraints!$V$5)*Constraints!A602</f>
        <v>0.15539432086617391</v>
      </c>
      <c r="D602" s="52">
        <f t="shared" si="38"/>
        <v>0.41194642737135811</v>
      </c>
      <c r="E602" s="52">
        <f>$V$4*Performance!$E$12*(1/A602)+Performance!$E$23*(1/Constraints!$V$9)*Constraints!A602</f>
        <v>0.1051944672341628</v>
      </c>
      <c r="F602" s="52">
        <f xml:space="preserve"> 1.21 / (9.81 * Constraints!$N$7 * Performance!$E$15 * Constraints!$N$5 ) * Constraints!A602 + 0.605 /Performance!$E$15 * (Performance!$E$16  - Constraints!$N$6 * Performance!$E$14) + Constraints!$N$6</f>
        <v>0.41177989176751373</v>
      </c>
      <c r="G602" s="54" t="s">
        <v>198</v>
      </c>
      <c r="H602" s="55">
        <f>SQRT(2/$V$3 * A602 * SQRT(Performance!$E$23 / (3 * Performance!$E$12)))</f>
        <v>21.357032645747502</v>
      </c>
      <c r="I602" s="55">
        <f>SQRT(2/$V$3 * A602 * (SQRT(Performance!$E$23)/(SQRT(3*Performance!$E$12 + 4* Performance!$E$23 * Performance!$E$11^2) - SQRT(Performance!$E$23)*Performance!$E$11)))</f>
        <v>22.466210957427798</v>
      </c>
      <c r="J602" t="e">
        <f xml:space="preserve"> $AC$3/G602 + $AC$6/A602 * Performance!$E$12 + Performance!$E$23/Constraints!$AC$6 * Constraints!A602</f>
        <v>#VALUE!</v>
      </c>
      <c r="K602">
        <f xml:space="preserve"> $AC$3/H602 + $AC$6/A602 * Performance!$E$12 + Performance!$E$23/Constraints!$AC$6 * Constraints!A602</f>
        <v>1.2028495992060169</v>
      </c>
      <c r="L602">
        <f xml:space="preserve"> $AC$3/I602 + $AC$6/A602 * Performance!$E$12 + Performance!$E$23/Constraints!$AC$6 * Constraints!A602</f>
        <v>1.1911061861384209</v>
      </c>
      <c r="M602">
        <f>SIN($AC$9 * PI()/180) + 1/Performance!$AE$5</f>
        <v>0.24073077270730886</v>
      </c>
      <c r="N602">
        <f>SIN($AC$9 * PI()/180) + 1/Performance!$AE$8</f>
        <v>0.22738716112204788</v>
      </c>
      <c r="O602" s="60">
        <f>$AC$16 * (Performance!$E$12/Constraints!A602 + Performance!$E$23 * (Constraints!$AC$13/Constraints!$AC$17)^2 * Constraints!A602)</f>
        <v>2.1756200052951426E-4</v>
      </c>
      <c r="P602" t="e">
        <f t="shared" si="39"/>
        <v>#VALUE!</v>
      </c>
      <c r="Q602">
        <f t="shared" si="40"/>
        <v>119.76360121407255</v>
      </c>
      <c r="R602">
        <f t="shared" si="41"/>
        <v>132.52648784258804</v>
      </c>
      <c r="S602" t="e">
        <f xml:space="preserve"> 1.667/G602 + P602/A602 * Performance!$E$12 + Performance!$E$23 / Constraints!P602 * Constraints!A602</f>
        <v>#VALUE!</v>
      </c>
      <c r="T602">
        <f xml:space="preserve"> 1.667/H602 + Q602/A602 * Performance!$E$12 + Performance!$E$23 / Constraints!Q602 * Constraints!A602</f>
        <v>0.1839668820609342</v>
      </c>
      <c r="U602">
        <f xml:space="preserve"> 1.667/I602 + R602/A602 * Performance!$E$12 + Performance!$E$23 / Constraints!R602 * Constraints!A602</f>
        <v>0.17234306379407782</v>
      </c>
    </row>
    <row r="603" spans="1:21" x14ac:dyDescent="0.3">
      <c r="A603" s="51">
        <v>300.5</v>
      </c>
      <c r="B603" s="50">
        <f>$V$4*Performance!$E$12*(1/A603)+Performance!$E$23*(1/Constraints!$V$4)*Constraints!A603</f>
        <v>0.10641160959280754</v>
      </c>
      <c r="C603" s="50">
        <f>$V$5*Performance!$E$12*(1/A603)+Performance!$E$23*(1/Constraints!$V$5)*Constraints!A603</f>
        <v>0.15516111585503328</v>
      </c>
      <c r="D603" s="52">
        <f t="shared" si="38"/>
        <v>0.41221871308364372</v>
      </c>
      <c r="E603" s="52">
        <f>$V$4*Performance!$E$12*(1/A603)+Performance!$E$23*(1/Constraints!$V$9)*Constraints!A603</f>
        <v>0.10505450346198361</v>
      </c>
      <c r="F603" s="52">
        <f xml:space="preserve"> 1.21 / (9.81 * Constraints!$N$7 * Performance!$E$15 * Constraints!$N$5 ) * Constraints!A603 + 0.605 /Performance!$E$15 * (Performance!$E$16  - Constraints!$N$6 * Performance!$E$14) + Constraints!$N$6</f>
        <v>0.4120518999204596</v>
      </c>
      <c r="G603" s="54" t="s">
        <v>198</v>
      </c>
      <c r="H603" s="55">
        <f>SQRT(2/$V$3 * A603 * SQRT(Performance!$E$23 / (3 * Performance!$E$12)))</f>
        <v>21.374822763489227</v>
      </c>
      <c r="I603" s="55">
        <f>SQRT(2/$V$3 * A603 * (SQRT(Performance!$E$23)/(SQRT(3*Performance!$E$12 + 4* Performance!$E$23 * Performance!$E$11^2) - SQRT(Performance!$E$23)*Performance!$E$11)))</f>
        <v>22.484925005618503</v>
      </c>
      <c r="J603" t="e">
        <f xml:space="preserve"> $AC$3/G603 + $AC$6/A603 * Performance!$E$12 + Performance!$E$23/Constraints!$AC$6 * Constraints!A603</f>
        <v>#VALUE!</v>
      </c>
      <c r="K603">
        <f xml:space="preserve"> $AC$3/H603 + $AC$6/A603 * Performance!$E$12 + Performance!$E$23/Constraints!$AC$6 * Constraints!A603</f>
        <v>1.2042560564788902</v>
      </c>
      <c r="L603">
        <f xml:space="preserve"> $AC$3/I603 + $AC$6/A603 * Performance!$E$12 + Performance!$E$23/Constraints!$AC$6 * Constraints!A603</f>
        <v>1.1925224173730939</v>
      </c>
      <c r="M603">
        <f>SIN($AC$9 * PI()/180) + 1/Performance!$AE$5</f>
        <v>0.24073077270730886</v>
      </c>
      <c r="N603">
        <f>SIN($AC$9 * PI()/180) + 1/Performance!$AE$8</f>
        <v>0.22738716112204788</v>
      </c>
      <c r="O603" s="60">
        <f>$AC$16 * (Performance!$E$12/Constraints!A603 + Performance!$E$23 * (Constraints!$AC$13/Constraints!$AC$17)^2 * Constraints!A603)</f>
        <v>2.1765179521055107E-4</v>
      </c>
      <c r="P603" t="e">
        <f t="shared" si="39"/>
        <v>#VALUE!</v>
      </c>
      <c r="Q603">
        <f t="shared" si="40"/>
        <v>119.96320721609605</v>
      </c>
      <c r="R603">
        <f t="shared" si="41"/>
        <v>132.74736532232566</v>
      </c>
      <c r="S603" t="e">
        <f xml:space="preserve"> 1.667/G603 + P603/A603 * Performance!$E$12 + Performance!$E$23 / Constraints!P603 * Constraints!A603</f>
        <v>#VALUE!</v>
      </c>
      <c r="T603">
        <f xml:space="preserve"> 1.667/H603 + Q603/A603 * Performance!$E$12 + Performance!$E$23 / Constraints!Q603 * Constraints!A603</f>
        <v>0.18390191832558841</v>
      </c>
      <c r="U603">
        <f xml:space="preserve"> 1.667/I603 + R603/A603 * Performance!$E$12 + Performance!$E$23 / Constraints!R603 * Constraints!A603</f>
        <v>0.17228130738044858</v>
      </c>
    </row>
    <row r="604" spans="1:21" x14ac:dyDescent="0.3">
      <c r="A604" s="51">
        <v>301</v>
      </c>
      <c r="B604" s="50">
        <f>$V$4*Performance!$E$12*(1/A604)+Performance!$E$23*(1/Constraints!$V$4)*Constraints!A604</f>
        <v>0.10627442719865828</v>
      </c>
      <c r="C604" s="50">
        <f>$V$5*Performance!$E$12*(1/A604)+Performance!$E$23*(1/Constraints!$V$5)*Constraints!A604</f>
        <v>0.15492872776370079</v>
      </c>
      <c r="D604" s="52">
        <f t="shared" si="38"/>
        <v>0.41249099879592932</v>
      </c>
      <c r="E604" s="52">
        <f>$V$4*Performance!$E$12*(1/A604)+Performance!$E$23*(1/Constraints!$V$9)*Constraints!A604</f>
        <v>0.10491506298774977</v>
      </c>
      <c r="F604" s="52">
        <f xml:space="preserve"> 1.21 / (9.81 * Constraints!$N$7 * Performance!$E$15 * Constraints!$N$5 ) * Constraints!A604 + 0.605 /Performance!$E$15 * (Performance!$E$16  - Constraints!$N$6 * Performance!$E$14) + Constraints!$N$6</f>
        <v>0.41232390807340547</v>
      </c>
      <c r="G604" s="54" t="s">
        <v>198</v>
      </c>
      <c r="H604" s="55">
        <f>SQRT(2/$V$3 * A604 * SQRT(Performance!$E$23 / (3 * Performance!$E$12)))</f>
        <v>21.39259808694656</v>
      </c>
      <c r="I604" s="55">
        <f>SQRT(2/$V$3 * A604 * (SQRT(Performance!$E$23)/(SQRT(3*Performance!$E$12 + 4* Performance!$E$23 * Performance!$E$11^2) - SQRT(Performance!$E$23)*Performance!$E$11)))</f>
        <v>22.503623491183095</v>
      </c>
      <c r="J604" t="e">
        <f xml:space="preserve"> $AC$3/G604 + $AC$6/A604 * Performance!$E$12 + Performance!$E$23/Constraints!$AC$6 * Constraints!A604</f>
        <v>#VALUE!</v>
      </c>
      <c r="K604">
        <f xml:space="preserve"> $AC$3/H604 + $AC$6/A604 * Performance!$E$12 + Performance!$E$23/Constraints!$AC$6 * Constraints!A604</f>
        <v>1.205663013689664</v>
      </c>
      <c r="L604">
        <f xml:space="preserve"> $AC$3/I604 + $AC$6/A604 * Performance!$E$12 + Performance!$E$23/Constraints!$AC$6 * Constraints!A604</f>
        <v>1.1939391241818171</v>
      </c>
      <c r="M604">
        <f>SIN($AC$9 * PI()/180) + 1/Performance!$AE$5</f>
        <v>0.24073077270730886</v>
      </c>
      <c r="N604">
        <f>SIN($AC$9 * PI()/180) + 1/Performance!$AE$8</f>
        <v>0.22738716112204788</v>
      </c>
      <c r="O604" s="60">
        <f>$AC$16 * (Performance!$E$12/Constraints!A604 + Performance!$E$23 * (Constraints!$AC$13/Constraints!$AC$17)^2 * Constraints!A604)</f>
        <v>2.1774204268478045E-4</v>
      </c>
      <c r="P604" t="e">
        <f t="shared" si="39"/>
        <v>#VALUE!</v>
      </c>
      <c r="Q604">
        <f t="shared" si="40"/>
        <v>120.16281321811947</v>
      </c>
      <c r="R604">
        <f t="shared" si="41"/>
        <v>132.96824280206332</v>
      </c>
      <c r="S604" t="e">
        <f xml:space="preserve"> 1.667/G604 + P604/A604 * Performance!$E$12 + Performance!$E$23 / Constraints!P604 * Constraints!A604</f>
        <v>#VALUE!</v>
      </c>
      <c r="T604">
        <f xml:space="preserve"> 1.667/H604 + Q604/A604 * Performance!$E$12 + Performance!$E$23 / Constraints!Q604 * Constraints!A604</f>
        <v>0.18383711652731138</v>
      </c>
      <c r="U604">
        <f xml:space="preserve"> 1.667/I604 + R604/A604 * Performance!$E$12 + Performance!$E$23 / Constraints!R604 * Constraints!A604</f>
        <v>0.1722197049089001</v>
      </c>
    </row>
    <row r="605" spans="1:21" x14ac:dyDescent="0.3">
      <c r="A605" s="51">
        <v>301.5</v>
      </c>
      <c r="B605" s="50">
        <f>$V$4*Performance!$E$12*(1/A605)+Performance!$E$23*(1/Constraints!$V$4)*Constraints!A605</f>
        <v>0.10613776549898198</v>
      </c>
      <c r="C605" s="50">
        <f>$V$5*Performance!$E$12*(1/A605)+Performance!$E$23*(1/Constraints!$V$5)*Constraints!A605</f>
        <v>0.15469715252789873</v>
      </c>
      <c r="D605" s="52">
        <f t="shared" si="38"/>
        <v>0.41276328450821487</v>
      </c>
      <c r="E605" s="52">
        <f>$V$4*Performance!$E$12*(1/A605)+Performance!$E$23*(1/Constraints!$V$9)*Constraints!A605</f>
        <v>0.10477614320798891</v>
      </c>
      <c r="F605" s="52">
        <f xml:space="preserve"> 1.21 / (9.81 * Constraints!$N$7 * Performance!$E$15 * Constraints!$N$5 ) * Constraints!A605 + 0.605 /Performance!$E$15 * (Performance!$E$16  - Constraints!$N$6 * Performance!$E$14) + Constraints!$N$6</f>
        <v>0.41259591622635128</v>
      </c>
      <c r="G605" s="54" t="s">
        <v>198</v>
      </c>
      <c r="H605" s="55">
        <f>SQRT(2/$V$3 * A605 * SQRT(Performance!$E$23 / (3 * Performance!$E$12)))</f>
        <v>21.410358652967076</v>
      </c>
      <c r="I605" s="55">
        <f>SQRT(2/$V$3 * A605 * (SQRT(Performance!$E$23)/(SQRT(3*Performance!$E$12 + 4* Performance!$E$23 * Performance!$E$11^2) - SQRT(Performance!$E$23)*Performance!$E$11)))</f>
        <v>22.52230645288282</v>
      </c>
      <c r="J605" t="e">
        <f xml:space="preserve"> $AC$3/G605 + $AC$6/A605 * Performance!$E$12 + Performance!$E$23/Constraints!$AC$6 * Constraints!A605</f>
        <v>#VALUE!</v>
      </c>
      <c r="K605">
        <f xml:space="preserve"> $AC$3/H605 + $AC$6/A605 * Performance!$E$12 + Performance!$E$23/Constraints!$AC$6 * Constraints!A605</f>
        <v>1.2070704687594276</v>
      </c>
      <c r="L605">
        <f xml:space="preserve"> $AC$3/I605 + $AC$6/A605 * Performance!$E$12 + Performance!$E$23/Constraints!$AC$6 * Constraints!A605</f>
        <v>1.1953563045867324</v>
      </c>
      <c r="M605">
        <f>SIN($AC$9 * PI()/180) + 1/Performance!$AE$5</f>
        <v>0.24073077270730886</v>
      </c>
      <c r="N605">
        <f>SIN($AC$9 * PI()/180) + 1/Performance!$AE$8</f>
        <v>0.22738716112204788</v>
      </c>
      <c r="O605" s="60">
        <f>$AC$16 * (Performance!$E$12/Constraints!A605 + Performance!$E$23 * (Constraints!$AC$13/Constraints!$AC$17)^2 * Constraints!A605)</f>
        <v>2.178327406995E-4</v>
      </c>
      <c r="P605" t="e">
        <f t="shared" si="39"/>
        <v>#VALUE!</v>
      </c>
      <c r="Q605">
        <f t="shared" si="40"/>
        <v>120.36241922014291</v>
      </c>
      <c r="R605">
        <f t="shared" si="41"/>
        <v>133.18912028180097</v>
      </c>
      <c r="S605" t="e">
        <f xml:space="preserve"> 1.667/G605 + P605/A605 * Performance!$E$12 + Performance!$E$23 / Constraints!P605 * Constraints!A605</f>
        <v>#VALUE!</v>
      </c>
      <c r="T605">
        <f xml:space="preserve"> 1.667/H605 + Q605/A605 * Performance!$E$12 + Performance!$E$23 / Constraints!Q605 * Constraints!A605</f>
        <v>0.18377247599444338</v>
      </c>
      <c r="U605">
        <f xml:space="preserve"> 1.667/I605 + R605/A605 * Performance!$E$12 + Performance!$E$23 / Constraints!R605 * Constraints!A605</f>
        <v>0.17215825574093332</v>
      </c>
    </row>
    <row r="606" spans="1:21" x14ac:dyDescent="0.3">
      <c r="A606" s="51">
        <v>302</v>
      </c>
      <c r="B606" s="50">
        <f>$V$4*Performance!$E$12*(1/A606)+Performance!$E$23*(1/Constraints!$V$4)*Constraints!A606</f>
        <v>0.10600162190754785</v>
      </c>
      <c r="C606" s="50">
        <f>$V$5*Performance!$E$12*(1/A606)+Performance!$E$23*(1/Constraints!$V$5)*Constraints!A606</f>
        <v>0.1544663861102652</v>
      </c>
      <c r="D606" s="52">
        <f t="shared" si="38"/>
        <v>0.41303557022050053</v>
      </c>
      <c r="E606" s="52">
        <f>$V$4*Performance!$E$12*(1/A606)+Performance!$E$23*(1/Constraints!$V$9)*Constraints!A606</f>
        <v>0.10463774153647021</v>
      </c>
      <c r="F606" s="52">
        <f xml:space="preserve"> 1.21 / (9.81 * Constraints!$N$7 * Performance!$E$15 * Constraints!$N$5 ) * Constraints!A606 + 0.605 /Performance!$E$15 * (Performance!$E$16  - Constraints!$N$6 * Performance!$E$14) + Constraints!$N$6</f>
        <v>0.4128679243792972</v>
      </c>
      <c r="G606" s="54" t="s">
        <v>198</v>
      </c>
      <c r="H606" s="55">
        <f>SQRT(2/$V$3 * A606 * SQRT(Performance!$E$23 / (3 * Performance!$E$12)))</f>
        <v>21.428104498245634</v>
      </c>
      <c r="I606" s="55">
        <f>SQRT(2/$V$3 * A606 * (SQRT(Performance!$E$23)/(SQRT(3*Performance!$E$12 + 4* Performance!$E$23 * Performance!$E$11^2) - SQRT(Performance!$E$23)*Performance!$E$11)))</f>
        <v>22.540973929318284</v>
      </c>
      <c r="J606" t="e">
        <f xml:space="preserve"> $AC$3/G606 + $AC$6/A606 * Performance!$E$12 + Performance!$E$23/Constraints!$AC$6 * Constraints!A606</f>
        <v>#VALUE!</v>
      </c>
      <c r="K606">
        <f xml:space="preserve"> $AC$3/H606 + $AC$6/A606 * Performance!$E$12 + Performance!$E$23/Constraints!$AC$6 * Constraints!A606</f>
        <v>1.2084784196213483</v>
      </c>
      <c r="L606">
        <f xml:space="preserve"> $AC$3/I606 + $AC$6/A606 * Performance!$E$12 + Performance!$E$23/Constraints!$AC$6 * Constraints!A606</f>
        <v>1.1967739566214748</v>
      </c>
      <c r="M606">
        <f>SIN($AC$9 * PI()/180) + 1/Performance!$AE$5</f>
        <v>0.24073077270730886</v>
      </c>
      <c r="N606">
        <f>SIN($AC$9 * PI()/180) + 1/Performance!$AE$8</f>
        <v>0.22738716112204788</v>
      </c>
      <c r="O606" s="60">
        <f>$AC$16 * (Performance!$E$12/Constraints!A606 + Performance!$E$23 * (Constraints!$AC$13/Constraints!$AC$17)^2 * Constraints!A606)</f>
        <v>2.1792388701692572E-4</v>
      </c>
      <c r="P606" t="e">
        <f t="shared" si="39"/>
        <v>#VALUE!</v>
      </c>
      <c r="Q606">
        <f t="shared" si="40"/>
        <v>120.5620252221664</v>
      </c>
      <c r="R606">
        <f t="shared" si="41"/>
        <v>133.40999776153865</v>
      </c>
      <c r="S606" t="e">
        <f xml:space="preserve"> 1.667/G606 + P606/A606 * Performance!$E$12 + Performance!$E$23 / Constraints!P606 * Constraints!A606</f>
        <v>#VALUE!</v>
      </c>
      <c r="T606">
        <f xml:space="preserve"> 1.667/H606 + Q606/A606 * Performance!$E$12 + Performance!$E$23 / Constraints!Q606 * Constraints!A606</f>
        <v>0.1837079960592185</v>
      </c>
      <c r="U606">
        <f xml:space="preserve"> 1.667/I606 + R606/A606 * Performance!$E$12 + Performance!$E$23 / Constraints!R606 * Constraints!A606</f>
        <v>0.1720969592417505</v>
      </c>
    </row>
    <row r="607" spans="1:21" x14ac:dyDescent="0.3">
      <c r="A607" s="51">
        <v>302.5</v>
      </c>
      <c r="B607" s="50">
        <f>$V$4*Performance!$E$12*(1/A607)+Performance!$E$23*(1/Constraints!$V$4)*Constraints!A607</f>
        <v>0.10586599385522408</v>
      </c>
      <c r="C607" s="50">
        <f>$V$5*Performance!$E$12*(1/A607)+Performance!$E$23*(1/Constraints!$V$5)*Constraints!A607</f>
        <v>0.15423642450013164</v>
      </c>
      <c r="D607" s="52">
        <f t="shared" si="38"/>
        <v>0.41330785593278607</v>
      </c>
      <c r="E607" s="52">
        <f>$V$4*Performance!$E$12*(1/A607)+Performance!$E$23*(1/Constraints!$V$9)*Constraints!A607</f>
        <v>0.10449985540406188</v>
      </c>
      <c r="F607" s="52">
        <f xml:space="preserve"> 1.21 / (9.81 * Constraints!$N$7 * Performance!$E$15 * Constraints!$N$5 ) * Constraints!A607 + 0.605 /Performance!$E$15 * (Performance!$E$16  - Constraints!$N$6 * Performance!$E$14) + Constraints!$N$6</f>
        <v>0.41313993253224301</v>
      </c>
      <c r="G607" s="54" t="s">
        <v>198</v>
      </c>
      <c r="H607" s="55">
        <f>SQRT(2/$V$3 * A607 * SQRT(Performance!$E$23 / (3 * Performance!$E$12)))</f>
        <v>21.445835659325269</v>
      </c>
      <c r="I607" s="55">
        <f>SQRT(2/$V$3 * A607 * (SQRT(Performance!$E$23)/(SQRT(3*Performance!$E$12 + 4* Performance!$E$23 * Performance!$E$11^2) - SQRT(Performance!$E$23)*Performance!$E$11)))</f>
        <v>22.55962595893039</v>
      </c>
      <c r="J607" t="e">
        <f xml:space="preserve"> $AC$3/G607 + $AC$6/A607 * Performance!$E$12 + Performance!$E$23/Constraints!$AC$6 * Constraints!A607</f>
        <v>#VALUE!</v>
      </c>
      <c r="K607">
        <f xml:space="preserve"> $AC$3/H607 + $AC$6/A607 * Performance!$E$12 + Performance!$E$23/Constraints!$AC$6 * Constraints!A607</f>
        <v>1.2098868642205818</v>
      </c>
      <c r="L607">
        <f xml:space="preserve"> $AC$3/I607 + $AC$6/A607 * Performance!$E$12 + Performance!$E$23/Constraints!$AC$6 * Constraints!A607</f>
        <v>1.1981920783310851</v>
      </c>
      <c r="M607">
        <f>SIN($AC$9 * PI()/180) + 1/Performance!$AE$5</f>
        <v>0.24073077270730886</v>
      </c>
      <c r="N607">
        <f>SIN($AC$9 * PI()/180) + 1/Performance!$AE$8</f>
        <v>0.22738716112204788</v>
      </c>
      <c r="O607" s="60">
        <f>$AC$16 * (Performance!$E$12/Constraints!A607 + Performance!$E$23 * (Constraints!$AC$13/Constraints!$AC$17)^2 * Constraints!A607)</f>
        <v>2.1801547941406908E-4</v>
      </c>
      <c r="P607" t="e">
        <f t="shared" si="39"/>
        <v>#VALUE!</v>
      </c>
      <c r="Q607">
        <f t="shared" si="40"/>
        <v>120.76163122418984</v>
      </c>
      <c r="R607">
        <f t="shared" si="41"/>
        <v>133.63087524127624</v>
      </c>
      <c r="S607" t="e">
        <f xml:space="preserve"> 1.667/G607 + P607/A607 * Performance!$E$12 + Performance!$E$23 / Constraints!P607 * Constraints!A607</f>
        <v>#VALUE!</v>
      </c>
      <c r="T607">
        <f xml:space="preserve"> 1.667/H607 + Q607/A607 * Performance!$E$12 + Performance!$E$23 / Constraints!Q607 * Constraints!A607</f>
        <v>0.18364367605773557</v>
      </c>
      <c r="U607">
        <f xml:space="preserve"> 1.667/I607 + R607/A607 * Performance!$E$12 + Performance!$E$23 / Constraints!R607 * Constraints!A607</f>
        <v>0.17203581478022789</v>
      </c>
    </row>
    <row r="608" spans="1:21" x14ac:dyDescent="0.3">
      <c r="A608" s="51">
        <v>303</v>
      </c>
      <c r="B608" s="50">
        <f>$V$4*Performance!$E$12*(1/A608)+Performance!$E$23*(1/Constraints!$V$4)*Constraints!A608</f>
        <v>0.1057308787898369</v>
      </c>
      <c r="C608" s="50">
        <f>$V$5*Performance!$E$12*(1/A608)+Performance!$E$23*(1/Constraints!$V$5)*Constraints!A608</f>
        <v>0.15400726371330251</v>
      </c>
      <c r="D608" s="52">
        <f t="shared" si="38"/>
        <v>0.41358014164507173</v>
      </c>
      <c r="E608" s="52">
        <f>$V$4*Performance!$E$12*(1/A608)+Performance!$E$23*(1/Constraints!$V$9)*Constraints!A608</f>
        <v>0.10436248225859014</v>
      </c>
      <c r="F608" s="52">
        <f xml:space="preserve"> 1.21 / (9.81 * Constraints!$N$7 * Performance!$E$15 * Constraints!$N$5 ) * Constraints!A608 + 0.605 /Performance!$E$15 * (Performance!$E$16  - Constraints!$N$6 * Performance!$E$14) + Constraints!$N$6</f>
        <v>0.41341194068518888</v>
      </c>
      <c r="G608" s="54" t="s">
        <v>198</v>
      </c>
      <c r="H608" s="55">
        <f>SQRT(2/$V$3 * A608 * SQRT(Performance!$E$23 / (3 * Performance!$E$12)))</f>
        <v>21.463552172598082</v>
      </c>
      <c r="I608" s="55">
        <f>SQRT(2/$V$3 * A608 * (SQRT(Performance!$E$23)/(SQRT(3*Performance!$E$12 + 4* Performance!$E$23 * Performance!$E$11^2) - SQRT(Performance!$E$23)*Performance!$E$11)))</f>
        <v>22.578262580001262</v>
      </c>
      <c r="J608" t="e">
        <f xml:space="preserve"> $AC$3/G608 + $AC$6/A608 * Performance!$E$12 + Performance!$E$23/Constraints!$AC$6 * Constraints!A608</f>
        <v>#VALUE!</v>
      </c>
      <c r="K608">
        <f xml:space="preserve"> $AC$3/H608 + $AC$6/A608 * Performance!$E$12 + Performance!$E$23/Constraints!$AC$6 * Constraints!A608</f>
        <v>1.2112958005141823</v>
      </c>
      <c r="L608">
        <f xml:space="preserve"> $AC$3/I608 + $AC$6/A608 * Performance!$E$12 + Performance!$E$23/Constraints!$AC$6 * Constraints!A608</f>
        <v>1.1996106677719267</v>
      </c>
      <c r="M608">
        <f>SIN($AC$9 * PI()/180) + 1/Performance!$AE$5</f>
        <v>0.24073077270730886</v>
      </c>
      <c r="N608">
        <f>SIN($AC$9 * PI()/180) + 1/Performance!$AE$8</f>
        <v>0.22738716112204788</v>
      </c>
      <c r="O608" s="60">
        <f>$AC$16 * (Performance!$E$12/Constraints!A608 + Performance!$E$23 * (Constraints!$AC$13/Constraints!$AC$17)^2 * Constraints!A608)</f>
        <v>2.1810751568261457E-4</v>
      </c>
      <c r="P608" t="e">
        <f t="shared" si="39"/>
        <v>#VALUE!</v>
      </c>
      <c r="Q608">
        <f t="shared" si="40"/>
        <v>120.9612372262133</v>
      </c>
      <c r="R608">
        <f t="shared" si="41"/>
        <v>133.8517527210139</v>
      </c>
      <c r="S608" t="e">
        <f xml:space="preserve"> 1.667/G608 + P608/A608 * Performance!$E$12 + Performance!$E$23 / Constraints!P608 * Constraints!A608</f>
        <v>#VALUE!</v>
      </c>
      <c r="T608">
        <f xml:space="preserve"> 1.667/H608 + Q608/A608 * Performance!$E$12 + Performance!$E$23 / Constraints!Q608 * Constraints!A608</f>
        <v>0.1835795153299293</v>
      </c>
      <c r="U608">
        <f xml:space="preserve"> 1.667/I608 + R608/A608 * Performance!$E$12 + Performance!$E$23 / Constraints!R608 * Constraints!A608</f>
        <v>0.17197482172888826</v>
      </c>
    </row>
    <row r="609" spans="1:21" x14ac:dyDescent="0.3">
      <c r="A609" s="51">
        <v>303.5</v>
      </c>
      <c r="B609" s="50">
        <f>$V$4*Performance!$E$12*(1/A609)+Performance!$E$23*(1/Constraints!$V$4)*Constraints!A609</f>
        <v>0.10559627417603075</v>
      </c>
      <c r="C609" s="50">
        <f>$V$5*Performance!$E$12*(1/A609)+Performance!$E$23*(1/Constraints!$V$5)*Constraints!A609</f>
        <v>0.15377889979183718</v>
      </c>
      <c r="D609" s="52">
        <f t="shared" si="38"/>
        <v>0.41385242735735728</v>
      </c>
      <c r="E609" s="52">
        <f>$V$4*Performance!$E$12*(1/A609)+Performance!$E$23*(1/Constraints!$V$9)*Constraints!A609</f>
        <v>0.10422561956469942</v>
      </c>
      <c r="F609" s="52">
        <f xml:space="preserve"> 1.21 / (9.81 * Constraints!$N$7 * Performance!$E$15 * Constraints!$N$5 ) * Constraints!A609 + 0.605 /Performance!$E$15 * (Performance!$E$16  - Constraints!$N$6 * Performance!$E$14) + Constraints!$N$6</f>
        <v>0.41368394883813475</v>
      </c>
      <c r="G609" s="54" t="s">
        <v>198</v>
      </c>
      <c r="H609" s="55">
        <f>SQRT(2/$V$3 * A609 * SQRT(Performance!$E$23 / (3 * Performance!$E$12)))</f>
        <v>21.481254074306101</v>
      </c>
      <c r="I609" s="55">
        <f>SQRT(2/$V$3 * A609 * (SQRT(Performance!$E$23)/(SQRT(3*Performance!$E$12 + 4* Performance!$E$23 * Performance!$E$11^2) - SQRT(Performance!$E$23)*Performance!$E$11)))</f>
        <v>22.596883830655162</v>
      </c>
      <c r="J609" t="e">
        <f xml:space="preserve"> $AC$3/G609 + $AC$6/A609 * Performance!$E$12 + Performance!$E$23/Constraints!$AC$6 * Constraints!A609</f>
        <v>#VALUE!</v>
      </c>
      <c r="K609">
        <f xml:space="preserve"> $AC$3/H609 + $AC$6/A609 * Performance!$E$12 + Performance!$E$23/Constraints!$AC$6 * Constraints!A609</f>
        <v>1.212705226471015</v>
      </c>
      <c r="L609">
        <f xml:space="preserve"> $AC$3/I609 + $AC$6/A609 * Performance!$E$12 + Performance!$E$23/Constraints!$AC$6 * Constraints!A609</f>
        <v>1.2010297230115996</v>
      </c>
      <c r="M609">
        <f>SIN($AC$9 * PI()/180) + 1/Performance!$AE$5</f>
        <v>0.24073077270730886</v>
      </c>
      <c r="N609">
        <f>SIN($AC$9 * PI()/180) + 1/Performance!$AE$8</f>
        <v>0.22738716112204788</v>
      </c>
      <c r="O609" s="60">
        <f>$AC$16 * (Performance!$E$12/Constraints!A609 + Performance!$E$23 * (Constraints!$AC$13/Constraints!$AC$17)^2 * Constraints!A609)</f>
        <v>2.1819999362879914E-4</v>
      </c>
      <c r="P609" t="e">
        <f t="shared" si="39"/>
        <v>#VALUE!</v>
      </c>
      <c r="Q609">
        <f t="shared" si="40"/>
        <v>121.16084322823676</v>
      </c>
      <c r="R609">
        <f t="shared" si="41"/>
        <v>134.07263020075155</v>
      </c>
      <c r="S609" t="e">
        <f xml:space="preserve"> 1.667/G609 + P609/A609 * Performance!$E$12 + Performance!$E$23 / Constraints!P609 * Constraints!A609</f>
        <v>#VALUE!</v>
      </c>
      <c r="T609">
        <f xml:space="preserve"> 1.667/H609 + Q609/A609 * Performance!$E$12 + Performance!$E$23 / Constraints!Q609 * Constraints!A609</f>
        <v>0.18351551321954201</v>
      </c>
      <c r="U609">
        <f xml:space="preserve"> 1.667/I609 + R609/A609 * Performance!$E$12 + Performance!$E$23 / Constraints!R609 * Constraints!A609</f>
        <v>0.17191397946387399</v>
      </c>
    </row>
    <row r="610" spans="1:21" x14ac:dyDescent="0.3">
      <c r="A610" s="51">
        <v>304</v>
      </c>
      <c r="B610" s="50">
        <f>$V$4*Performance!$E$12*(1/A610)+Performance!$E$23*(1/Constraints!$V$4)*Constraints!A610</f>
        <v>0.10546217749513004</v>
      </c>
      <c r="C610" s="50">
        <f>$V$5*Performance!$E$12*(1/A610)+Performance!$E$23*(1/Constraints!$V$5)*Constraints!A610</f>
        <v>0.15355132880383424</v>
      </c>
      <c r="D610" s="52">
        <f t="shared" si="38"/>
        <v>0.41412471306964288</v>
      </c>
      <c r="E610" s="52">
        <f>$V$4*Performance!$E$12*(1/A610)+Performance!$E$23*(1/Constraints!$V$9)*Constraints!A610</f>
        <v>0.10408926480371415</v>
      </c>
      <c r="F610" s="52">
        <f xml:space="preserve"> 1.21 / (9.81 * Constraints!$N$7 * Performance!$E$15 * Constraints!$N$5 ) * Constraints!A610 + 0.605 /Performance!$E$15 * (Performance!$E$16  - Constraints!$N$6 * Performance!$E$14) + Constraints!$N$6</f>
        <v>0.41395595699108056</v>
      </c>
      <c r="G610" s="54" t="s">
        <v>198</v>
      </c>
      <c r="H610" s="55">
        <f>SQRT(2/$V$3 * A610 * SQRT(Performance!$E$23 / (3 * Performance!$E$12)))</f>
        <v>21.49894140054214</v>
      </c>
      <c r="I610" s="55">
        <f>SQRT(2/$V$3 * A610 * (SQRT(Performance!$E$23)/(SQRT(3*Performance!$E$12 + 4* Performance!$E$23 * Performance!$E$11^2) - SQRT(Performance!$E$23)*Performance!$E$11)))</f>
        <v>22.615489748859389</v>
      </c>
      <c r="J610" t="e">
        <f xml:space="preserve"> $AC$3/G610 + $AC$6/A610 * Performance!$E$12 + Performance!$E$23/Constraints!$AC$6 * Constraints!A610</f>
        <v>#VALUE!</v>
      </c>
      <c r="K610">
        <f xml:space="preserve"> $AC$3/H610 + $AC$6/A610 * Performance!$E$12 + Performance!$E$23/Constraints!$AC$6 * Constraints!A610</f>
        <v>1.2141151400716674</v>
      </c>
      <c r="L610">
        <f xml:space="preserve"> $AC$3/I610 + $AC$6/A610 * Performance!$E$12 + Performance!$E$23/Constraints!$AC$6 * Constraints!A610</f>
        <v>1.2024492421288593</v>
      </c>
      <c r="M610">
        <f>SIN($AC$9 * PI()/180) + 1/Performance!$AE$5</f>
        <v>0.24073077270730886</v>
      </c>
      <c r="N610">
        <f>SIN($AC$9 * PI()/180) + 1/Performance!$AE$8</f>
        <v>0.22738716112204788</v>
      </c>
      <c r="O610" s="60">
        <f>$AC$16 * (Performance!$E$12/Constraints!A610 + Performance!$E$23 * (Constraints!$AC$13/Constraints!$AC$17)^2 * Constraints!A610)</f>
        <v>2.1829291107329231E-4</v>
      </c>
      <c r="P610" t="e">
        <f t="shared" si="39"/>
        <v>#VALUE!</v>
      </c>
      <c r="Q610">
        <f t="shared" si="40"/>
        <v>121.36044923026019</v>
      </c>
      <c r="R610">
        <f t="shared" si="41"/>
        <v>134.29350768048917</v>
      </c>
      <c r="S610" t="e">
        <f xml:space="preserve"> 1.667/G610 + P610/A610 * Performance!$E$12 + Performance!$E$23 / Constraints!P610 * Constraints!A610</f>
        <v>#VALUE!</v>
      </c>
      <c r="T610">
        <f xml:space="preserve"> 1.667/H610 + Q610/A610 * Performance!$E$12 + Performance!$E$23 / Constraints!Q610 * Constraints!A610</f>
        <v>0.18345166907409544</v>
      </c>
      <c r="U610">
        <f xml:space="preserve"> 1.667/I610 + R610/A610 * Performance!$E$12 + Performance!$E$23 / Constraints!R610 * Constraints!A610</f>
        <v>0.17185328736492034</v>
      </c>
    </row>
    <row r="611" spans="1:21" x14ac:dyDescent="0.3">
      <c r="A611" s="51">
        <v>304.5</v>
      </c>
      <c r="B611" s="50">
        <f>$V$4*Performance!$E$12*(1/A611)+Performance!$E$23*(1/Constraints!$V$4)*Constraints!A611</f>
        <v>0.10532858624500228</v>
      </c>
      <c r="C611" s="50">
        <f>$V$5*Performance!$E$12*(1/A611)+Performance!$E$23*(1/Constraints!$V$5)*Constraints!A611</f>
        <v>0.15332454684321753</v>
      </c>
      <c r="D611" s="52">
        <f t="shared" si="38"/>
        <v>0.41439699878192848</v>
      </c>
      <c r="E611" s="52">
        <f>$V$4*Performance!$E$12*(1/A611)+Performance!$E$23*(1/Constraints!$V$9)*Constraints!A611</f>
        <v>0.10395341547350181</v>
      </c>
      <c r="F611" s="52">
        <f xml:space="preserve"> 1.21 / (9.81 * Constraints!$N$7 * Performance!$E$15 * Constraints!$N$5 ) * Constraints!A611 + 0.605 /Performance!$E$15 * (Performance!$E$16  - Constraints!$N$6 * Performance!$E$14) + Constraints!$N$6</f>
        <v>0.41422796514402643</v>
      </c>
      <c r="G611" s="54" t="s">
        <v>198</v>
      </c>
      <c r="H611" s="55">
        <f>SQRT(2/$V$3 * A611 * SQRT(Performance!$E$23 / (3 * Performance!$E$12)))</f>
        <v>21.516614187250685</v>
      </c>
      <c r="I611" s="55">
        <f>SQRT(2/$V$3 * A611 * (SQRT(Performance!$E$23)/(SQRT(3*Performance!$E$12 + 4* Performance!$E$23 * Performance!$E$11^2) - SQRT(Performance!$E$23)*Performance!$E$11)))</f>
        <v>22.634080372425199</v>
      </c>
      <c r="J611" t="e">
        <f xml:space="preserve"> $AC$3/G611 + $AC$6/A611 * Performance!$E$12 + Performance!$E$23/Constraints!$AC$6 * Constraints!A611</f>
        <v>#VALUE!</v>
      </c>
      <c r="K611">
        <f xml:space="preserve"> $AC$3/H611 + $AC$6/A611 * Performance!$E$12 + Performance!$E$23/Constraints!$AC$6 * Constraints!A611</f>
        <v>1.2155255393083635</v>
      </c>
      <c r="L611">
        <f xml:space="preserve"> $AC$3/I611 + $AC$6/A611 * Performance!$E$12 + Performance!$E$23/Constraints!$AC$6 * Constraints!A611</f>
        <v>1.2038692232135315</v>
      </c>
      <c r="M611">
        <f>SIN($AC$9 * PI()/180) + 1/Performance!$AE$5</f>
        <v>0.24073077270730886</v>
      </c>
      <c r="N611">
        <f>SIN($AC$9 * PI()/180) + 1/Performance!$AE$8</f>
        <v>0.22738716112204788</v>
      </c>
      <c r="O611" s="60">
        <f>$AC$16 * (Performance!$E$12/Constraints!A611 + Performance!$E$23 * (Constraints!$AC$13/Constraints!$AC$17)^2 * Constraints!A611)</f>
        <v>2.183862658510778E-4</v>
      </c>
      <c r="P611" t="e">
        <f t="shared" si="39"/>
        <v>#VALUE!</v>
      </c>
      <c r="Q611">
        <f t="shared" si="40"/>
        <v>121.56005523228366</v>
      </c>
      <c r="R611">
        <f t="shared" si="41"/>
        <v>134.51438516022688</v>
      </c>
      <c r="S611" t="e">
        <f xml:space="preserve"> 1.667/G611 + P611/A611 * Performance!$E$12 + Performance!$E$23 / Constraints!P611 * Constraints!A611</f>
        <v>#VALUE!</v>
      </c>
      <c r="T611">
        <f xml:space="preserve"> 1.667/H611 + Q611/A611 * Performance!$E$12 + Performance!$E$23 / Constraints!Q611 * Constraints!A611</f>
        <v>0.18338798224486255</v>
      </c>
      <c r="U611">
        <f xml:space="preserve"> 1.667/I611 + R611/A611 * Performance!$E$12 + Performance!$E$23 / Constraints!R611 * Constraints!A611</f>
        <v>0.17179274481532847</v>
      </c>
    </row>
    <row r="612" spans="1:21" x14ac:dyDescent="0.3">
      <c r="A612" s="51">
        <v>305</v>
      </c>
      <c r="B612" s="50">
        <f>$V$4*Performance!$E$12*(1/A612)+Performance!$E$23*(1/Constraints!$V$4)*Constraints!A612</f>
        <v>0.10519549793992233</v>
      </c>
      <c r="C612" s="50">
        <f>$V$5*Performance!$E$12*(1/A612)+Performance!$E$23*(1/Constraints!$V$5)*Constraints!A612</f>
        <v>0.15309855002952449</v>
      </c>
      <c r="D612" s="52">
        <f t="shared" si="38"/>
        <v>0.41466928449421409</v>
      </c>
      <c r="E612" s="52">
        <f>$V$4*Performance!$E$12*(1/A612)+Performance!$E$23*(1/Constraints!$V$9)*Constraints!A612</f>
        <v>0.10381806908833731</v>
      </c>
      <c r="F612" s="52">
        <f xml:space="preserve"> 1.21 / (9.81 * Constraints!$N$7 * Performance!$E$15 * Constraints!$N$5 ) * Constraints!A612 + 0.605 /Performance!$E$15 * (Performance!$E$16  - Constraints!$N$6 * Performance!$E$14) + Constraints!$N$6</f>
        <v>0.4144999732969723</v>
      </c>
      <c r="G612" s="54" t="s">
        <v>198</v>
      </c>
      <c r="H612" s="55">
        <f>SQRT(2/$V$3 * A612 * SQRT(Performance!$E$23 / (3 * Performance!$E$12)))</f>
        <v>21.534272470228707</v>
      </c>
      <c r="I612" s="55">
        <f>SQRT(2/$V$3 * A612 * (SQRT(Performance!$E$23)/(SQRT(3*Performance!$E$12 + 4* Performance!$E$23 * Performance!$E$11^2) - SQRT(Performance!$E$23)*Performance!$E$11)))</f>
        <v>22.652655739008683</v>
      </c>
      <c r="J612" t="e">
        <f xml:space="preserve"> $AC$3/G612 + $AC$6/A612 * Performance!$E$12 + Performance!$E$23/Constraints!$AC$6 * Constraints!A612</f>
        <v>#VALUE!</v>
      </c>
      <c r="K612">
        <f xml:space="preserve"> $AC$3/H612 + $AC$6/A612 * Performance!$E$12 + Performance!$E$23/Constraints!$AC$6 * Constraints!A612</f>
        <v>1.2169364221848769</v>
      </c>
      <c r="L612">
        <f xml:space="preserve"> $AC$3/I612 + $AC$6/A612 * Performance!$E$12 + Performance!$E$23/Constraints!$AC$6 * Constraints!A612</f>
        <v>1.2052896643664328</v>
      </c>
      <c r="M612">
        <f>SIN($AC$9 * PI()/180) + 1/Performance!$AE$5</f>
        <v>0.24073077270730886</v>
      </c>
      <c r="N612">
        <f>SIN($AC$9 * PI()/180) + 1/Performance!$AE$8</f>
        <v>0.22738716112204788</v>
      </c>
      <c r="O612" s="60">
        <f>$AC$16 * (Performance!$E$12/Constraints!A612 + Performance!$E$23 * (Constraints!$AC$13/Constraints!$AC$17)^2 * Constraints!A612)</f>
        <v>2.1848005581133611E-4</v>
      </c>
      <c r="P612" t="e">
        <f t="shared" si="39"/>
        <v>#VALUE!</v>
      </c>
      <c r="Q612">
        <f t="shared" si="40"/>
        <v>121.7596612343071</v>
      </c>
      <c r="R612">
        <f t="shared" si="41"/>
        <v>134.7352626399645</v>
      </c>
      <c r="S612" t="e">
        <f xml:space="preserve"> 1.667/G612 + P612/A612 * Performance!$E$12 + Performance!$E$23 / Constraints!P612 * Constraints!A612</f>
        <v>#VALUE!</v>
      </c>
      <c r="T612">
        <f xml:space="preserve"> 1.667/H612 + Q612/A612 * Performance!$E$12 + Performance!$E$23 / Constraints!Q612 * Constraints!A612</f>
        <v>0.18332445208684028</v>
      </c>
      <c r="U612">
        <f xml:space="preserve"> 1.667/I612 + R612/A612 * Performance!$E$12 + Performance!$E$23 / Constraints!R612 * Constraints!A612</f>
        <v>0.1717323512019398</v>
      </c>
    </row>
    <row r="613" spans="1:21" x14ac:dyDescent="0.3">
      <c r="A613" s="51">
        <v>305.5</v>
      </c>
      <c r="B613" s="50">
        <f>$V$4*Performance!$E$12*(1/A613)+Performance!$E$23*(1/Constraints!$V$4)*Constraints!A613</f>
        <v>0.10506291011043825</v>
      </c>
      <c r="C613" s="50">
        <f>$V$5*Performance!$E$12*(1/A613)+Performance!$E$23*(1/Constraints!$V$5)*Constraints!A613</f>
        <v>0.15287333450769658</v>
      </c>
      <c r="D613" s="52">
        <f t="shared" si="38"/>
        <v>0.41494157020649969</v>
      </c>
      <c r="E613" s="52">
        <f>$V$4*Performance!$E$12*(1/A613)+Performance!$E$23*(1/Constraints!$V$9)*Constraints!A613</f>
        <v>0.10368322317876866</v>
      </c>
      <c r="F613" s="52">
        <f xml:space="preserve"> 1.21 / (9.81 * Constraints!$N$7 * Performance!$E$15 * Constraints!$N$5 ) * Constraints!A613 + 0.605 /Performance!$E$15 * (Performance!$E$16  - Constraints!$N$6 * Performance!$E$14) + Constraints!$N$6</f>
        <v>0.41477198144991811</v>
      </c>
      <c r="G613" s="54" t="s">
        <v>198</v>
      </c>
      <c r="H613" s="55">
        <f>SQRT(2/$V$3 * A613 * SQRT(Performance!$E$23 / (3 * Performance!$E$12)))</f>
        <v>21.551916285126538</v>
      </c>
      <c r="I613" s="55">
        <f>SQRT(2/$V$3 * A613 * (SQRT(Performance!$E$23)/(SQRT(3*Performance!$E$12 + 4* Performance!$E$23 * Performance!$E$11^2) - SQRT(Performance!$E$23)*Performance!$E$11)))</f>
        <v>22.671215886111675</v>
      </c>
      <c r="J613" t="e">
        <f xml:space="preserve"> $AC$3/G613 + $AC$6/A613 * Performance!$E$12 + Performance!$E$23/Constraints!$AC$6 * Constraints!A613</f>
        <v>#VALUE!</v>
      </c>
      <c r="K613">
        <f xml:space="preserve"> $AC$3/H613 + $AC$6/A613 * Performance!$E$12 + Performance!$E$23/Constraints!$AC$6 * Constraints!A613</f>
        <v>1.2183477867164458</v>
      </c>
      <c r="L613">
        <f xml:space="preserve"> $AC$3/I613 + $AC$6/A613 * Performance!$E$12 + Performance!$E$23/Constraints!$AC$6 * Constraints!A613</f>
        <v>1.2067105636992876</v>
      </c>
      <c r="M613">
        <f>SIN($AC$9 * PI()/180) + 1/Performance!$AE$5</f>
        <v>0.24073077270730886</v>
      </c>
      <c r="N613">
        <f>SIN($AC$9 * PI()/180) + 1/Performance!$AE$8</f>
        <v>0.22738716112204788</v>
      </c>
      <c r="O613" s="60">
        <f>$AC$16 * (Performance!$E$12/Constraints!A613 + Performance!$E$23 * (Constraints!$AC$13/Constraints!$AC$17)^2 * Constraints!A613)</f>
        <v>2.1857427881732844E-4</v>
      </c>
      <c r="P613" t="e">
        <f t="shared" si="39"/>
        <v>#VALUE!</v>
      </c>
      <c r="Q613">
        <f t="shared" si="40"/>
        <v>121.95926723633055</v>
      </c>
      <c r="R613">
        <f t="shared" si="41"/>
        <v>134.95614011970216</v>
      </c>
      <c r="S613" t="e">
        <f xml:space="preserve"> 1.667/G613 + P613/A613 * Performance!$E$12 + Performance!$E$23 / Constraints!P613 * Constraints!A613</f>
        <v>#VALUE!</v>
      </c>
      <c r="T613">
        <f xml:space="preserve"> 1.667/H613 + Q613/A613 * Performance!$E$12 + Performance!$E$23 / Constraints!Q613 * Constraints!A613</f>
        <v>0.18326107795872171</v>
      </c>
      <c r="U613">
        <f xml:space="preserve"> 1.667/I613 + R613/A613 * Performance!$E$12 + Performance!$E$23 / Constraints!R613 * Constraints!A613</f>
        <v>0.17167210591510929</v>
      </c>
    </row>
    <row r="614" spans="1:21" x14ac:dyDescent="0.3">
      <c r="A614" s="51">
        <v>306</v>
      </c>
      <c r="B614" s="50">
        <f>$V$4*Performance!$E$12*(1/A614)+Performance!$E$23*(1/Constraints!$V$4)*Constraints!A614</f>
        <v>0.10493082030323828</v>
      </c>
      <c r="C614" s="50">
        <f>$V$5*Performance!$E$12*(1/A614)+Performance!$E$23*(1/Constraints!$V$5)*Constraints!A614</f>
        <v>0.15264889644787163</v>
      </c>
      <c r="D614" s="52">
        <f t="shared" si="38"/>
        <v>0.41521385591878524</v>
      </c>
      <c r="E614" s="52">
        <f>$V$4*Performance!$E$12*(1/A614)+Performance!$E$23*(1/Constraints!$V$9)*Constraints!A614</f>
        <v>0.10354887529148411</v>
      </c>
      <c r="F614" s="52">
        <f xml:space="preserve"> 1.21 / (9.81 * Constraints!$N$7 * Performance!$E$15 * Constraints!$N$5 ) * Constraints!A614 + 0.605 /Performance!$E$15 * (Performance!$E$16  - Constraints!$N$6 * Performance!$E$14) + Constraints!$N$6</f>
        <v>0.41504398960286404</v>
      </c>
      <c r="G614" s="54" t="s">
        <v>198</v>
      </c>
      <c r="H614" s="55">
        <f>SQRT(2/$V$3 * A614 * SQRT(Performance!$E$23 / (3 * Performance!$E$12)))</f>
        <v>21.5695456674487</v>
      </c>
      <c r="I614" s="55">
        <f>SQRT(2/$V$3 * A614 * (SQRT(Performance!$E$23)/(SQRT(3*Performance!$E$12 + 4* Performance!$E$23 * Performance!$E$11^2) - SQRT(Performance!$E$23)*Performance!$E$11)))</f>
        <v>22.689760851082625</v>
      </c>
      <c r="J614" t="e">
        <f xml:space="preserve"> $AC$3/G614 + $AC$6/A614 * Performance!$E$12 + Performance!$E$23/Constraints!$AC$6 * Constraints!A614</f>
        <v>#VALUE!</v>
      </c>
      <c r="K614">
        <f xml:space="preserve"> $AC$3/H614 + $AC$6/A614 * Performance!$E$12 + Performance!$E$23/Constraints!$AC$6 * Constraints!A614</f>
        <v>1.2197596309296892</v>
      </c>
      <c r="L614">
        <f xml:space="preserve"> $AC$3/I614 + $AC$6/A614 * Performance!$E$12 + Performance!$E$23/Constraints!$AC$6 * Constraints!A614</f>
        <v>1.2081319193346491</v>
      </c>
      <c r="M614">
        <f>SIN($AC$9 * PI()/180) + 1/Performance!$AE$5</f>
        <v>0.24073077270730886</v>
      </c>
      <c r="N614">
        <f>SIN($AC$9 * PI()/180) + 1/Performance!$AE$8</f>
        <v>0.22738716112204788</v>
      </c>
      <c r="O614" s="60">
        <f>$AC$16 * (Performance!$E$12/Constraints!A614 + Performance!$E$23 * (Constraints!$AC$13/Constraints!$AC$17)^2 * Constraints!A614)</f>
        <v>2.1866893274628159E-4</v>
      </c>
      <c r="P614" t="e">
        <f t="shared" si="39"/>
        <v>#VALUE!</v>
      </c>
      <c r="Q614">
        <f t="shared" si="40"/>
        <v>122.158873238354</v>
      </c>
      <c r="R614">
        <f t="shared" si="41"/>
        <v>135.17701759943975</v>
      </c>
      <c r="S614" t="e">
        <f xml:space="preserve"> 1.667/G614 + P614/A614 * Performance!$E$12 + Performance!$E$23 / Constraints!P614 * Constraints!A614</f>
        <v>#VALUE!</v>
      </c>
      <c r="T614">
        <f xml:space="preserve"> 1.667/H614 + Q614/A614 * Performance!$E$12 + Performance!$E$23 / Constraints!Q614 * Constraints!A614</f>
        <v>0.18319785922286902</v>
      </c>
      <c r="U614">
        <f xml:space="preserve"> 1.667/I614 + R614/A614 * Performance!$E$12 + Performance!$E$23 / Constraints!R614 * Constraints!A614</f>
        <v>0.17161200834868004</v>
      </c>
    </row>
    <row r="615" spans="1:21" x14ac:dyDescent="0.3">
      <c r="A615" s="51">
        <v>306.5</v>
      </c>
      <c r="B615" s="50">
        <f>$V$4*Performance!$E$12*(1/A615)+Performance!$E$23*(1/Constraints!$V$4)*Constraints!A615</f>
        <v>0.10479922608101923</v>
      </c>
      <c r="C615" s="50">
        <f>$V$5*Performance!$E$12*(1/A615)+Performance!$E$23*(1/Constraints!$V$5)*Constraints!A615</f>
        <v>0.15242523204517863</v>
      </c>
      <c r="D615" s="52">
        <f t="shared" si="38"/>
        <v>0.41548614163107089</v>
      </c>
      <c r="E615" s="52">
        <f>$V$4*Performance!$E$12*(1/A615)+Performance!$E$23*(1/Constraints!$V$9)*Constraints!A615</f>
        <v>0.10341502298918051</v>
      </c>
      <c r="F615" s="52">
        <f xml:space="preserve"> 1.21 / (9.81 * Constraints!$N$7 * Performance!$E$15 * Constraints!$N$5 ) * Constraints!A615 + 0.605 /Performance!$E$15 * (Performance!$E$16  - Constraints!$N$6 * Performance!$E$14) + Constraints!$N$6</f>
        <v>0.41531599775580985</v>
      </c>
      <c r="G615" s="54" t="s">
        <v>198</v>
      </c>
      <c r="H615" s="55">
        <f>SQRT(2/$V$3 * A615 * SQRT(Performance!$E$23 / (3 * Performance!$E$12)))</f>
        <v>21.587160652554743</v>
      </c>
      <c r="I615" s="55">
        <f>SQRT(2/$V$3 * A615 * (SQRT(Performance!$E$23)/(SQRT(3*Performance!$E$12 + 4* Performance!$E$23 * Performance!$E$11^2) - SQRT(Performance!$E$23)*Performance!$E$11)))</f>
        <v>22.708290671117481</v>
      </c>
      <c r="J615" t="e">
        <f xml:space="preserve"> $AC$3/G615 + $AC$6/A615 * Performance!$E$12 + Performance!$E$23/Constraints!$AC$6 * Constraints!A615</f>
        <v>#VALUE!</v>
      </c>
      <c r="K615">
        <f xml:space="preserve"> $AC$3/H615 + $AC$6/A615 * Performance!$E$12 + Performance!$E$23/Constraints!$AC$6 * Constraints!A615</f>
        <v>1.2211719528625222</v>
      </c>
      <c r="L615">
        <f xml:space="preserve"> $AC$3/I615 + $AC$6/A615 * Performance!$E$12 + Performance!$E$23/Constraints!$AC$6 * Constraints!A615</f>
        <v>1.2095537294058185</v>
      </c>
      <c r="M615">
        <f>SIN($AC$9 * PI()/180) + 1/Performance!$AE$5</f>
        <v>0.24073077270730886</v>
      </c>
      <c r="N615">
        <f>SIN($AC$9 * PI()/180) + 1/Performance!$AE$8</f>
        <v>0.22738716112204788</v>
      </c>
      <c r="O615" s="60">
        <f>$AC$16 * (Performance!$E$12/Constraints!A615 + Performance!$E$23 * (Constraints!$AC$13/Constraints!$AC$17)^2 * Constraints!A615)</f>
        <v>2.1876401548927407E-4</v>
      </c>
      <c r="P615" t="e">
        <f t="shared" si="39"/>
        <v>#VALUE!</v>
      </c>
      <c r="Q615">
        <f t="shared" si="40"/>
        <v>122.35847924037751</v>
      </c>
      <c r="R615">
        <f t="shared" si="41"/>
        <v>135.39789507917743</v>
      </c>
      <c r="S615" t="e">
        <f xml:space="preserve"> 1.667/G615 + P615/A615 * Performance!$E$12 + Performance!$E$23 / Constraints!P615 * Constraints!A615</f>
        <v>#VALUE!</v>
      </c>
      <c r="T615">
        <f xml:space="preserve"> 1.667/H615 + Q615/A615 * Performance!$E$12 + Performance!$E$23 / Constraints!Q615 * Constraints!A615</f>
        <v>0.18313479524528659</v>
      </c>
      <c r="U615">
        <f xml:space="preserve"> 1.667/I615 + R615/A615 * Performance!$E$12 + Performance!$E$23 / Constraints!R615 * Constraints!A615</f>
        <v>0.17155205789995726</v>
      </c>
    </row>
    <row r="616" spans="1:21" x14ac:dyDescent="0.3">
      <c r="A616" s="51">
        <v>307</v>
      </c>
      <c r="B616" s="50">
        <f>$V$4*Performance!$E$12*(1/A616)+Performance!$E$23*(1/Constraints!$V$4)*Constraints!A616</f>
        <v>0.10466812502235613</v>
      </c>
      <c r="C616" s="50">
        <f>$V$5*Performance!$E$12*(1/A616)+Performance!$E$23*(1/Constraints!$V$5)*Constraints!A616</f>
        <v>0.1522023375195338</v>
      </c>
      <c r="D616" s="52">
        <f t="shared" si="38"/>
        <v>0.41575842734335644</v>
      </c>
      <c r="E616" s="52">
        <f>$V$4*Performance!$E$12*(1/A616)+Performance!$E$23*(1/Constraints!$V$9)*Constraints!A616</f>
        <v>0.10328166385043284</v>
      </c>
      <c r="F616" s="52">
        <f xml:space="preserve"> 1.21 / (9.81 * Constraints!$N$7 * Performance!$E$15 * Constraints!$N$5 ) * Constraints!A616 + 0.605 /Performance!$E$15 * (Performance!$E$16  - Constraints!$N$6 * Performance!$E$14) + Constraints!$N$6</f>
        <v>0.41558800590875572</v>
      </c>
      <c r="G616" s="54" t="s">
        <v>198</v>
      </c>
      <c r="H616" s="55">
        <f>SQRT(2/$V$3 * A616 * SQRT(Performance!$E$23 / (3 * Performance!$E$12)))</f>
        <v>21.604761275660053</v>
      </c>
      <c r="I616" s="55">
        <f>SQRT(2/$V$3 * A616 * (SQRT(Performance!$E$23)/(SQRT(3*Performance!$E$12 + 4* Performance!$E$23 * Performance!$E$11^2) - SQRT(Performance!$E$23)*Performance!$E$11)))</f>
        <v>22.726805383260547</v>
      </c>
      <c r="J616" t="e">
        <f xml:space="preserve"> $AC$3/G616 + $AC$6/A616 * Performance!$E$12 + Performance!$E$23/Constraints!$AC$6 * Constraints!A616</f>
        <v>#VALUE!</v>
      </c>
      <c r="K616">
        <f xml:space="preserve"> $AC$3/H616 + $AC$6/A616 * Performance!$E$12 + Performance!$E$23/Constraints!$AC$6 * Constraints!A616</f>
        <v>1.222584750564073</v>
      </c>
      <c r="L616">
        <f xml:space="preserve"> $AC$3/I616 + $AC$6/A616 * Performance!$E$12 + Performance!$E$23/Constraints!$AC$6 * Constraints!A616</f>
        <v>1.2109759920567666</v>
      </c>
      <c r="M616">
        <f>SIN($AC$9 * PI()/180) + 1/Performance!$AE$5</f>
        <v>0.24073077270730886</v>
      </c>
      <c r="N616">
        <f>SIN($AC$9 * PI()/180) + 1/Performance!$AE$8</f>
        <v>0.22738716112204788</v>
      </c>
      <c r="O616" s="60">
        <f>$AC$16 * (Performance!$E$12/Constraints!A616 + Performance!$E$23 * (Constraints!$AC$13/Constraints!$AC$17)^2 * Constraints!A616)</f>
        <v>2.1885952495112319E-4</v>
      </c>
      <c r="P616" t="e">
        <f t="shared" si="39"/>
        <v>#VALUE!</v>
      </c>
      <c r="Q616">
        <f t="shared" si="40"/>
        <v>122.55808524240094</v>
      </c>
      <c r="R616">
        <f t="shared" si="41"/>
        <v>135.61877255891508</v>
      </c>
      <c r="S616" t="e">
        <f xml:space="preserve"> 1.667/G616 + P616/A616 * Performance!$E$12 + Performance!$E$23 / Constraints!P616 * Constraints!A616</f>
        <v>#VALUE!</v>
      </c>
      <c r="T616">
        <f xml:space="preserve"> 1.667/H616 + Q616/A616 * Performance!$E$12 + Performance!$E$23 / Constraints!Q616 * Constraints!A616</f>
        <v>0.18307188539559432</v>
      </c>
      <c r="U616">
        <f xml:space="preserve"> 1.667/I616 + R616/A616 * Performance!$E$12 + Performance!$E$23 / Constraints!R616 * Constraints!A616</f>
        <v>0.17149225396968334</v>
      </c>
    </row>
    <row r="617" spans="1:21" x14ac:dyDescent="0.3">
      <c r="A617" s="51">
        <v>307.5</v>
      </c>
      <c r="B617" s="50">
        <f>$V$4*Performance!$E$12*(1/A617)+Performance!$E$23*(1/Constraints!$V$4)*Constraints!A617</f>
        <v>0.10453751472157308</v>
      </c>
      <c r="C617" s="50">
        <f>$V$5*Performance!$E$12*(1/A617)+Performance!$E$23*(1/Constraints!$V$5)*Constraints!A617</f>
        <v>0.15198020911543936</v>
      </c>
      <c r="D617" s="52">
        <f t="shared" si="38"/>
        <v>0.4160307130556421</v>
      </c>
      <c r="E617" s="52">
        <f>$V$4*Performance!$E$12*(1/A617)+Performance!$E$23*(1/Constraints!$V$9)*Constraints!A617</f>
        <v>0.10314879546956524</v>
      </c>
      <c r="F617" s="52">
        <f xml:space="preserve"> 1.21 / (9.81 * Constraints!$N$7 * Performance!$E$15 * Constraints!$N$5 ) * Constraints!A617 + 0.605 /Performance!$E$15 * (Performance!$E$16  - Constraints!$N$6 * Performance!$E$14) + Constraints!$N$6</f>
        <v>0.41586001406170159</v>
      </c>
      <c r="G617" s="54" t="s">
        <v>198</v>
      </c>
      <c r="H617" s="55">
        <f>SQRT(2/$V$3 * A617 * SQRT(Performance!$E$23 / (3 * Performance!$E$12)))</f>
        <v>21.622347571836706</v>
      </c>
      <c r="I617" s="55">
        <f>SQRT(2/$V$3 * A617 * (SQRT(Performance!$E$23)/(SQRT(3*Performance!$E$12 + 4* Performance!$E$23 * Performance!$E$11^2) - SQRT(Performance!$E$23)*Performance!$E$11)))</f>
        <v>22.745305024405368</v>
      </c>
      <c r="J617" t="e">
        <f xml:space="preserve"> $AC$3/G617 + $AC$6/A617 * Performance!$E$12 + Performance!$E$23/Constraints!$AC$6 * Constraints!A617</f>
        <v>#VALUE!</v>
      </c>
      <c r="K617">
        <f xml:space="preserve"> $AC$3/H617 + $AC$6/A617 * Performance!$E$12 + Performance!$E$23/Constraints!$AC$6 * Constraints!A617</f>
        <v>1.2239980220946018</v>
      </c>
      <c r="L617">
        <f xml:space="preserve"> $AC$3/I617 + $AC$6/A617 * Performance!$E$12 + Performance!$E$23/Constraints!$AC$6 * Constraints!A617</f>
        <v>1.212398705442056</v>
      </c>
      <c r="M617">
        <f>SIN($AC$9 * PI()/180) + 1/Performance!$AE$5</f>
        <v>0.24073077270730886</v>
      </c>
      <c r="N617">
        <f>SIN($AC$9 * PI()/180) + 1/Performance!$AE$8</f>
        <v>0.22738716112204788</v>
      </c>
      <c r="O617" s="60">
        <f>$AC$16 * (Performance!$E$12/Constraints!A617 + Performance!$E$23 * (Constraints!$AC$13/Constraints!$AC$17)^2 * Constraints!A617)</f>
        <v>2.1895545905027368E-4</v>
      </c>
      <c r="P617" t="e">
        <f t="shared" si="39"/>
        <v>#VALUE!</v>
      </c>
      <c r="Q617">
        <f t="shared" si="40"/>
        <v>122.75769124442438</v>
      </c>
      <c r="R617">
        <f t="shared" si="41"/>
        <v>135.83965003865274</v>
      </c>
      <c r="S617" t="e">
        <f xml:space="preserve"> 1.667/G617 + P617/A617 * Performance!$E$12 + Performance!$E$23 / Constraints!P617 * Constraints!A617</f>
        <v>#VALUE!</v>
      </c>
      <c r="T617">
        <f xml:space="preserve"> 1.667/H617 + Q617/A617 * Performance!$E$12 + Performance!$E$23 / Constraints!Q617 * Constraints!A617</f>
        <v>0.18300912904700101</v>
      </c>
      <c r="U617">
        <f xml:space="preserve"> 1.667/I617 + R617/A617 * Performance!$E$12 + Performance!$E$23 / Constraints!R617 * Constraints!A617</f>
        <v>0.17143259596201238</v>
      </c>
    </row>
    <row r="618" spans="1:21" x14ac:dyDescent="0.3">
      <c r="A618" s="51">
        <v>308</v>
      </c>
      <c r="B618" s="50">
        <f>$V$4*Performance!$E$12*(1/A618)+Performance!$E$23*(1/Constraints!$V$4)*Constraints!A618</f>
        <v>0.10440739278861551</v>
      </c>
      <c r="C618" s="50">
        <f>$V$5*Performance!$E$12*(1/A618)+Performance!$E$23*(1/Constraints!$V$5)*Constraints!A618</f>
        <v>0.15175884310178386</v>
      </c>
      <c r="D618" s="52">
        <f t="shared" si="38"/>
        <v>0.41630299876792765</v>
      </c>
      <c r="E618" s="52">
        <f>$V$4*Performance!$E$12*(1/A618)+Performance!$E$23*(1/Constraints!$V$9)*Constraints!A618</f>
        <v>0.10301641545652308</v>
      </c>
      <c r="F618" s="52">
        <f xml:space="preserve"> 1.21 / (9.81 * Constraints!$N$7 * Performance!$E$15 * Constraints!$N$5 ) * Constraints!A618 + 0.605 /Performance!$E$15 * (Performance!$E$16  - Constraints!$N$6 * Performance!$E$14) + Constraints!$N$6</f>
        <v>0.4161320222146474</v>
      </c>
      <c r="G618" s="54" t="s">
        <v>198</v>
      </c>
      <c r="H618" s="55">
        <f>SQRT(2/$V$3 * A618 * SQRT(Performance!$E$23 / (3 * Performance!$E$12)))</f>
        <v>21.639919576014261</v>
      </c>
      <c r="I618" s="55">
        <f>SQRT(2/$V$3 * A618 * (SQRT(Performance!$E$23)/(SQRT(3*Performance!$E$12 + 4* Performance!$E$23 * Performance!$E$11^2) - SQRT(Performance!$E$23)*Performance!$E$11)))</f>
        <v>22.763789631295566</v>
      </c>
      <c r="J618" t="e">
        <f xml:space="preserve"> $AC$3/G618 + $AC$6/A618 * Performance!$E$12 + Performance!$E$23/Constraints!$AC$6 * Constraints!A618</f>
        <v>#VALUE!</v>
      </c>
      <c r="K618">
        <f xml:space="preserve"> $AC$3/H618 + $AC$6/A618 * Performance!$E$12 + Performance!$E$23/Constraints!$AC$6 * Constraints!A618</f>
        <v>1.2254117655254184</v>
      </c>
      <c r="L618">
        <f xml:space="preserve"> $AC$3/I618 + $AC$6/A618 * Performance!$E$12 + Performance!$E$23/Constraints!$AC$6 * Constraints!A618</f>
        <v>1.2138218677267623</v>
      </c>
      <c r="M618">
        <f>SIN($AC$9 * PI()/180) + 1/Performance!$AE$5</f>
        <v>0.24073077270730886</v>
      </c>
      <c r="N618">
        <f>SIN($AC$9 * PI()/180) + 1/Performance!$AE$8</f>
        <v>0.22738716112204788</v>
      </c>
      <c r="O618" s="60">
        <f>$AC$16 * (Performance!$E$12/Constraints!A618 + Performance!$E$23 * (Constraints!$AC$13/Constraints!$AC$17)^2 * Constraints!A618)</f>
        <v>2.1905181571868664E-4</v>
      </c>
      <c r="P618" t="e">
        <f t="shared" si="39"/>
        <v>#VALUE!</v>
      </c>
      <c r="Q618">
        <f t="shared" si="40"/>
        <v>122.95729724644784</v>
      </c>
      <c r="R618">
        <f t="shared" si="41"/>
        <v>136.06052751839039</v>
      </c>
      <c r="S618" t="e">
        <f xml:space="preserve"> 1.667/G618 + P618/A618 * Performance!$E$12 + Performance!$E$23 / Constraints!P618 * Constraints!A618</f>
        <v>#VALUE!</v>
      </c>
      <c r="T618">
        <f xml:space="preserve"> 1.667/H618 + Q618/A618 * Performance!$E$12 + Performance!$E$23 / Constraints!Q618 * Constraints!A618</f>
        <v>0.18294652557627822</v>
      </c>
      <c r="U618">
        <f xml:space="preserve"> 1.667/I618 + R618/A618 * Performance!$E$12 + Performance!$E$23 / Constraints!R618 * Constraints!A618</f>
        <v>0.17137308328448536</v>
      </c>
    </row>
    <row r="619" spans="1:21" x14ac:dyDescent="0.3">
      <c r="A619" s="51">
        <v>308.5</v>
      </c>
      <c r="B619" s="50">
        <f>$V$4*Performance!$E$12*(1/A619)+Performance!$E$23*(1/Constraints!$V$4)*Constraints!A619</f>
        <v>0.10427775684892343</v>
      </c>
      <c r="C619" s="50">
        <f>$V$5*Performance!$E$12*(1/A619)+Performance!$E$23*(1/Constraints!$V$5)*Constraints!A619</f>
        <v>0.15153823577164457</v>
      </c>
      <c r="D619" s="52">
        <f t="shared" si="38"/>
        <v>0.41657528448021325</v>
      </c>
      <c r="E619" s="52">
        <f>$V$4*Performance!$E$12*(1/A619)+Performance!$E$23*(1/Constraints!$V$9)*Constraints!A619</f>
        <v>0.10288452143674644</v>
      </c>
      <c r="F619" s="52">
        <f xml:space="preserve"> 1.21 / (9.81 * Constraints!$N$7 * Performance!$E$15 * Constraints!$N$5 ) * Constraints!A619 + 0.605 /Performance!$E$15 * (Performance!$E$16  - Constraints!$N$6 * Performance!$E$14) + Constraints!$N$6</f>
        <v>0.41640403036759333</v>
      </c>
      <c r="G619" s="54" t="s">
        <v>198</v>
      </c>
      <c r="H619" s="55">
        <f>SQRT(2/$V$3 * A619 * SQRT(Performance!$E$23 / (3 * Performance!$E$12)))</f>
        <v>21.657477322980572</v>
      </c>
      <c r="I619" s="55">
        <f>SQRT(2/$V$3 * A619 * (SQRT(Performance!$E$23)/(SQRT(3*Performance!$E$12 + 4* Performance!$E$23 * Performance!$E$11^2) - SQRT(Performance!$E$23)*Performance!$E$11)))</f>
        <v>22.782259240525708</v>
      </c>
      <c r="J619" t="e">
        <f xml:space="preserve"> $AC$3/G619 + $AC$6/A619 * Performance!$E$12 + Performance!$E$23/Constraints!$AC$6 * Constraints!A619</f>
        <v>#VALUE!</v>
      </c>
      <c r="K619">
        <f xml:space="preserve"> $AC$3/H619 + $AC$6/A619 * Performance!$E$12 + Performance!$E$23/Constraints!$AC$6 * Constraints!A619</f>
        <v>1.226825978938801</v>
      </c>
      <c r="L619">
        <f xml:space="preserve"> $AC$3/I619 + $AC$6/A619 * Performance!$E$12 + Performance!$E$23/Constraints!$AC$6 * Constraints!A619</f>
        <v>1.2152454770863983</v>
      </c>
      <c r="M619">
        <f>SIN($AC$9 * PI()/180) + 1/Performance!$AE$5</f>
        <v>0.24073077270730886</v>
      </c>
      <c r="N619">
        <f>SIN($AC$9 * PI()/180) + 1/Performance!$AE$8</f>
        <v>0.22738716112204788</v>
      </c>
      <c r="O619" s="60">
        <f>$AC$16 * (Performance!$E$12/Constraints!A619 + Performance!$E$23 * (Constraints!$AC$13/Constraints!$AC$17)^2 * Constraints!A619)</f>
        <v>2.1914859290173035E-4</v>
      </c>
      <c r="P619" t="e">
        <f t="shared" si="39"/>
        <v>#VALUE!</v>
      </c>
      <c r="Q619">
        <f t="shared" si="40"/>
        <v>123.15690324847127</v>
      </c>
      <c r="R619">
        <f t="shared" si="41"/>
        <v>136.28140499812804</v>
      </c>
      <c r="S619" t="e">
        <f xml:space="preserve"> 1.667/G619 + P619/A619 * Performance!$E$12 + Performance!$E$23 / Constraints!P619 * Constraints!A619</f>
        <v>#VALUE!</v>
      </c>
      <c r="T619">
        <f xml:space="preserve"> 1.667/H619 + Q619/A619 * Performance!$E$12 + Performance!$E$23 / Constraints!Q619 * Constraints!A619</f>
        <v>0.18288407436373436</v>
      </c>
      <c r="U619">
        <f xml:space="preserve"> 1.667/I619 + R619/A619 * Performance!$E$12 + Performance!$E$23 / Constraints!R619 * Constraints!A619</f>
        <v>0.17131371534800538</v>
      </c>
    </row>
    <row r="620" spans="1:21" x14ac:dyDescent="0.3">
      <c r="A620" s="51">
        <v>309</v>
      </c>
      <c r="B620" s="50">
        <f>$V$4*Performance!$E$12*(1/A620)+Performance!$E$23*(1/Constraints!$V$4)*Constraints!A620</f>
        <v>0.10414860454330627</v>
      </c>
      <c r="C620" s="50">
        <f>$V$5*Performance!$E$12*(1/A620)+Performance!$E$23*(1/Constraints!$V$5)*Constraints!A620</f>
        <v>0.15131838344209184</v>
      </c>
      <c r="D620" s="52">
        <f t="shared" si="38"/>
        <v>0.41684757019249885</v>
      </c>
      <c r="E620" s="52">
        <f>$V$4*Performance!$E$12*(1/A620)+Performance!$E$23*(1/Constraints!$V$9)*Constraints!A620</f>
        <v>0.10275311105104472</v>
      </c>
      <c r="F620" s="52">
        <f xml:space="preserve"> 1.21 / (9.81 * Constraints!$N$7 * Performance!$E$15 * Constraints!$N$5 ) * Constraints!A620 + 0.605 /Performance!$E$15 * (Performance!$E$16  - Constraints!$N$6 * Performance!$E$14) + Constraints!$N$6</f>
        <v>0.41667603852053914</v>
      </c>
      <c r="G620" s="54" t="s">
        <v>198</v>
      </c>
      <c r="H620" s="55">
        <f>SQRT(2/$V$3 * A620 * SQRT(Performance!$E$23 / (3 * Performance!$E$12)))</f>
        <v>21.675020847382598</v>
      </c>
      <c r="I620" s="55">
        <f>SQRT(2/$V$3 * A620 * (SQRT(Performance!$E$23)/(SQRT(3*Performance!$E$12 + 4* Performance!$E$23 * Performance!$E$11^2) - SQRT(Performance!$E$23)*Performance!$E$11)))</f>
        <v>22.800713888542138</v>
      </c>
      <c r="J620" t="e">
        <f xml:space="preserve"> $AC$3/G620 + $AC$6/A620 * Performance!$E$12 + Performance!$E$23/Constraints!$AC$6 * Constraints!A620</f>
        <v>#VALUE!</v>
      </c>
      <c r="K620">
        <f xml:space="preserve"> $AC$3/H620 + $AC$6/A620 * Performance!$E$12 + Performance!$E$23/Constraints!$AC$6 * Constraints!A620</f>
        <v>1.2282406604279168</v>
      </c>
      <c r="L620">
        <f xml:space="preserve"> $AC$3/I620 + $AC$6/A620 * Performance!$E$12 + Performance!$E$23/Constraints!$AC$6 * Constraints!A620</f>
        <v>1.2166695317068377</v>
      </c>
      <c r="M620">
        <f>SIN($AC$9 * PI()/180) + 1/Performance!$AE$5</f>
        <v>0.24073077270730886</v>
      </c>
      <c r="N620">
        <f>SIN($AC$9 * PI()/180) + 1/Performance!$AE$8</f>
        <v>0.22738716112204788</v>
      </c>
      <c r="O620" s="60">
        <f>$AC$16 * (Performance!$E$12/Constraints!A620 + Performance!$E$23 * (Constraints!$AC$13/Constraints!$AC$17)^2 * Constraints!A620)</f>
        <v>2.1924578855807167E-4</v>
      </c>
      <c r="P620" t="e">
        <f t="shared" si="39"/>
        <v>#VALUE!</v>
      </c>
      <c r="Q620">
        <f t="shared" si="40"/>
        <v>123.35650925049472</v>
      </c>
      <c r="R620">
        <f t="shared" si="41"/>
        <v>136.50228247786566</v>
      </c>
      <c r="S620" t="e">
        <f xml:space="preserve"> 1.667/G620 + P620/A620 * Performance!$E$12 + Performance!$E$23 / Constraints!P620 * Constraints!A620</f>
        <v>#VALUE!</v>
      </c>
      <c r="T620">
        <f xml:space="preserve"> 1.667/H620 + Q620/A620 * Performance!$E$12 + Performance!$E$23 / Constraints!Q620 * Constraints!A620</f>
        <v>0.18282177479318873</v>
      </c>
      <c r="U620">
        <f xml:space="preserve"> 1.667/I620 + R620/A620 * Performance!$E$12 + Performance!$E$23 / Constraints!R620 * Constraints!A620</f>
        <v>0.17125449156681327</v>
      </c>
    </row>
    <row r="621" spans="1:21" x14ac:dyDescent="0.3">
      <c r="A621" s="51">
        <v>309.5</v>
      </c>
      <c r="B621" s="50">
        <f>$V$4*Performance!$E$12*(1/A621)+Performance!$E$23*(1/Constraints!$V$4)*Constraints!A621</f>
        <v>0.10401993352781859</v>
      </c>
      <c r="C621" s="50">
        <f>$V$5*Performance!$E$12*(1/A621)+Performance!$E$23*(1/Constraints!$V$5)*Constraints!A621</f>
        <v>0.15109928245399515</v>
      </c>
      <c r="D621" s="52">
        <f t="shared" si="38"/>
        <v>0.41711985590478445</v>
      </c>
      <c r="E621" s="52">
        <f>$V$4*Performance!$E$12*(1/A621)+Performance!$E$23*(1/Constraints!$V$9)*Constraints!A621</f>
        <v>0.10262218195547247</v>
      </c>
      <c r="F621" s="52">
        <f xml:space="preserve"> 1.21 / (9.81 * Constraints!$N$7 * Performance!$E$15 * Constraints!$N$5 ) * Constraints!A621 + 0.605 /Performance!$E$15 * (Performance!$E$16  - Constraints!$N$6 * Performance!$E$14) + Constraints!$N$6</f>
        <v>0.41694804667348501</v>
      </c>
      <c r="G621" s="54" t="s">
        <v>198</v>
      </c>
      <c r="H621" s="55">
        <f>SQRT(2/$V$3 * A621 * SQRT(Performance!$E$23 / (3 * Performance!$E$12)))</f>
        <v>21.692550183727199</v>
      </c>
      <c r="I621" s="55">
        <f>SQRT(2/$V$3 * A621 * (SQRT(Performance!$E$23)/(SQRT(3*Performance!$E$12 + 4* Performance!$E$23 * Performance!$E$11^2) - SQRT(Performance!$E$23)*Performance!$E$11)))</f>
        <v>22.819153611643834</v>
      </c>
      <c r="J621" t="e">
        <f xml:space="preserve"> $AC$3/G621 + $AC$6/A621 * Performance!$E$12 + Performance!$E$23/Constraints!$AC$6 * Constraints!A621</f>
        <v>#VALUE!</v>
      </c>
      <c r="K621">
        <f xml:space="preserve"> $AC$3/H621 + $AC$6/A621 * Performance!$E$12 + Performance!$E$23/Constraints!$AC$6 * Constraints!A621</f>
        <v>1.2296558080967435</v>
      </c>
      <c r="L621">
        <f xml:space="preserve"> $AC$3/I621 + $AC$6/A621 * Performance!$E$12 + Performance!$E$23/Constraints!$AC$6 * Constraints!A621</f>
        <v>1.2180940297842384</v>
      </c>
      <c r="M621">
        <f>SIN($AC$9 * PI()/180) + 1/Performance!$AE$5</f>
        <v>0.24073077270730886</v>
      </c>
      <c r="N621">
        <f>SIN($AC$9 * PI()/180) + 1/Performance!$AE$8</f>
        <v>0.22738716112204788</v>
      </c>
      <c r="O621" s="60">
        <f>$AC$16 * (Performance!$E$12/Constraints!A621 + Performance!$E$23 * (Constraints!$AC$13/Constraints!$AC$17)^2 * Constraints!A621)</f>
        <v>2.1934340065956861E-4</v>
      </c>
      <c r="P621" t="e">
        <f t="shared" si="39"/>
        <v>#VALUE!</v>
      </c>
      <c r="Q621">
        <f t="shared" si="40"/>
        <v>123.55611525251823</v>
      </c>
      <c r="R621">
        <f t="shared" si="41"/>
        <v>136.72315995760337</v>
      </c>
      <c r="S621" t="e">
        <f xml:space="preserve"> 1.667/G621 + P621/A621 * Performance!$E$12 + Performance!$E$23 / Constraints!P621 * Constraints!A621</f>
        <v>#VALUE!</v>
      </c>
      <c r="T621">
        <f xml:space="preserve"> 1.667/H621 + Q621/A621 * Performance!$E$12 + Performance!$E$23 / Constraints!Q621 * Constraints!A621</f>
        <v>0.18275962625194611</v>
      </c>
      <c r="U621">
        <f xml:space="preserve"> 1.667/I621 + R621/A621 * Performance!$E$12 + Performance!$E$23 / Constraints!R621 * Constraints!A621</f>
        <v>0.17119541135846306</v>
      </c>
    </row>
    <row r="622" spans="1:21" x14ac:dyDescent="0.3">
      <c r="A622" s="51">
        <v>310</v>
      </c>
      <c r="B622" s="50">
        <f>$V$4*Performance!$E$12*(1/A622)+Performance!$E$23*(1/Constraints!$V$4)*Constraints!A622</f>
        <v>0.10389174147363717</v>
      </c>
      <c r="C622" s="50">
        <f>$V$5*Performance!$E$12*(1/A622)+Performance!$E$23*(1/Constraints!$V$5)*Constraints!A622</f>
        <v>0.15088092917183138</v>
      </c>
      <c r="D622" s="52">
        <f t="shared" si="38"/>
        <v>0.41739214161707006</v>
      </c>
      <c r="E622" s="52">
        <f>$V$4*Performance!$E$12*(1/A622)+Performance!$E$23*(1/Constraints!$V$9)*Constraints!A622</f>
        <v>0.10249173182120649</v>
      </c>
      <c r="F622" s="52">
        <f xml:space="preserve"> 1.21 / (9.81 * Constraints!$N$7 * Performance!$E$15 * Constraints!$N$5 ) * Constraints!A622 + 0.605 /Performance!$E$15 * (Performance!$E$16  - Constraints!$N$6 * Performance!$E$14) + Constraints!$N$6</f>
        <v>0.41722005482643088</v>
      </c>
      <c r="G622" s="54" t="s">
        <v>198</v>
      </c>
      <c r="H622" s="55">
        <f>SQRT(2/$V$3 * A622 * SQRT(Performance!$E$23 / (3 * Performance!$E$12)))</f>
        <v>21.710065366381912</v>
      </c>
      <c r="I622" s="55">
        <f>SQRT(2/$V$3 * A622 * (SQRT(Performance!$E$23)/(SQRT(3*Performance!$E$12 + 4* Performance!$E$23 * Performance!$E$11^2) - SQRT(Performance!$E$23)*Performance!$E$11)))</f>
        <v>22.837578445983215</v>
      </c>
      <c r="J622" t="e">
        <f xml:space="preserve"> $AC$3/G622 + $AC$6/A622 * Performance!$E$12 + Performance!$E$23/Constraints!$AC$6 * Constraints!A622</f>
        <v>#VALUE!</v>
      </c>
      <c r="K622">
        <f xml:space="preserve"> $AC$3/H622 + $AC$6/A622 * Performance!$E$12 + Performance!$E$23/Constraints!$AC$6 * Constraints!A622</f>
        <v>1.2310714200599886</v>
      </c>
      <c r="L622">
        <f xml:space="preserve"> $AC$3/I622 + $AC$6/A622 * Performance!$E$12 + Performance!$E$23/Constraints!$AC$6 * Constraints!A622</f>
        <v>1.2195189695249702</v>
      </c>
      <c r="M622">
        <f>SIN($AC$9 * PI()/180) + 1/Performance!$AE$5</f>
        <v>0.24073077270730886</v>
      </c>
      <c r="N622">
        <f>SIN($AC$9 * PI()/180) + 1/Performance!$AE$8</f>
        <v>0.22738716112204788</v>
      </c>
      <c r="O622" s="60">
        <f>$AC$16 * (Performance!$E$12/Constraints!A622 + Performance!$E$23 * (Constraints!$AC$13/Constraints!$AC$17)^2 * Constraints!A622)</f>
        <v>2.1944142719116391E-4</v>
      </c>
      <c r="P622" t="e">
        <f t="shared" si="39"/>
        <v>#VALUE!</v>
      </c>
      <c r="Q622">
        <f t="shared" si="40"/>
        <v>123.75572125454165</v>
      </c>
      <c r="R622">
        <f t="shared" si="41"/>
        <v>136.94403743734097</v>
      </c>
      <c r="S622" t="e">
        <f xml:space="preserve"> 1.667/G622 + P622/A622 * Performance!$E$12 + Performance!$E$23 / Constraints!P622 * Constraints!A622</f>
        <v>#VALUE!</v>
      </c>
      <c r="T622">
        <f xml:space="preserve"> 1.667/H622 + Q622/A622 * Performance!$E$12 + Performance!$E$23 / Constraints!Q622 * Constraints!A622</f>
        <v>0.18269762813077162</v>
      </c>
      <c r="U622">
        <f xml:space="preserve"> 1.667/I622 + R622/A622 * Performance!$E$12 + Performance!$E$23 / Constraints!R622 * Constraints!A622</f>
        <v>0.17113647414379843</v>
      </c>
    </row>
    <row r="623" spans="1:21" x14ac:dyDescent="0.3">
      <c r="A623" s="51">
        <v>310.5</v>
      </c>
      <c r="B623" s="50">
        <f>$V$4*Performance!$E$12*(1/A623)+Performance!$E$23*(1/Constraints!$V$4)*Constraints!A623</f>
        <v>0.10376402606693928</v>
      </c>
      <c r="C623" s="50">
        <f>$V$5*Performance!$E$12*(1/A623)+Performance!$E$23*(1/Constraints!$V$5)*Constraints!A623</f>
        <v>0.15066331998349453</v>
      </c>
      <c r="D623" s="52">
        <f t="shared" si="38"/>
        <v>0.4176644273293556</v>
      </c>
      <c r="E623" s="52">
        <f>$V$4*Performance!$E$12*(1/A623)+Performance!$E$23*(1/Constraints!$V$9)*Constraints!A623</f>
        <v>0.10236175833442404</v>
      </c>
      <c r="F623" s="52">
        <f xml:space="preserve"> 1.21 / (9.81 * Constraints!$N$7 * Performance!$E$15 * Constraints!$N$5 ) * Constraints!A623 + 0.605 /Performance!$E$15 * (Performance!$E$16  - Constraints!$N$6 * Performance!$E$14) + Constraints!$N$6</f>
        <v>0.41749206297937669</v>
      </c>
      <c r="G623" s="54" t="s">
        <v>198</v>
      </c>
      <c r="H623" s="55">
        <f>SQRT(2/$V$3 * A623 * SQRT(Performance!$E$23 / (3 * Performance!$E$12)))</f>
        <v>21.72756642957577</v>
      </c>
      <c r="I623" s="55">
        <f>SQRT(2/$V$3 * A623 * (SQRT(Performance!$E$23)/(SQRT(3*Performance!$E$12 + 4* Performance!$E$23 * Performance!$E$11^2) - SQRT(Performance!$E$23)*Performance!$E$11)))</f>
        <v>22.855988427566999</v>
      </c>
      <c r="J623" t="e">
        <f xml:space="preserve"> $AC$3/G623 + $AC$6/A623 * Performance!$E$12 + Performance!$E$23/Constraints!$AC$6 * Constraints!A623</f>
        <v>#VALUE!</v>
      </c>
      <c r="K623">
        <f xml:space="preserve"> $AC$3/H623 + $AC$6/A623 * Performance!$E$12 + Performance!$E$23/Constraints!$AC$6 * Constraints!A623</f>
        <v>1.2324874944430131</v>
      </c>
      <c r="L623">
        <f xml:space="preserve"> $AC$3/I623 + $AC$6/A623 * Performance!$E$12 + Performance!$E$23/Constraints!$AC$6 * Constraints!A623</f>
        <v>1.2209443491455376</v>
      </c>
      <c r="M623">
        <f>SIN($AC$9 * PI()/180) + 1/Performance!$AE$5</f>
        <v>0.24073077270730886</v>
      </c>
      <c r="N623">
        <f>SIN($AC$9 * PI()/180) + 1/Performance!$AE$8</f>
        <v>0.22738716112204788</v>
      </c>
      <c r="O623" s="60">
        <f>$AC$16 * (Performance!$E$12/Constraints!A623 + Performance!$E$23 * (Constraints!$AC$13/Constraints!$AC$17)^2 * Constraints!A623)</f>
        <v>2.1953986615077988E-4</v>
      </c>
      <c r="P623" t="e">
        <f t="shared" si="39"/>
        <v>#VALUE!</v>
      </c>
      <c r="Q623">
        <f t="shared" si="40"/>
        <v>123.95532725656511</v>
      </c>
      <c r="R623">
        <f t="shared" si="41"/>
        <v>137.16491491707862</v>
      </c>
      <c r="S623" t="e">
        <f xml:space="preserve"> 1.667/G623 + P623/A623 * Performance!$E$12 + Performance!$E$23 / Constraints!P623 * Constraints!A623</f>
        <v>#VALUE!</v>
      </c>
      <c r="T623">
        <f xml:space="preserve"> 1.667/H623 + Q623/A623 * Performance!$E$12 + Performance!$E$23 / Constraints!Q623 * Constraints!A623</f>
        <v>0.1826357798238652</v>
      </c>
      <c r="U623">
        <f xml:space="preserve"> 1.667/I623 + R623/A623 * Performance!$E$12 + Performance!$E$23 / Constraints!R623 * Constraints!A623</f>
        <v>0.17107767934692827</v>
      </c>
    </row>
    <row r="624" spans="1:21" x14ac:dyDescent="0.3">
      <c r="A624" s="51">
        <v>311</v>
      </c>
      <c r="B624" s="50">
        <f>$V$4*Performance!$E$12*(1/A624)+Performance!$E$23*(1/Constraints!$V$4)*Constraints!A624</f>
        <v>0.1036367850087821</v>
      </c>
      <c r="C624" s="50">
        <f>$V$5*Performance!$E$12*(1/A624)+Performance!$E$23*(1/Constraints!$V$5)*Constraints!A624</f>
        <v>0.15044645130010761</v>
      </c>
      <c r="D624" s="52">
        <f t="shared" si="38"/>
        <v>0.41793671304164126</v>
      </c>
      <c r="E624" s="52">
        <f>$V$4*Performance!$E$12*(1/A624)+Performance!$E$23*(1/Constraints!$V$9)*Constraints!A624</f>
        <v>0.10223225919618227</v>
      </c>
      <c r="F624" s="52">
        <f xml:space="preserve"> 1.21 / (9.81 * Constraints!$N$7 * Performance!$E$15 * Constraints!$N$5 ) * Constraints!A624 + 0.605 /Performance!$E$15 * (Performance!$E$16  - Constraints!$N$6 * Performance!$E$14) + Constraints!$N$6</f>
        <v>0.41776407113232261</v>
      </c>
      <c r="G624" s="54" t="s">
        <v>198</v>
      </c>
      <c r="H624" s="55">
        <f>SQRT(2/$V$3 * A624 * SQRT(Performance!$E$23 / (3 * Performance!$E$12)))</f>
        <v>21.74505340740005</v>
      </c>
      <c r="I624" s="55">
        <f>SQRT(2/$V$3 * A624 * (SQRT(Performance!$E$23)/(SQRT(3*Performance!$E$12 + 4* Performance!$E$23 * Performance!$E$11^2) - SQRT(Performance!$E$23)*Performance!$E$11)))</f>
        <v>22.874383592256994</v>
      </c>
      <c r="J624" t="e">
        <f xml:space="preserve"> $AC$3/G624 + $AC$6/A624 * Performance!$E$12 + Performance!$E$23/Constraints!$AC$6 * Constraints!A624</f>
        <v>#VALUE!</v>
      </c>
      <c r="K624">
        <f xml:space="preserve"> $AC$3/H624 + $AC$6/A624 * Performance!$E$12 + Performance!$E$23/Constraints!$AC$6 * Constraints!A624</f>
        <v>1.2339040293817534</v>
      </c>
      <c r="L624">
        <f xml:space="preserve"> $AC$3/I624 + $AC$6/A624 * Performance!$E$12 + Performance!$E$23/Constraints!$AC$6 * Constraints!A624</f>
        <v>1.2223701668725084</v>
      </c>
      <c r="M624">
        <f>SIN($AC$9 * PI()/180) + 1/Performance!$AE$5</f>
        <v>0.24073077270730886</v>
      </c>
      <c r="N624">
        <f>SIN($AC$9 * PI()/180) + 1/Performance!$AE$8</f>
        <v>0.22738716112204788</v>
      </c>
      <c r="O624" s="60">
        <f>$AC$16 * (Performance!$E$12/Constraints!A624 + Performance!$E$23 * (Constraints!$AC$13/Constraints!$AC$17)^2 * Constraints!A624)</f>
        <v>2.1963871554921371E-4</v>
      </c>
      <c r="P624" t="e">
        <f t="shared" si="39"/>
        <v>#VALUE!</v>
      </c>
      <c r="Q624">
        <f t="shared" si="40"/>
        <v>124.15493325858857</v>
      </c>
      <c r="R624">
        <f t="shared" si="41"/>
        <v>137.38579239681627</v>
      </c>
      <c r="S624" t="e">
        <f xml:space="preserve"> 1.667/G624 + P624/A624 * Performance!$E$12 + Performance!$E$23 / Constraints!P624 * Constraints!A624</f>
        <v>#VALUE!</v>
      </c>
      <c r="T624">
        <f xml:space="preserve"> 1.667/H624 + Q624/A624 * Performance!$E$12 + Performance!$E$23 / Constraints!Q624 * Constraints!A624</f>
        <v>0.18257408072883718</v>
      </c>
      <c r="U624">
        <f xml:space="preserve"> 1.667/I624 + R624/A624 * Performance!$E$12 + Performance!$E$23 / Constraints!R624 * Constraints!A624</f>
        <v>0.17101902639520342</v>
      </c>
    </row>
    <row r="625" spans="1:21" x14ac:dyDescent="0.3">
      <c r="A625" s="51">
        <v>311.5</v>
      </c>
      <c r="B625" s="50">
        <f>$V$4*Performance!$E$12*(1/A625)+Performance!$E$23*(1/Constraints!$V$4)*Constraints!A625</f>
        <v>0.10351001601498321</v>
      </c>
      <c r="C625" s="50">
        <f>$V$5*Performance!$E$12*(1/A625)+Performance!$E$23*(1/Constraints!$V$5)*Constraints!A625</f>
        <v>0.15023031955583627</v>
      </c>
      <c r="D625" s="52">
        <f t="shared" si="38"/>
        <v>0.41820899875392681</v>
      </c>
      <c r="E625" s="52">
        <f>$V$4*Performance!$E$12*(1/A625)+Performance!$E$23*(1/Constraints!$V$9)*Constraints!A625</f>
        <v>0.10210323212229883</v>
      </c>
      <c r="F625" s="52">
        <f xml:space="preserve"> 1.21 / (9.81 * Constraints!$N$7 * Performance!$E$15 * Constraints!$N$5 ) * Constraints!A625 + 0.605 /Performance!$E$15 * (Performance!$E$16  - Constraints!$N$6 * Performance!$E$14) + Constraints!$N$6</f>
        <v>0.41803607928526842</v>
      </c>
      <c r="G625" s="54" t="s">
        <v>198</v>
      </c>
      <c r="H625" s="55">
        <f>SQRT(2/$V$3 * A625 * SQRT(Performance!$E$23 / (3 * Performance!$E$12)))</f>
        <v>21.762526333809063</v>
      </c>
      <c r="I625" s="55">
        <f>SQRT(2/$V$3 * A625 * (SQRT(Performance!$E$23)/(SQRT(3*Performance!$E$12 + 4* Performance!$E$23 * Performance!$E$11^2) - SQRT(Performance!$E$23)*Performance!$E$11)))</f>
        <v>22.892763975770933</v>
      </c>
      <c r="J625" t="e">
        <f xml:space="preserve"> $AC$3/G625 + $AC$6/A625 * Performance!$E$12 + Performance!$E$23/Constraints!$AC$6 * Constraints!A625</f>
        <v>#VALUE!</v>
      </c>
      <c r="K625">
        <f xml:space="preserve"> $AC$3/H625 + $AC$6/A625 * Performance!$E$12 + Performance!$E$23/Constraints!$AC$6 * Constraints!A625</f>
        <v>1.2353210230226457</v>
      </c>
      <c r="L625">
        <f xml:space="preserve"> $AC$3/I625 + $AC$6/A625 * Performance!$E$12 + Performance!$E$23/Constraints!$AC$6 * Constraints!A625</f>
        <v>1.2237964209424403</v>
      </c>
      <c r="M625">
        <f>SIN($AC$9 * PI()/180) + 1/Performance!$AE$5</f>
        <v>0.24073077270730886</v>
      </c>
      <c r="N625">
        <f>SIN($AC$9 * PI()/180) + 1/Performance!$AE$8</f>
        <v>0.22738716112204788</v>
      </c>
      <c r="O625" s="60">
        <f>$AC$16 * (Performance!$E$12/Constraints!A625 + Performance!$E$23 * (Constraints!$AC$13/Constraints!$AC$17)^2 * Constraints!A625)</f>
        <v>2.1973797341003469E-4</v>
      </c>
      <c r="P625" t="e">
        <f t="shared" si="39"/>
        <v>#VALUE!</v>
      </c>
      <c r="Q625">
        <f t="shared" si="40"/>
        <v>124.354539260612</v>
      </c>
      <c r="R625">
        <f t="shared" si="41"/>
        <v>137.60666987655389</v>
      </c>
      <c r="S625" t="e">
        <f xml:space="preserve"> 1.667/G625 + P625/A625 * Performance!$E$12 + Performance!$E$23 / Constraints!P625 * Constraints!A625</f>
        <v>#VALUE!</v>
      </c>
      <c r="T625">
        <f xml:space="preserve"> 1.667/H625 + Q625/A625 * Performance!$E$12 + Performance!$E$23 / Constraints!Q625 * Constraints!A625</f>
        <v>0.18251253024668343</v>
      </c>
      <c r="U625">
        <f xml:space="preserve"> 1.667/I625 + R625/A625 * Performance!$E$12 + Performance!$E$23 / Constraints!R625 * Constraints!A625</f>
        <v>0.17096051471919316</v>
      </c>
    </row>
    <row r="626" spans="1:21" x14ac:dyDescent="0.3">
      <c r="A626" s="51">
        <v>312</v>
      </c>
      <c r="B626" s="50">
        <f>$V$4*Performance!$E$12*(1/A626)+Performance!$E$23*(1/Constraints!$V$4)*Constraints!A626</f>
        <v>0.10338371681600243</v>
      </c>
      <c r="C626" s="50">
        <f>$V$5*Performance!$E$12*(1/A626)+Performance!$E$23*(1/Constraints!$V$5)*Constraints!A626</f>
        <v>0.15001492120770388</v>
      </c>
      <c r="D626" s="52">
        <f t="shared" si="38"/>
        <v>0.41848128446621247</v>
      </c>
      <c r="E626" s="52">
        <f>$V$4*Performance!$E$12*(1/A626)+Performance!$E$23*(1/Constraints!$V$9)*Constraints!A626</f>
        <v>0.10197467484323348</v>
      </c>
      <c r="F626" s="52">
        <f xml:space="preserve"> 1.21 / (9.81 * Constraints!$N$7 * Performance!$E$15 * Constraints!$N$5 ) * Constraints!A626 + 0.605 /Performance!$E$15 * (Performance!$E$16  - Constraints!$N$6 * Performance!$E$14) + Constraints!$N$6</f>
        <v>0.41830808743821429</v>
      </c>
      <c r="G626" s="54" t="s">
        <v>198</v>
      </c>
      <c r="H626" s="55">
        <f>SQRT(2/$V$3 * A626 * SQRT(Performance!$E$23 / (3 * Performance!$E$12)))</f>
        <v>21.779985242620931</v>
      </c>
      <c r="I626" s="55">
        <f>SQRT(2/$V$3 * A626 * (SQRT(Performance!$E$23)/(SQRT(3*Performance!$E$12 + 4* Performance!$E$23 * Performance!$E$11^2) - SQRT(Performance!$E$23)*Performance!$E$11)))</f>
        <v>22.911129613683276</v>
      </c>
      <c r="J626" t="e">
        <f xml:space="preserve"> $AC$3/G626 + $AC$6/A626 * Performance!$E$12 + Performance!$E$23/Constraints!$AC$6 * Constraints!A626</f>
        <v>#VALUE!</v>
      </c>
      <c r="K626">
        <f xml:space="preserve"> $AC$3/H626 + $AC$6/A626 * Performance!$E$12 + Performance!$E$23/Constraints!$AC$6 * Constraints!A626</f>
        <v>1.2367384735225491</v>
      </c>
      <c r="L626">
        <f xml:space="preserve"> $AC$3/I626 + $AC$6/A626 * Performance!$E$12 + Performance!$E$23/Constraints!$AC$6 * Constraints!A626</f>
        <v>1.2252231096018082</v>
      </c>
      <c r="M626">
        <f>SIN($AC$9 * PI()/180) + 1/Performance!$AE$5</f>
        <v>0.24073077270730886</v>
      </c>
      <c r="N626">
        <f>SIN($AC$9 * PI()/180) + 1/Performance!$AE$8</f>
        <v>0.22738716112204788</v>
      </c>
      <c r="O626" s="60">
        <f>$AC$16 * (Performance!$E$12/Constraints!A626 + Performance!$E$23 * (Constraints!$AC$13/Constraints!$AC$17)^2 * Constraints!A626)</f>
        <v>2.1983763776948123E-4</v>
      </c>
      <c r="P626" t="e">
        <f t="shared" si="39"/>
        <v>#VALUE!</v>
      </c>
      <c r="Q626">
        <f t="shared" si="40"/>
        <v>124.55414526263547</v>
      </c>
      <c r="R626">
        <f t="shared" si="41"/>
        <v>137.82754735629152</v>
      </c>
      <c r="S626" t="e">
        <f xml:space="preserve"> 1.667/G626 + P626/A626 * Performance!$E$12 + Performance!$E$23 / Constraints!P626 * Constraints!A626</f>
        <v>#VALUE!</v>
      </c>
      <c r="T626">
        <f xml:space="preserve"> 1.667/H626 + Q626/A626 * Performance!$E$12 + Performance!$E$23 / Constraints!Q626 * Constraints!A626</f>
        <v>0.18245112778176087</v>
      </c>
      <c r="U626">
        <f xml:space="preserve"> 1.667/I626 + R626/A626 * Performance!$E$12 + Performance!$E$23 / Constraints!R626 * Constraints!A626</f>
        <v>0.17090214375266194</v>
      </c>
    </row>
    <row r="627" spans="1:21" x14ac:dyDescent="0.3">
      <c r="A627" s="51">
        <v>312.5</v>
      </c>
      <c r="B627" s="50">
        <f>$V$4*Performance!$E$12*(1/A627)+Performance!$E$23*(1/Constraints!$V$4)*Constraints!A627</f>
        <v>0.10325788515682469</v>
      </c>
      <c r="C627" s="50">
        <f>$V$5*Performance!$E$12*(1/A627)+Performance!$E$23*(1/Constraints!$V$5)*Constraints!A627</f>
        <v>0.14980025273540909</v>
      </c>
      <c r="D627" s="52">
        <f t="shared" si="38"/>
        <v>0.41875357017849801</v>
      </c>
      <c r="E627" s="52">
        <f>$V$4*Performance!$E$12*(1/A627)+Performance!$E$23*(1/Constraints!$V$9)*Constraints!A627</f>
        <v>0.10184658510397117</v>
      </c>
      <c r="F627" s="52">
        <f xml:space="preserve"> 1.21 / (9.81 * Constraints!$N$7 * Performance!$E$15 * Constraints!$N$5 ) * Constraints!A627 + 0.605 /Performance!$E$15 * (Performance!$E$16  - Constraints!$N$6 * Performance!$E$14) + Constraints!$N$6</f>
        <v>0.41858009559116016</v>
      </c>
      <c r="G627" s="54" t="s">
        <v>198</v>
      </c>
      <c r="H627" s="55">
        <f>SQRT(2/$V$3 * A627 * SQRT(Performance!$E$23 / (3 * Performance!$E$12)))</f>
        <v>21.797430167518328</v>
      </c>
      <c r="I627" s="55">
        <f>SQRT(2/$V$3 * A627 * (SQRT(Performance!$E$23)/(SQRT(3*Performance!$E$12 + 4* Performance!$E$23 * Performance!$E$11^2) - SQRT(Performance!$E$23)*Performance!$E$11)))</f>
        <v>22.929480541426013</v>
      </c>
      <c r="J627" t="e">
        <f xml:space="preserve"> $AC$3/G627 + $AC$6/A627 * Performance!$E$12 + Performance!$E$23/Constraints!$AC$6 * Constraints!A627</f>
        <v>#VALUE!</v>
      </c>
      <c r="K627">
        <f xml:space="preserve"> $AC$3/H627 + $AC$6/A627 * Performance!$E$12 + Performance!$E$23/Constraints!$AC$6 * Constraints!A627</f>
        <v>1.2381563790486703</v>
      </c>
      <c r="L627">
        <f xml:space="preserve"> $AC$3/I627 + $AC$6/A627 * Performance!$E$12 + Performance!$E$23/Constraints!$AC$6 * Constraints!A627</f>
        <v>1.2266502311069336</v>
      </c>
      <c r="M627">
        <f>SIN($AC$9 * PI()/180) + 1/Performance!$AE$5</f>
        <v>0.24073077270730886</v>
      </c>
      <c r="N627">
        <f>SIN($AC$9 * PI()/180) + 1/Performance!$AE$8</f>
        <v>0.22738716112204788</v>
      </c>
      <c r="O627" s="60">
        <f>$AC$16 * (Performance!$E$12/Constraints!A627 + Performance!$E$23 * (Constraints!$AC$13/Constraints!$AC$17)^2 * Constraints!A627)</f>
        <v>2.1993770667635992E-4</v>
      </c>
      <c r="P627" t="e">
        <f t="shared" si="39"/>
        <v>#VALUE!</v>
      </c>
      <c r="Q627">
        <f t="shared" si="40"/>
        <v>124.75375126465892</v>
      </c>
      <c r="R627">
        <f t="shared" si="41"/>
        <v>138.0484248360292</v>
      </c>
      <c r="S627" t="e">
        <f xml:space="preserve"> 1.667/G627 + P627/A627 * Performance!$E$12 + Performance!$E$23 / Constraints!P627 * Constraints!A627</f>
        <v>#VALUE!</v>
      </c>
      <c r="T627">
        <f xml:space="preserve"> 1.667/H627 + Q627/A627 * Performance!$E$12 + Performance!$E$23 / Constraints!Q627 * Constraints!A627</f>
        <v>0.18238987274176349</v>
      </c>
      <c r="U627">
        <f xml:space="preserve"> 1.667/I627 + R627/A627 * Performance!$E$12 + Performance!$E$23 / Constraints!R627 * Constraints!A627</f>
        <v>0.1708439129325463</v>
      </c>
    </row>
    <row r="628" spans="1:21" x14ac:dyDescent="0.3">
      <c r="A628" s="51">
        <v>313</v>
      </c>
      <c r="B628" s="50">
        <f>$V$4*Performance!$E$12*(1/A628)+Performance!$E$23*(1/Constraints!$V$4)*Constraints!A628</f>
        <v>0.10313251879684381</v>
      </c>
      <c r="C628" s="50">
        <f>$V$5*Performance!$E$12*(1/A628)+Performance!$E$23*(1/Constraints!$V$5)*Constraints!A628</f>
        <v>0.1495863106411443</v>
      </c>
      <c r="D628" s="52">
        <f t="shared" si="38"/>
        <v>0.41902585589078362</v>
      </c>
      <c r="E628" s="52">
        <f>$V$4*Performance!$E$12*(1/A628)+Performance!$E$23*(1/Constraints!$V$9)*Constraints!A628</f>
        <v>0.10171896066390573</v>
      </c>
      <c r="F628" s="52">
        <f xml:space="preserve"> 1.21 / (9.81 * Constraints!$N$7 * Performance!$E$15 * Constraints!$N$5 ) * Constraints!A628 + 0.605 /Performance!$E$15 * (Performance!$E$16  - Constraints!$N$6 * Performance!$E$14) + Constraints!$N$6</f>
        <v>0.41885210374410597</v>
      </c>
      <c r="G628" s="54" t="s">
        <v>198</v>
      </c>
      <c r="H628" s="55">
        <f>SQRT(2/$V$3 * A628 * SQRT(Performance!$E$23 / (3 * Performance!$E$12)))</f>
        <v>21.814861142049256</v>
      </c>
      <c r="I628" s="55">
        <f>SQRT(2/$V$3 * A628 * (SQRT(Performance!$E$23)/(SQRT(3*Performance!$E$12 + 4* Performance!$E$23 * Performance!$E$11^2) - SQRT(Performance!$E$23)*Performance!$E$11)))</f>
        <v>22.947816794289466</v>
      </c>
      <c r="J628" t="e">
        <f xml:space="preserve"> $AC$3/G628 + $AC$6/A628 * Performance!$E$12 + Performance!$E$23/Constraints!$AC$6 * Constraints!A628</f>
        <v>#VALUE!</v>
      </c>
      <c r="K628">
        <f xml:space="preserve"> $AC$3/H628 + $AC$6/A628 * Performance!$E$12 + Performance!$E$23/Constraints!$AC$6 * Constraints!A628</f>
        <v>1.2395747377784905</v>
      </c>
      <c r="L628">
        <f xml:space="preserve"> $AC$3/I628 + $AC$6/A628 * Performance!$E$12 + Performance!$E$23/Constraints!$AC$6 * Constraints!A628</f>
        <v>1.2280777837239123</v>
      </c>
      <c r="M628">
        <f>SIN($AC$9 * PI()/180) + 1/Performance!$AE$5</f>
        <v>0.24073077270730886</v>
      </c>
      <c r="N628">
        <f>SIN($AC$9 * PI()/180) + 1/Performance!$AE$8</f>
        <v>0.22738716112204788</v>
      </c>
      <c r="O628" s="60">
        <f>$AC$16 * (Performance!$E$12/Constraints!A628 + Performance!$E$23 * (Constraints!$AC$13/Constraints!$AC$17)^2 * Constraints!A628)</f>
        <v>2.200381781919451E-4</v>
      </c>
      <c r="P628" t="e">
        <f t="shared" si="39"/>
        <v>#VALUE!</v>
      </c>
      <c r="Q628">
        <f t="shared" si="40"/>
        <v>124.95335726668236</v>
      </c>
      <c r="R628">
        <f t="shared" si="41"/>
        <v>138.26930231576685</v>
      </c>
      <c r="S628" t="e">
        <f xml:space="preserve"> 1.667/G628 + P628/A628 * Performance!$E$12 + Performance!$E$23 / Constraints!P628 * Constraints!A628</f>
        <v>#VALUE!</v>
      </c>
      <c r="T628">
        <f xml:space="preserve"> 1.667/H628 + Q628/A628 * Performance!$E$12 + Performance!$E$23 / Constraints!Q628 * Constraints!A628</f>
        <v>0.18232876453769814</v>
      </c>
      <c r="U628">
        <f xml:space="preserve"> 1.667/I628 + R628/A628 * Performance!$E$12 + Performance!$E$23 / Constraints!R628 * Constraints!A628</f>
        <v>0.17078582169893242</v>
      </c>
    </row>
    <row r="629" spans="1:21" x14ac:dyDescent="0.3">
      <c r="A629" s="51">
        <v>313.5</v>
      </c>
      <c r="B629" s="50">
        <f>$V$4*Performance!$E$12*(1/A629)+Performance!$E$23*(1/Constraints!$V$4)*Constraints!A629</f>
        <v>0.10300761550974792</v>
      </c>
      <c r="C629" s="50">
        <f>$V$5*Performance!$E$12*(1/A629)+Performance!$E$23*(1/Constraints!$V$5)*Constraints!A629</f>
        <v>0.14937309144941655</v>
      </c>
      <c r="D629" s="52">
        <f t="shared" si="38"/>
        <v>0.41929814160306922</v>
      </c>
      <c r="E629" s="52">
        <f>$V$4*Performance!$E$12*(1/A629)+Performance!$E$23*(1/Constraints!$V$9)*Constraints!A629</f>
        <v>0.10159179929672528</v>
      </c>
      <c r="F629" s="52">
        <f xml:space="preserve"> 1.21 / (9.81 * Constraints!$N$7 * Performance!$E$15 * Constraints!$N$5 ) * Constraints!A629 + 0.605 /Performance!$E$15 * (Performance!$E$16  - Constraints!$N$6 * Performance!$E$14) + Constraints!$N$6</f>
        <v>0.41912411189705184</v>
      </c>
      <c r="G629" s="54" t="s">
        <v>198</v>
      </c>
      <c r="H629" s="55">
        <f>SQRT(2/$V$3 * A629 * SQRT(Performance!$E$23 / (3 * Performance!$E$12)))</f>
        <v>21.832278199627797</v>
      </c>
      <c r="I629" s="55">
        <f>SQRT(2/$V$3 * A629 * (SQRT(Performance!$E$23)/(SQRT(3*Performance!$E$12 + 4* Performance!$E$23 * Performance!$E$11^2) - SQRT(Performance!$E$23)*Performance!$E$11)))</f>
        <v>22.96613840742307</v>
      </c>
      <c r="J629" t="e">
        <f xml:space="preserve"> $AC$3/G629 + $AC$6/A629 * Performance!$E$12 + Performance!$E$23/Constraints!$AC$6 * Constraints!A629</f>
        <v>#VALUE!</v>
      </c>
      <c r="K629">
        <f xml:space="preserve"> $AC$3/H629 + $AC$6/A629 * Performance!$E$12 + Performance!$E$23/Constraints!$AC$6 * Constraints!A629</f>
        <v>1.240993547899689</v>
      </c>
      <c r="L629">
        <f xml:space="preserve"> $AC$3/I629 + $AC$6/A629 * Performance!$E$12 + Performance!$E$23/Constraints!$AC$6 * Constraints!A629</f>
        <v>1.2295057657285449</v>
      </c>
      <c r="M629">
        <f>SIN($AC$9 * PI()/180) + 1/Performance!$AE$5</f>
        <v>0.24073077270730886</v>
      </c>
      <c r="N629">
        <f>SIN($AC$9 * PI()/180) + 1/Performance!$AE$8</f>
        <v>0.22738716112204788</v>
      </c>
      <c r="O629" s="60">
        <f>$AC$16 * (Performance!$E$12/Constraints!A629 + Performance!$E$23 * (Constraints!$AC$13/Constraints!$AC$17)^2 * Constraints!A629)</f>
        <v>2.2013905038987925E-4</v>
      </c>
      <c r="P629" t="e">
        <f t="shared" si="39"/>
        <v>#VALUE!</v>
      </c>
      <c r="Q629">
        <f t="shared" si="40"/>
        <v>125.15296326870583</v>
      </c>
      <c r="R629">
        <f t="shared" si="41"/>
        <v>138.49017979550447</v>
      </c>
      <c r="S629" t="e">
        <f xml:space="preserve"> 1.667/G629 + P629/A629 * Performance!$E$12 + Performance!$E$23 / Constraints!P629 * Constraints!A629</f>
        <v>#VALUE!</v>
      </c>
      <c r="T629">
        <f xml:space="preserve"> 1.667/H629 + Q629/A629 * Performance!$E$12 + Performance!$E$23 / Constraints!Q629 * Constraints!A629</f>
        <v>0.18226780258386083</v>
      </c>
      <c r="U629">
        <f xml:space="preserve"> 1.667/I629 + R629/A629 * Performance!$E$12 + Performance!$E$23 / Constraints!R629 * Constraints!A629</f>
        <v>0.17072786949503305</v>
      </c>
    </row>
    <row r="630" spans="1:21" x14ac:dyDescent="0.3">
      <c r="A630" s="51">
        <v>314</v>
      </c>
      <c r="B630" s="50">
        <f>$V$4*Performance!$E$12*(1/A630)+Performance!$E$23*(1/Constraints!$V$4)*Constraints!A630</f>
        <v>0.10288317308340537</v>
      </c>
      <c r="C630" s="50">
        <f>$V$5*Performance!$E$12*(1/A630)+Performance!$E$23*(1/Constraints!$V$5)*Constraints!A630</f>
        <v>0.14916059170686977</v>
      </c>
      <c r="D630" s="52">
        <f t="shared" si="38"/>
        <v>0.41957042731535482</v>
      </c>
      <c r="E630" s="52">
        <f>$V$4*Performance!$E$12*(1/A630)+Performance!$E$23*(1/Constraints!$V$9)*Constraints!A630</f>
        <v>0.10146509879029816</v>
      </c>
      <c r="F630" s="52">
        <f xml:space="preserve"> 1.21 / (9.81 * Constraints!$N$7 * Performance!$E$15 * Constraints!$N$5 ) * Constraints!A630 + 0.605 /Performance!$E$15 * (Performance!$E$16  - Constraints!$N$6 * Performance!$E$14) + Constraints!$N$6</f>
        <v>0.41939612004999771</v>
      </c>
      <c r="G630" s="54" t="s">
        <v>198</v>
      </c>
      <c r="H630" s="55">
        <f>SQRT(2/$V$3 * A630 * SQRT(Performance!$E$23 / (3 * Performance!$E$12)))</f>
        <v>21.84968137353485</v>
      </c>
      <c r="I630" s="55">
        <f>SQRT(2/$V$3 * A630 * (SQRT(Performance!$E$23)/(SQRT(3*Performance!$E$12 + 4* Performance!$E$23 * Performance!$E$11^2) - SQRT(Performance!$E$23)*Performance!$E$11)))</f>
        <v>22.984445415836174</v>
      </c>
      <c r="J630" t="e">
        <f xml:space="preserve"> $AC$3/G630 + $AC$6/A630 * Performance!$E$12 + Performance!$E$23/Constraints!$AC$6 * Constraints!A630</f>
        <v>#VALUE!</v>
      </c>
      <c r="K630">
        <f xml:space="preserve"> $AC$3/H630 + $AC$6/A630 * Performance!$E$12 + Performance!$E$23/Constraints!$AC$6 * Constraints!A630</f>
        <v>1.2424128076100733</v>
      </c>
      <c r="L630">
        <f xml:space="preserve"> $AC$3/I630 + $AC$6/A630 * Performance!$E$12 + Performance!$E$23/Constraints!$AC$6 * Constraints!A630</f>
        <v>1.2309341754062679</v>
      </c>
      <c r="M630">
        <f>SIN($AC$9 * PI()/180) + 1/Performance!$AE$5</f>
        <v>0.24073077270730886</v>
      </c>
      <c r="N630">
        <f>SIN($AC$9 * PI()/180) + 1/Performance!$AE$8</f>
        <v>0.22738716112204788</v>
      </c>
      <c r="O630" s="60">
        <f>$AC$16 * (Performance!$E$12/Constraints!A630 + Performance!$E$23 * (Constraints!$AC$13/Constraints!$AC$17)^2 * Constraints!A630)</f>
        <v>2.2024032135607477E-4</v>
      </c>
      <c r="P630" t="e">
        <f t="shared" si="39"/>
        <v>#VALUE!</v>
      </c>
      <c r="Q630">
        <f t="shared" si="40"/>
        <v>125.35256927072929</v>
      </c>
      <c r="R630">
        <f t="shared" si="41"/>
        <v>138.71105727524215</v>
      </c>
      <c r="S630" t="e">
        <f xml:space="preserve"> 1.667/G630 + P630/A630 * Performance!$E$12 + Performance!$E$23 / Constraints!P630 * Constraints!A630</f>
        <v>#VALUE!</v>
      </c>
      <c r="T630">
        <f xml:space="preserve"> 1.667/H630 + Q630/A630 * Performance!$E$12 + Performance!$E$23 / Constraints!Q630 * Constraints!A630</f>
        <v>0.18220698629781318</v>
      </c>
      <c r="U630">
        <f xml:space="preserve"> 1.667/I630 + R630/A630 * Performance!$E$12 + Performance!$E$23 / Constraints!R630 * Constraints!A630</f>
        <v>0.17067005576716524</v>
      </c>
    </row>
    <row r="631" spans="1:21" x14ac:dyDescent="0.3">
      <c r="A631" s="51">
        <v>314.5</v>
      </c>
      <c r="B631" s="50">
        <f>$V$4*Performance!$E$12*(1/A631)+Performance!$E$23*(1/Constraints!$V$4)*Constraints!A631</f>
        <v>0.10275918931975217</v>
      </c>
      <c r="C631" s="50">
        <f>$V$5*Performance!$E$12*(1/A631)+Performance!$E$23*(1/Constraints!$V$5)*Constraints!A631</f>
        <v>0.14894880798210886</v>
      </c>
      <c r="D631" s="52">
        <f t="shared" si="38"/>
        <v>0.41984271302764042</v>
      </c>
      <c r="E631" s="52">
        <f>$V$4*Performance!$E$12*(1/A631)+Performance!$E$23*(1/Constraints!$V$9)*Constraints!A631</f>
        <v>0.10133885694656039</v>
      </c>
      <c r="F631" s="52">
        <f xml:space="preserve"> 1.21 / (9.81 * Constraints!$N$7 * Performance!$E$15 * Constraints!$N$5 ) * Constraints!A631 + 0.605 /Performance!$E$15 * (Performance!$E$16  - Constraints!$N$6 * Performance!$E$14) + Constraints!$N$6</f>
        <v>0.41966812820294358</v>
      </c>
      <c r="G631" s="54" t="s">
        <v>198</v>
      </c>
      <c r="H631" s="55">
        <f>SQRT(2/$V$3 * A631 * SQRT(Performance!$E$23 / (3 * Performance!$E$12)))</f>
        <v>21.867070696918876</v>
      </c>
      <c r="I631" s="55">
        <f>SQRT(2/$V$3 * A631 * (SQRT(Performance!$E$23)/(SQRT(3*Performance!$E$12 + 4* Performance!$E$23 * Performance!$E$11^2) - SQRT(Performance!$E$23)*Performance!$E$11)))</f>
        <v>23.002737854398809</v>
      </c>
      <c r="J631" t="e">
        <f xml:space="preserve"> $AC$3/G631 + $AC$6/A631 * Performance!$E$12 + Performance!$E$23/Constraints!$AC$6 * Constraints!A631</f>
        <v>#VALUE!</v>
      </c>
      <c r="K631">
        <f xml:space="preserve"> $AC$3/H631 + $AC$6/A631 * Performance!$E$12 + Performance!$E$23/Constraints!$AC$6 * Constraints!A631</f>
        <v>1.2438325151175031</v>
      </c>
      <c r="L631">
        <f xml:space="preserve"> $AC$3/I631 + $AC$6/A631 * Performance!$E$12 + Performance!$E$23/Constraints!$AC$6 * Constraints!A631</f>
        <v>1.2323630110520829</v>
      </c>
      <c r="M631">
        <f>SIN($AC$9 * PI()/180) + 1/Performance!$AE$5</f>
        <v>0.24073077270730886</v>
      </c>
      <c r="N631">
        <f>SIN($AC$9 * PI()/180) + 1/Performance!$AE$8</f>
        <v>0.22738716112204788</v>
      </c>
      <c r="O631" s="60">
        <f>$AC$16 * (Performance!$E$12/Constraints!A631 + Performance!$E$23 * (Constraints!$AC$13/Constraints!$AC$17)^2 * Constraints!A631)</f>
        <v>2.2034198918861628E-4</v>
      </c>
      <c r="P631" t="e">
        <f t="shared" si="39"/>
        <v>#VALUE!</v>
      </c>
      <c r="Q631">
        <f t="shared" si="40"/>
        <v>125.55217527275272</v>
      </c>
      <c r="R631">
        <f t="shared" si="41"/>
        <v>138.93193475497981</v>
      </c>
      <c r="S631" t="e">
        <f xml:space="preserve"> 1.667/G631 + P631/A631 * Performance!$E$12 + Performance!$E$23 / Constraints!P631 * Constraints!A631</f>
        <v>#VALUE!</v>
      </c>
      <c r="T631">
        <f xml:space="preserve"> 1.667/H631 + Q631/A631 * Performance!$E$12 + Performance!$E$23 / Constraints!Q631 * Constraints!A631</f>
        <v>0.182146315100359</v>
      </c>
      <c r="U631">
        <f xml:space="preserve"> 1.667/I631 + R631/A631 * Performance!$E$12 + Performance!$E$23 / Constraints!R631 * Constraints!A631</f>
        <v>0.17061237996472833</v>
      </c>
    </row>
    <row r="632" spans="1:21" x14ac:dyDescent="0.3">
      <c r="A632" s="51">
        <v>315</v>
      </c>
      <c r="B632" s="50">
        <f>$V$4*Performance!$E$12*(1/A632)+Performance!$E$23*(1/Constraints!$V$4)*Constraints!A632</f>
        <v>0.10263566203468028</v>
      </c>
      <c r="C632" s="50">
        <f>$V$5*Performance!$E$12*(1/A632)+Performance!$E$23*(1/Constraints!$V$5)*Constraints!A632</f>
        <v>0.14873773686552522</v>
      </c>
      <c r="D632" s="52">
        <f t="shared" si="38"/>
        <v>0.42011499873992603</v>
      </c>
      <c r="E632" s="52">
        <f>$V$4*Performance!$E$12*(1/A632)+Performance!$E$23*(1/Constraints!$V$9)*Constraints!A632</f>
        <v>0.10121307158140393</v>
      </c>
      <c r="F632" s="52">
        <f xml:space="preserve"> 1.21 / (9.81 * Constraints!$N$7 * Performance!$E$15 * Constraints!$N$5 ) * Constraints!A632 + 0.605 /Performance!$E$15 * (Performance!$E$16  - Constraints!$N$6 * Performance!$E$14) + Constraints!$N$6</f>
        <v>0.41994013635588945</v>
      </c>
      <c r="G632" s="54" t="s">
        <v>198</v>
      </c>
      <c r="H632" s="55">
        <f>SQRT(2/$V$3 * A632 * SQRT(Performance!$E$23 / (3 * Performance!$E$12)))</f>
        <v>21.884446202796653</v>
      </c>
      <c r="I632" s="55">
        <f>SQRT(2/$V$3 * A632 * (SQRT(Performance!$E$23)/(SQRT(3*Performance!$E$12 + 4* Performance!$E$23 * Performance!$E$11^2) - SQRT(Performance!$E$23)*Performance!$E$11)))</f>
        <v>23.02101575784247</v>
      </c>
      <c r="J632" t="e">
        <f xml:space="preserve"> $AC$3/G632 + $AC$6/A632 * Performance!$E$12 + Performance!$E$23/Constraints!$AC$6 * Constraints!A632</f>
        <v>#VALUE!</v>
      </c>
      <c r="K632">
        <f xml:space="preserve"> $AC$3/H632 + $AC$6/A632 * Performance!$E$12 + Performance!$E$23/Constraints!$AC$6 * Constraints!A632</f>
        <v>1.2452526686398204</v>
      </c>
      <c r="L632">
        <f xml:space="preserve"> $AC$3/I632 + $AC$6/A632 * Performance!$E$12 + Performance!$E$23/Constraints!$AC$6 * Constraints!A632</f>
        <v>1.2337922709704889</v>
      </c>
      <c r="M632">
        <f>SIN($AC$9 * PI()/180) + 1/Performance!$AE$5</f>
        <v>0.24073077270730886</v>
      </c>
      <c r="N632">
        <f>SIN($AC$9 * PI()/180) + 1/Performance!$AE$8</f>
        <v>0.22738716112204788</v>
      </c>
      <c r="O632" s="60">
        <f>$AC$16 * (Performance!$E$12/Constraints!A632 + Performance!$E$23 * (Constraints!$AC$13/Constraints!$AC$17)^2 * Constraints!A632)</f>
        <v>2.2044405199766397E-4</v>
      </c>
      <c r="P632" t="e">
        <f t="shared" si="39"/>
        <v>#VALUE!</v>
      </c>
      <c r="Q632">
        <f t="shared" si="40"/>
        <v>125.75178127477621</v>
      </c>
      <c r="R632">
        <f t="shared" si="41"/>
        <v>139.15281223471746</v>
      </c>
      <c r="S632" t="e">
        <f xml:space="preserve"> 1.667/G632 + P632/A632 * Performance!$E$12 + Performance!$E$23 / Constraints!P632 * Constraints!A632</f>
        <v>#VALUE!</v>
      </c>
      <c r="T632">
        <f xml:space="preserve"> 1.667/H632 + Q632/A632 * Performance!$E$12 + Performance!$E$23 / Constraints!Q632 * Constraints!A632</f>
        <v>0.18208578841552112</v>
      </c>
      <c r="U632">
        <f xml:space="preserve"> 1.667/I632 + R632/A632 * Performance!$E$12 + Performance!$E$23 / Constraints!R632 * Constraints!A632</f>
        <v>0.17055484154018177</v>
      </c>
    </row>
    <row r="633" spans="1:21" x14ac:dyDescent="0.3">
      <c r="A633" s="51">
        <v>315.5</v>
      </c>
      <c r="B633" s="50">
        <f>$V$4*Performance!$E$12*(1/A633)+Performance!$E$23*(1/Constraints!$V$4)*Constraints!A633</f>
        <v>0.10251258905792698</v>
      </c>
      <c r="C633" s="50">
        <f>$V$5*Performance!$E$12*(1/A633)+Performance!$E$23*(1/Constraints!$V$5)*Constraints!A633</f>
        <v>0.14852737496912446</v>
      </c>
      <c r="D633" s="52">
        <f t="shared" si="38"/>
        <v>0.42038728445221163</v>
      </c>
      <c r="E633" s="52">
        <f>$V$4*Performance!$E$12*(1/A633)+Performance!$E$23*(1/Constraints!$V$9)*Constraints!A633</f>
        <v>0.10108774052456608</v>
      </c>
      <c r="F633" s="52">
        <f xml:space="preserve"> 1.21 / (9.81 * Constraints!$N$7 * Performance!$E$15 * Constraints!$N$5 ) * Constraints!A633 + 0.605 /Performance!$E$15 * (Performance!$E$16  - Constraints!$N$6 * Performance!$E$14) + Constraints!$N$6</f>
        <v>0.42021214450883526</v>
      </c>
      <c r="G633" s="54" t="s">
        <v>198</v>
      </c>
      <c r="H633" s="55">
        <f>SQRT(2/$V$3 * A633 * SQRT(Performance!$E$23 / (3 * Performance!$E$12)))</f>
        <v>21.901807924053973</v>
      </c>
      <c r="I633" s="55">
        <f>SQRT(2/$V$3 * A633 * (SQRT(Performance!$E$23)/(SQRT(3*Performance!$E$12 + 4* Performance!$E$23 * Performance!$E$11^2) - SQRT(Performance!$E$23)*Performance!$E$11)))</f>
        <v>23.039279160760884</v>
      </c>
      <c r="J633" t="e">
        <f xml:space="preserve"> $AC$3/G633 + $AC$6/A633 * Performance!$E$12 + Performance!$E$23/Constraints!$AC$6 * Constraints!A633</f>
        <v>#VALUE!</v>
      </c>
      <c r="K633">
        <f xml:space="preserve"> $AC$3/H633 + $AC$6/A633 * Performance!$E$12 + Performance!$E$23/Constraints!$AC$6 * Constraints!A633</f>
        <v>1.2466732664047777</v>
      </c>
      <c r="L633">
        <f xml:space="preserve"> $AC$3/I633 + $AC$6/A633 * Performance!$E$12 + Performance!$E$23/Constraints!$AC$6 * Constraints!A633</f>
        <v>1.235221953475415</v>
      </c>
      <c r="M633">
        <f>SIN($AC$9 * PI()/180) + 1/Performance!$AE$5</f>
        <v>0.24073077270730886</v>
      </c>
      <c r="N633">
        <f>SIN($AC$9 * PI()/180) + 1/Performance!$AE$8</f>
        <v>0.22738716112204788</v>
      </c>
      <c r="O633" s="60">
        <f>$AC$16 * (Performance!$E$12/Constraints!A633 + Performance!$E$23 * (Constraints!$AC$13/Constraints!$AC$17)^2 * Constraints!A633)</f>
        <v>2.2054650790535814E-4</v>
      </c>
      <c r="P633" t="e">
        <f t="shared" si="39"/>
        <v>#VALUE!</v>
      </c>
      <c r="Q633">
        <f t="shared" si="40"/>
        <v>125.95138727679966</v>
      </c>
      <c r="R633">
        <f t="shared" si="41"/>
        <v>139.37368971445508</v>
      </c>
      <c r="S633" t="e">
        <f xml:space="preserve"> 1.667/G633 + P633/A633 * Performance!$E$12 + Performance!$E$23 / Constraints!P633 * Constraints!A633</f>
        <v>#VALUE!</v>
      </c>
      <c r="T633">
        <f xml:space="preserve"> 1.667/H633 + Q633/A633 * Performance!$E$12 + Performance!$E$23 / Constraints!Q633 * Constraints!A633</f>
        <v>0.18202540567051845</v>
      </c>
      <c r="U633">
        <f xml:space="preserve"> 1.667/I633 + R633/A633 * Performance!$E$12 + Performance!$E$23 / Constraints!R633 * Constraints!A633</f>
        <v>0.17049743994902317</v>
      </c>
    </row>
    <row r="634" spans="1:21" x14ac:dyDescent="0.3">
      <c r="A634" s="51">
        <v>316</v>
      </c>
      <c r="B634" s="50">
        <f>$V$4*Performance!$E$12*(1/A634)+Performance!$E$23*(1/Constraints!$V$4)*Constraints!A634</f>
        <v>0.10238996823296551</v>
      </c>
      <c r="C634" s="50">
        <f>$V$5*Performance!$E$12*(1/A634)+Performance!$E$23*(1/Constraints!$V$5)*Constraints!A634</f>
        <v>0.14831771892635501</v>
      </c>
      <c r="D634" s="52">
        <f t="shared" si="38"/>
        <v>0.42065957016449718</v>
      </c>
      <c r="E634" s="52">
        <f>$V$4*Performance!$E$12*(1/A634)+Performance!$E$23*(1/Constraints!$V$9)*Constraints!A634</f>
        <v>0.10096286161952003</v>
      </c>
      <c r="F634" s="52">
        <f xml:space="preserve"> 1.21 / (9.81 * Constraints!$N$7 * Performance!$E$15 * Constraints!$N$5 ) * Constraints!A634 + 0.605 /Performance!$E$15 * (Performance!$E$16  - Constraints!$N$6 * Performance!$E$14) + Constraints!$N$6</f>
        <v>0.42048415266178113</v>
      </c>
      <c r="G634" s="54" t="s">
        <v>198</v>
      </c>
      <c r="H634" s="55">
        <f>SQRT(2/$V$3 * A634 * SQRT(Performance!$E$23 / (3 * Performance!$E$12)))</f>
        <v>21.919155893446394</v>
      </c>
      <c r="I634" s="55">
        <f>SQRT(2/$V$3 * A634 * (SQRT(Performance!$E$23)/(SQRT(3*Performance!$E$12 + 4* Performance!$E$23 * Performance!$E$11^2) - SQRT(Performance!$E$23)*Performance!$E$11)))</f>
        <v>23.057528097610767</v>
      </c>
      <c r="J634" t="e">
        <f xml:space="preserve"> $AC$3/G634 + $AC$6/A634 * Performance!$E$12 + Performance!$E$23/Constraints!$AC$6 * Constraints!A634</f>
        <v>#VALUE!</v>
      </c>
      <c r="K634">
        <f xml:space="preserve"> $AC$3/H634 + $AC$6/A634 * Performance!$E$12 + Performance!$E$23/Constraints!$AC$6 * Constraints!A634</f>
        <v>1.2480943066499672</v>
      </c>
      <c r="L634">
        <f xml:space="preserve"> $AC$3/I634 + $AC$6/A634 * Performance!$E$12 + Performance!$E$23/Constraints!$AC$6 * Constraints!A634</f>
        <v>1.236652056890152</v>
      </c>
      <c r="M634">
        <f>SIN($AC$9 * PI()/180) + 1/Performance!$AE$5</f>
        <v>0.24073077270730886</v>
      </c>
      <c r="N634">
        <f>SIN($AC$9 * PI()/180) + 1/Performance!$AE$8</f>
        <v>0.22738716112204788</v>
      </c>
      <c r="O634" s="60">
        <f>$AC$16 * (Performance!$E$12/Constraints!A634 + Performance!$E$23 * (Constraints!$AC$13/Constraints!$AC$17)^2 * Constraints!A634)</f>
        <v>2.2064935504572414E-4</v>
      </c>
      <c r="P634" t="e">
        <f t="shared" si="39"/>
        <v>#VALUE!</v>
      </c>
      <c r="Q634">
        <f t="shared" si="40"/>
        <v>126.15099327882308</v>
      </c>
      <c r="R634">
        <f t="shared" si="41"/>
        <v>139.59456719419268</v>
      </c>
      <c r="S634" t="e">
        <f xml:space="preserve"> 1.667/G634 + P634/A634 * Performance!$E$12 + Performance!$E$23 / Constraints!P634 * Constraints!A634</f>
        <v>#VALUE!</v>
      </c>
      <c r="T634">
        <f xml:space="preserve"> 1.667/H634 + Q634/A634 * Performance!$E$12 + Performance!$E$23 / Constraints!Q634 * Constraints!A634</f>
        <v>0.18196516629574322</v>
      </c>
      <c r="U634">
        <f xml:space="preserve"> 1.667/I634 + R634/A634 * Performance!$E$12 + Performance!$E$23 / Constraints!R634 * Constraints!A634</f>
        <v>0.1704401746497668</v>
      </c>
    </row>
    <row r="635" spans="1:21" x14ac:dyDescent="0.3">
      <c r="A635" s="51">
        <v>316.5</v>
      </c>
      <c r="B635" s="50">
        <f>$V$4*Performance!$E$12*(1/A635)+Performance!$E$23*(1/Constraints!$V$4)*Constraints!A635</f>
        <v>0.10226779741689633</v>
      </c>
      <c r="C635" s="50">
        <f>$V$5*Performance!$E$12*(1/A635)+Performance!$E$23*(1/Constraints!$V$5)*Constraints!A635</f>
        <v>0.14810876539193904</v>
      </c>
      <c r="D635" s="52">
        <f t="shared" si="38"/>
        <v>0.42093185587678283</v>
      </c>
      <c r="E635" s="52">
        <f>$V$4*Performance!$E$12*(1/A635)+Performance!$E$23*(1/Constraints!$V$9)*Constraints!A635</f>
        <v>0.1008384327233663</v>
      </c>
      <c r="F635" s="52">
        <f xml:space="preserve"> 1.21 / (9.81 * Constraints!$N$7 * Performance!$E$15 * Constraints!$N$5 ) * Constraints!A635 + 0.605 /Performance!$E$15 * (Performance!$E$16  - Constraints!$N$6 * Performance!$E$14) + Constraints!$N$6</f>
        <v>0.420756160814727</v>
      </c>
      <c r="G635" s="54" t="s">
        <v>198</v>
      </c>
      <c r="H635" s="55">
        <f>SQRT(2/$V$3 * A635 * SQRT(Performance!$E$23 / (3 * Performance!$E$12)))</f>
        <v>21.936490143599965</v>
      </c>
      <c r="I635" s="55">
        <f>SQRT(2/$V$3 * A635 * (SQRT(Performance!$E$23)/(SQRT(3*Performance!$E$12 + 4* Performance!$E$23 * Performance!$E$11^2) - SQRT(Performance!$E$23)*Performance!$E$11)))</f>
        <v>23.075762602712604</v>
      </c>
      <c r="J635" t="e">
        <f xml:space="preserve"> $AC$3/G635 + $AC$6/A635 * Performance!$E$12 + Performance!$E$23/Constraints!$AC$6 * Constraints!A635</f>
        <v>#VALUE!</v>
      </c>
      <c r="K635">
        <f xml:space="preserve"> $AC$3/H635 + $AC$6/A635 * Performance!$E$12 + Performance!$E$23/Constraints!$AC$6 * Constraints!A635</f>
        <v>1.2495157876227505</v>
      </c>
      <c r="L635">
        <f xml:space="preserve"> $AC$3/I635 + $AC$6/A635 * Performance!$E$12 + Performance!$E$23/Constraints!$AC$6 * Constraints!A635</f>
        <v>1.2380825795472865</v>
      </c>
      <c r="M635">
        <f>SIN($AC$9 * PI()/180) + 1/Performance!$AE$5</f>
        <v>0.24073077270730886</v>
      </c>
      <c r="N635">
        <f>SIN($AC$9 * PI()/180) + 1/Performance!$AE$8</f>
        <v>0.22738716112204788</v>
      </c>
      <c r="O635" s="60">
        <f>$AC$16 * (Performance!$E$12/Constraints!A635 + Performance!$E$23 * (Constraints!$AC$13/Constraints!$AC$17)^2 * Constraints!A635)</f>
        <v>2.2075259156457874E-4</v>
      </c>
      <c r="P635" t="e">
        <f t="shared" si="39"/>
        <v>#VALUE!</v>
      </c>
      <c r="Q635">
        <f t="shared" si="40"/>
        <v>126.35059928084655</v>
      </c>
      <c r="R635">
        <f t="shared" si="41"/>
        <v>139.81544467393039</v>
      </c>
      <c r="S635" t="e">
        <f xml:space="preserve"> 1.667/G635 + P635/A635 * Performance!$E$12 + Performance!$E$23 / Constraints!P635 * Constraints!A635</f>
        <v>#VALUE!</v>
      </c>
      <c r="T635">
        <f xml:space="preserve"> 1.667/H635 + Q635/A635 * Performance!$E$12 + Performance!$E$23 / Constraints!Q635 * Constraints!A635</f>
        <v>0.1819050697247383</v>
      </c>
      <c r="U635">
        <f xml:space="preserve"> 1.667/I635 + R635/A635 * Performance!$E$12 + Performance!$E$23 / Constraints!R635 * Constraints!A635</f>
        <v>0.17038304510392205</v>
      </c>
    </row>
    <row r="636" spans="1:21" x14ac:dyDescent="0.3">
      <c r="A636" s="51">
        <v>317</v>
      </c>
      <c r="B636" s="50">
        <f>$V$4*Performance!$E$12*(1/A636)+Performance!$E$23*(1/Constraints!$V$4)*Constraints!A636</f>
        <v>0.10214607448033987</v>
      </c>
      <c r="C636" s="50">
        <f>$V$5*Performance!$E$12*(1/A636)+Performance!$E$23*(1/Constraints!$V$5)*Constraints!A636</f>
        <v>0.14790051104170451</v>
      </c>
      <c r="D636" s="52">
        <f t="shared" si="38"/>
        <v>0.42120414158906838</v>
      </c>
      <c r="E636" s="52">
        <f>$V$4*Performance!$E$12*(1/A636)+Performance!$E$23*(1/Constraints!$V$9)*Constraints!A636</f>
        <v>0.10071445170672527</v>
      </c>
      <c r="F636" s="52">
        <f xml:space="preserve"> 1.21 / (9.81 * Constraints!$N$7 * Performance!$E$15 * Constraints!$N$5 ) * Constraints!A636 + 0.605 /Performance!$E$15 * (Performance!$E$16  - Constraints!$N$6 * Performance!$E$14) + Constraints!$N$6</f>
        <v>0.42102816896767281</v>
      </c>
      <c r="G636" s="54" t="s">
        <v>198</v>
      </c>
      <c r="H636" s="55">
        <f>SQRT(2/$V$3 * A636 * SQRT(Performance!$E$23 / (3 * Performance!$E$12)))</f>
        <v>21.953810707011915</v>
      </c>
      <c r="I636" s="55">
        <f>SQRT(2/$V$3 * A636 * (SQRT(Performance!$E$23)/(SQRT(3*Performance!$E$12 + 4* Performance!$E$23 * Performance!$E$11^2) - SQRT(Performance!$E$23)*Performance!$E$11)))</f>
        <v>23.093982710251364</v>
      </c>
      <c r="J636" t="e">
        <f xml:space="preserve"> $AC$3/G636 + $AC$6/A636 * Performance!$E$12 + Performance!$E$23/Constraints!$AC$6 * Constraints!A636</f>
        <v>#VALUE!</v>
      </c>
      <c r="K636">
        <f xml:space="preserve"> $AC$3/H636 + $AC$6/A636 * Performance!$E$12 + Performance!$E$23/Constraints!$AC$6 * Constraints!A636</f>
        <v>1.2509377075801889</v>
      </c>
      <c r="L636">
        <f xml:space="preserve"> $AC$3/I636 + $AC$6/A636 * Performance!$E$12 + Performance!$E$23/Constraints!$AC$6 * Constraints!A636</f>
        <v>1.2395135197886344</v>
      </c>
      <c r="M636">
        <f>SIN($AC$9 * PI()/180) + 1/Performance!$AE$5</f>
        <v>0.24073077270730886</v>
      </c>
      <c r="N636">
        <f>SIN($AC$9 * PI()/180) + 1/Performance!$AE$8</f>
        <v>0.22738716112204788</v>
      </c>
      <c r="O636" s="60">
        <f>$AC$16 * (Performance!$E$12/Constraints!A636 + Performance!$E$23 * (Constraints!$AC$13/Constraints!$AC$17)^2 * Constraints!A636)</f>
        <v>2.2085621561943692E-4</v>
      </c>
      <c r="P636" t="e">
        <f t="shared" si="39"/>
        <v>#VALUE!</v>
      </c>
      <c r="Q636">
        <f t="shared" si="40"/>
        <v>126.55020528287002</v>
      </c>
      <c r="R636">
        <f t="shared" si="41"/>
        <v>140.03632215366801</v>
      </c>
      <c r="S636" t="e">
        <f xml:space="preserve"> 1.667/G636 + P636/A636 * Performance!$E$12 + Performance!$E$23 / Constraints!P636 * Constraints!A636</f>
        <v>#VALUE!</v>
      </c>
      <c r="T636">
        <f xml:space="preserve"> 1.667/H636 + Q636/A636 * Performance!$E$12 + Performance!$E$23 / Constraints!Q636 * Constraints!A636</f>
        <v>0.18184511539417508</v>
      </c>
      <c r="U636">
        <f xml:space="preserve"> 1.667/I636 + R636/A636 * Performance!$E$12 + Performance!$E$23 / Constraints!R636 * Constraints!A636</f>
        <v>0.17032605077597246</v>
      </c>
    </row>
    <row r="637" spans="1:21" x14ac:dyDescent="0.3">
      <c r="A637" s="51">
        <v>317.5</v>
      </c>
      <c r="B637" s="50">
        <f>$V$4*Performance!$E$12*(1/A637)+Performance!$E$23*(1/Constraints!$V$4)*Constraints!A637</f>
        <v>0.10202479730732988</v>
      </c>
      <c r="C637" s="50">
        <f>$V$5*Performance!$E$12*(1/A637)+Performance!$E$23*(1/Constraints!$V$5)*Constraints!A637</f>
        <v>0.14769295257241905</v>
      </c>
      <c r="D637" s="52">
        <f t="shared" si="38"/>
        <v>0.42147642730135404</v>
      </c>
      <c r="E637" s="52">
        <f>$V$4*Performance!$E$12*(1/A637)+Performance!$E$23*(1/Constraints!$V$9)*Constraints!A637</f>
        <v>0.10059091645363072</v>
      </c>
      <c r="F637" s="52">
        <f xml:space="preserve"> 1.21 / (9.81 * Constraints!$N$7 * Performance!$E$15 * Constraints!$N$5 ) * Constraints!A637 + 0.605 /Performance!$E$15 * (Performance!$E$16  - Constraints!$N$6 * Performance!$E$14) + Constraints!$N$6</f>
        <v>0.42130017712061874</v>
      </c>
      <c r="G637" s="54" t="s">
        <v>198</v>
      </c>
      <c r="H637" s="55">
        <f>SQRT(2/$V$3 * A637 * SQRT(Performance!$E$23 / (3 * Performance!$E$12)))</f>
        <v>21.971117616051384</v>
      </c>
      <c r="I637" s="55">
        <f>SQRT(2/$V$3 * A637 * (SQRT(Performance!$E$23)/(SQRT(3*Performance!$E$12 + 4* Performance!$E$23 * Performance!$E$11^2) - SQRT(Performance!$E$23)*Performance!$E$11)))</f>
        <v>23.112188454277288</v>
      </c>
      <c r="J637" t="e">
        <f xml:space="preserve"> $AC$3/G637 + $AC$6/A637 * Performance!$E$12 + Performance!$E$23/Constraints!$AC$6 * Constraints!A637</f>
        <v>#VALUE!</v>
      </c>
      <c r="K637">
        <f xml:space="preserve"> $AC$3/H637 + $AC$6/A637 * Performance!$E$12 + Performance!$E$23/Constraints!$AC$6 * Constraints!A637</f>
        <v>1.252360064788975</v>
      </c>
      <c r="L637">
        <f xml:space="preserve"> $AC$3/I637 + $AC$6/A637 * Performance!$E$12 + Performance!$E$23/Constraints!$AC$6 * Constraints!A637</f>
        <v>1.2409448759651753</v>
      </c>
      <c r="M637">
        <f>SIN($AC$9 * PI()/180) + 1/Performance!$AE$5</f>
        <v>0.24073077270730886</v>
      </c>
      <c r="N637">
        <f>SIN($AC$9 * PI()/180) + 1/Performance!$AE$8</f>
        <v>0.22738716112204788</v>
      </c>
      <c r="O637" s="60">
        <f>$AC$16 * (Performance!$E$12/Constraints!A637 + Performance!$E$23 * (Constraints!$AC$13/Constraints!$AC$17)^2 * Constraints!A637)</f>
        <v>2.2096022537941996E-4</v>
      </c>
      <c r="P637" t="e">
        <f t="shared" si="39"/>
        <v>#VALUE!</v>
      </c>
      <c r="Q637">
        <f t="shared" si="40"/>
        <v>126.74981128489344</v>
      </c>
      <c r="R637">
        <f t="shared" si="41"/>
        <v>140.25719963340566</v>
      </c>
      <c r="S637" t="e">
        <f xml:space="preserve"> 1.667/G637 + P637/A637 * Performance!$E$12 + Performance!$E$23 / Constraints!P637 * Constraints!A637</f>
        <v>#VALUE!</v>
      </c>
      <c r="T637">
        <f xml:space="preserve"> 1.667/H637 + Q637/A637 * Performance!$E$12 + Performance!$E$23 / Constraints!Q637 * Constraints!A637</f>
        <v>0.18178530274383106</v>
      </c>
      <c r="U637">
        <f xml:space="preserve"> 1.667/I637 + R637/A637 * Performance!$E$12 + Performance!$E$23 / Constraints!R637 * Constraints!A637</f>
        <v>0.17026919113335418</v>
      </c>
    </row>
    <row r="638" spans="1:21" x14ac:dyDescent="0.3">
      <c r="A638" s="51">
        <v>318</v>
      </c>
      <c r="B638" s="50">
        <f>$V$4*Performance!$E$12*(1/A638)+Performance!$E$23*(1/Constraints!$V$4)*Constraints!A638</f>
        <v>0.10190396379520818</v>
      </c>
      <c r="C638" s="50">
        <f>$V$5*Performance!$E$12*(1/A638)+Performance!$E$23*(1/Constraints!$V$5)*Constraints!A638</f>
        <v>0.14748608670162539</v>
      </c>
      <c r="D638" s="52">
        <f t="shared" si="38"/>
        <v>0.42174871301363959</v>
      </c>
      <c r="E638" s="52">
        <f>$V$4*Performance!$E$12*(1/A638)+Performance!$E$23*(1/Constraints!$V$9)*Constraints!A638</f>
        <v>0.10046782486142444</v>
      </c>
      <c r="F638" s="52">
        <f xml:space="preserve"> 1.21 / (9.81 * Constraints!$N$7 * Performance!$E$15 * Constraints!$N$5 ) * Constraints!A638 + 0.605 /Performance!$E$15 * (Performance!$E$16  - Constraints!$N$6 * Performance!$E$14) + Constraints!$N$6</f>
        <v>0.42157218527356455</v>
      </c>
      <c r="G638" s="54" t="s">
        <v>198</v>
      </c>
      <c r="H638" s="55">
        <f>SQRT(2/$V$3 * A638 * SQRT(Performance!$E$23 / (3 * Performance!$E$12)))</f>
        <v>21.988410902960133</v>
      </c>
      <c r="I638" s="55">
        <f>SQRT(2/$V$3 * A638 * (SQRT(Performance!$E$23)/(SQRT(3*Performance!$E$12 + 4* Performance!$E$23 * Performance!$E$11^2) - SQRT(Performance!$E$23)*Performance!$E$11)))</f>
        <v>23.130379868706605</v>
      </c>
      <c r="J638" t="e">
        <f xml:space="preserve"> $AC$3/G638 + $AC$6/A638 * Performance!$E$12 + Performance!$E$23/Constraints!$AC$6 * Constraints!A638</f>
        <v>#VALUE!</v>
      </c>
      <c r="K638">
        <f xml:space="preserve"> $AC$3/H638 + $AC$6/A638 * Performance!$E$12 + Performance!$E$23/Constraints!$AC$6 * Constraints!A638</f>
        <v>1.2537828575253651</v>
      </c>
      <c r="L638">
        <f xml:space="preserve"> $AC$3/I638 + $AC$6/A638 * Performance!$E$12 + Performance!$E$23/Constraints!$AC$6 * Constraints!A638</f>
        <v>1.2423766464369879</v>
      </c>
      <c r="M638">
        <f>SIN($AC$9 * PI()/180) + 1/Performance!$AE$5</f>
        <v>0.24073077270730886</v>
      </c>
      <c r="N638">
        <f>SIN($AC$9 * PI()/180) + 1/Performance!$AE$8</f>
        <v>0.22738716112204788</v>
      </c>
      <c r="O638" s="60">
        <f>$AC$16 * (Performance!$E$12/Constraints!A638 + Performance!$E$23 * (Constraints!$AC$13/Constraints!$AC$17)^2 * Constraints!A638)</f>
        <v>2.2106461902516409E-4</v>
      </c>
      <c r="P638" t="e">
        <f t="shared" si="39"/>
        <v>#VALUE!</v>
      </c>
      <c r="Q638">
        <f t="shared" si="40"/>
        <v>126.94941728691693</v>
      </c>
      <c r="R638">
        <f t="shared" si="41"/>
        <v>140.47807711314331</v>
      </c>
      <c r="S638" t="e">
        <f xml:space="preserve"> 1.667/G638 + P638/A638 * Performance!$E$12 + Performance!$E$23 / Constraints!P638 * Constraints!A638</f>
        <v>#VALUE!</v>
      </c>
      <c r="T638">
        <f xml:space="preserve"> 1.667/H638 + Q638/A638 * Performance!$E$12 + Performance!$E$23 / Constraints!Q638 * Constraints!A638</f>
        <v>0.18172563121656787</v>
      </c>
      <c r="U638">
        <f xml:space="preserve"> 1.667/I638 + R638/A638 * Performance!$E$12 + Performance!$E$23 / Constraints!R638 * Constraints!A638</f>
        <v>0.17021246564643533</v>
      </c>
    </row>
    <row r="639" spans="1:21" x14ac:dyDescent="0.3">
      <c r="A639" s="51">
        <v>318.5</v>
      </c>
      <c r="B639" s="50">
        <f>$V$4*Performance!$E$12*(1/A639)+Performance!$E$23*(1/Constraints!$V$4)*Constraints!A639</f>
        <v>0.10178357185452</v>
      </c>
      <c r="C639" s="50">
        <f>$V$5*Performance!$E$12*(1/A639)+Performance!$E$23*(1/Constraints!$V$5)*Constraints!A639</f>
        <v>0.14727991016747813</v>
      </c>
      <c r="D639" s="52">
        <f t="shared" si="38"/>
        <v>0.42202099872592519</v>
      </c>
      <c r="E639" s="52">
        <f>$V$4*Performance!$E$12*(1/A639)+Performance!$E$23*(1/Constraints!$V$9)*Constraints!A639</f>
        <v>0.1003451748406517</v>
      </c>
      <c r="F639" s="52">
        <f xml:space="preserve"> 1.21 / (9.81 * Constraints!$N$7 * Performance!$E$15 * Constraints!$N$5 ) * Constraints!A639 + 0.605 /Performance!$E$15 * (Performance!$E$16  - Constraints!$N$6 * Performance!$E$14) + Constraints!$N$6</f>
        <v>0.42184419342651042</v>
      </c>
      <c r="G639" s="54" t="s">
        <v>198</v>
      </c>
      <c r="H639" s="55">
        <f>SQRT(2/$V$3 * A639 * SQRT(Performance!$E$23 / (3 * Performance!$E$12)))</f>
        <v>22.005690599853224</v>
      </c>
      <c r="I639" s="55">
        <f>SQRT(2/$V$3 * A639 * (SQRT(Performance!$E$23)/(SQRT(3*Performance!$E$12 + 4* Performance!$E$23 * Performance!$E$11^2) - SQRT(Performance!$E$23)*Performance!$E$11)))</f>
        <v>23.14855698732228</v>
      </c>
      <c r="J639" t="e">
        <f xml:space="preserve"> $AC$3/G639 + $AC$6/A639 * Performance!$E$12 + Performance!$E$23/Constraints!$AC$6 * Constraints!A639</f>
        <v>#VALUE!</v>
      </c>
      <c r="K639">
        <f xml:space="preserve"> $AC$3/H639 + $AC$6/A639 * Performance!$E$12 + Performance!$E$23/Constraints!$AC$6 * Constraints!A639</f>
        <v>1.2552060840751098</v>
      </c>
      <c r="L639">
        <f xml:space="preserve"> $AC$3/I639 + $AC$6/A639 * Performance!$E$12 + Performance!$E$23/Constraints!$AC$6 * Constraints!A639</f>
        <v>1.2438088295731851</v>
      </c>
      <c r="M639">
        <f>SIN($AC$9 * PI()/180) + 1/Performance!$AE$5</f>
        <v>0.24073077270730886</v>
      </c>
      <c r="N639">
        <f>SIN($AC$9 * PI()/180) + 1/Performance!$AE$8</f>
        <v>0.22738716112204788</v>
      </c>
      <c r="O639" s="60">
        <f>$AC$16 * (Performance!$E$12/Constraints!A639 + Performance!$E$23 * (Constraints!$AC$13/Constraints!$AC$17)^2 * Constraints!A639)</f>
        <v>2.2116939474873008E-4</v>
      </c>
      <c r="P639" t="e">
        <f t="shared" si="39"/>
        <v>#VALUE!</v>
      </c>
      <c r="Q639">
        <f t="shared" si="40"/>
        <v>127.14902328894037</v>
      </c>
      <c r="R639">
        <f t="shared" si="41"/>
        <v>140.69895459288094</v>
      </c>
      <c r="S639" t="e">
        <f xml:space="preserve"> 1.667/G639 + P639/A639 * Performance!$E$12 + Performance!$E$23 / Constraints!P639 * Constraints!A639</f>
        <v>#VALUE!</v>
      </c>
      <c r="T639">
        <f xml:space="preserve"> 1.667/H639 + Q639/A639 * Performance!$E$12 + Performance!$E$23 / Constraints!Q639 * Constraints!A639</f>
        <v>0.1816661002583097</v>
      </c>
      <c r="U639">
        <f xml:space="preserve"> 1.667/I639 + R639/A639 * Performance!$E$12 + Performance!$E$23 / Constraints!R639 * Constraints!A639</f>
        <v>0.17015587378849539</v>
      </c>
    </row>
    <row r="640" spans="1:21" x14ac:dyDescent="0.3">
      <c r="A640" s="51">
        <v>319</v>
      </c>
      <c r="B640" s="50">
        <f>$V$4*Performance!$E$12*(1/A640)+Performance!$E$23*(1/Constraints!$V$4)*Constraints!A640</f>
        <v>0.1016636194089106</v>
      </c>
      <c r="C640" s="50">
        <f>$V$5*Performance!$E$12*(1/A640)+Performance!$E$23*(1/Constraints!$V$5)*Constraints!A640</f>
        <v>0.14707441972858243</v>
      </c>
      <c r="D640" s="52">
        <f t="shared" si="38"/>
        <v>0.42229328443821079</v>
      </c>
      <c r="E640" s="52">
        <f>$V$4*Performance!$E$12*(1/A640)+Performance!$E$23*(1/Constraints!$V$9)*Constraints!A640</f>
        <v>0.10022296431495774</v>
      </c>
      <c r="F640" s="52">
        <f xml:space="preserve"> 1.21 / (9.81 * Constraints!$N$7 * Performance!$E$15 * Constraints!$N$5 ) * Constraints!A640 + 0.605 /Performance!$E$15 * (Performance!$E$16  - Constraints!$N$6 * Performance!$E$14) + Constraints!$N$6</f>
        <v>0.42211620157945628</v>
      </c>
      <c r="G640" s="54" t="s">
        <v>198</v>
      </c>
      <c r="H640" s="55">
        <f>SQRT(2/$V$3 * A640 * SQRT(Performance!$E$23 / (3 * Performance!$E$12)))</f>
        <v>22.022956738719738</v>
      </c>
      <c r="I640" s="55">
        <f>SQRT(2/$V$3 * A640 * (SQRT(Performance!$E$23)/(SQRT(3*Performance!$E$12 + 4* Performance!$E$23 * Performance!$E$11^2) - SQRT(Performance!$E$23)*Performance!$E$11)))</f>
        <v>23.166719843774747</v>
      </c>
      <c r="J640" t="e">
        <f xml:space="preserve"> $AC$3/G640 + $AC$6/A640 * Performance!$E$12 + Performance!$E$23/Constraints!$AC$6 * Constraints!A640</f>
        <v>#VALUE!</v>
      </c>
      <c r="K640">
        <f xml:space="preserve"> $AC$3/H640 + $AC$6/A640 * Performance!$E$12 + Performance!$E$23/Constraints!$AC$6 * Constraints!A640</f>
        <v>1.2566297427333875</v>
      </c>
      <c r="L640">
        <f xml:space="preserve"> $AC$3/I640 + $AC$6/A640 * Performance!$E$12 + Performance!$E$23/Constraints!$AC$6 * Constraints!A640</f>
        <v>1.2452414237518499</v>
      </c>
      <c r="M640">
        <f>SIN($AC$9 * PI()/180) + 1/Performance!$AE$5</f>
        <v>0.24073077270730886</v>
      </c>
      <c r="N640">
        <f>SIN($AC$9 * PI()/180) + 1/Performance!$AE$8</f>
        <v>0.22738716112204788</v>
      </c>
      <c r="O640" s="60">
        <f>$AC$16 * (Performance!$E$12/Constraints!A640 + Performance!$E$23 * (Constraints!$AC$13/Constraints!$AC$17)^2 * Constraints!A640)</f>
        <v>2.2127455075351369E-4</v>
      </c>
      <c r="P640" t="e">
        <f t="shared" si="39"/>
        <v>#VALUE!</v>
      </c>
      <c r="Q640">
        <f t="shared" si="40"/>
        <v>127.34862929096384</v>
      </c>
      <c r="R640">
        <f t="shared" si="41"/>
        <v>140.91983207261859</v>
      </c>
      <c r="S640" t="e">
        <f xml:space="preserve"> 1.667/G640 + P640/A640 * Performance!$E$12 + Performance!$E$23 / Constraints!P640 * Constraints!A640</f>
        <v>#VALUE!</v>
      </c>
      <c r="T640">
        <f xml:space="preserve"> 1.667/H640 + Q640/A640 * Performance!$E$12 + Performance!$E$23 / Constraints!Q640 * Constraints!A640</f>
        <v>0.18160670931802136</v>
      </c>
      <c r="U640">
        <f xml:space="preserve"> 1.667/I640 + R640/A640 * Performance!$E$12 + Performance!$E$23 / Constraints!R640 * Constraints!A640</f>
        <v>0.17009941503570419</v>
      </c>
    </row>
    <row r="641" spans="1:21" x14ac:dyDescent="0.3">
      <c r="A641" s="51">
        <v>319.5</v>
      </c>
      <c r="B641" s="50">
        <f>$V$4*Performance!$E$12*(1/A641)+Performance!$E$23*(1/Constraints!$V$4)*Constraints!A641</f>
        <v>0.10154410439502289</v>
      </c>
      <c r="C641" s="50">
        <f>$V$5*Performance!$E$12*(1/A641)+Performance!$E$23*(1/Constraints!$V$5)*Constraints!A641</f>
        <v>0.14686961216383387</v>
      </c>
      <c r="D641" s="52">
        <f t="shared" si="38"/>
        <v>0.42256557015049639</v>
      </c>
      <c r="E641" s="52">
        <f>$V$4*Performance!$E$12*(1/A641)+Performance!$E$23*(1/Constraints!$V$9)*Constraints!A641</f>
        <v>0.10010119122098546</v>
      </c>
      <c r="F641" s="52">
        <f xml:space="preserve"> 1.21 / (9.81 * Constraints!$N$7 * Performance!$E$15 * Constraints!$N$5 ) * Constraints!A641 + 0.605 /Performance!$E$15 * (Performance!$E$16  - Constraints!$N$6 * Performance!$E$14) + Constraints!$N$6</f>
        <v>0.4223882097324021</v>
      </c>
      <c r="G641" s="54" t="s">
        <v>198</v>
      </c>
      <c r="H641" s="55">
        <f>SQRT(2/$V$3 * A641 * SQRT(Performance!$E$23 / (3 * Performance!$E$12)))</f>
        <v>22.040209351423449</v>
      </c>
      <c r="I641" s="55">
        <f>SQRT(2/$V$3 * A641 * (SQRT(Performance!$E$23)/(SQRT(3*Performance!$E$12 + 4* Performance!$E$23 * Performance!$E$11^2) - SQRT(Performance!$E$23)*Performance!$E$11)))</f>
        <v>23.184868471582625</v>
      </c>
      <c r="J641" t="e">
        <f xml:space="preserve"> $AC$3/G641 + $AC$6/A641 * Performance!$E$12 + Performance!$E$23/Constraints!$AC$6 * Constraints!A641</f>
        <v>#VALUE!</v>
      </c>
      <c r="K641">
        <f xml:space="preserve"> $AC$3/H641 + $AC$6/A641 * Performance!$E$12 + Performance!$E$23/Constraints!$AC$6 * Constraints!A641</f>
        <v>1.258053831804739</v>
      </c>
      <c r="L641">
        <f xml:space="preserve"> $AC$3/I641 + $AC$6/A641 * Performance!$E$12 + Performance!$E$23/Constraints!$AC$6 * Constraints!A641</f>
        <v>1.2466744273599737</v>
      </c>
      <c r="M641">
        <f>SIN($AC$9 * PI()/180) + 1/Performance!$AE$5</f>
        <v>0.24073077270730886</v>
      </c>
      <c r="N641">
        <f>SIN($AC$9 * PI()/180) + 1/Performance!$AE$8</f>
        <v>0.22738716112204788</v>
      </c>
      <c r="O641" s="60">
        <f>$AC$16 * (Performance!$E$12/Constraints!A641 + Performance!$E$23 * (Constraints!$AC$13/Constraints!$AC$17)^2 * Constraints!A641)</f>
        <v>2.2138008525415714E-4</v>
      </c>
      <c r="P641" t="e">
        <f t="shared" si="39"/>
        <v>#VALUE!</v>
      </c>
      <c r="Q641">
        <f t="shared" si="40"/>
        <v>127.54823529298727</v>
      </c>
      <c r="R641">
        <f t="shared" si="41"/>
        <v>141.14070955235627</v>
      </c>
      <c r="S641" t="e">
        <f xml:space="preserve"> 1.667/G641 + P641/A641 * Performance!$E$12 + Performance!$E$23 / Constraints!P641 * Constraints!A641</f>
        <v>#VALUE!</v>
      </c>
      <c r="T641">
        <f xml:space="preserve"> 1.667/H641 + Q641/A641 * Performance!$E$12 + Performance!$E$23 / Constraints!Q641 * Constraints!A641</f>
        <v>0.18154745784768719</v>
      </c>
      <c r="U641">
        <f xml:space="preserve"> 1.667/I641 + R641/A641 * Performance!$E$12 + Performance!$E$23 / Constraints!R641 * Constraints!A641</f>
        <v>0.17004308886710223</v>
      </c>
    </row>
    <row r="642" spans="1:21" x14ac:dyDescent="0.3">
      <c r="A642" s="51">
        <v>320</v>
      </c>
      <c r="B642" s="50">
        <f>$V$4*Performance!$E$12*(1/A642)+Performance!$E$23*(1/Constraints!$V$4)*Constraints!A642</f>
        <v>0.10142502476239559</v>
      </c>
      <c r="C642" s="50">
        <f>$V$5*Performance!$E$12*(1/A642)+Performance!$E$23*(1/Constraints!$V$5)*Constraints!A642</f>
        <v>0.14666548427225978</v>
      </c>
      <c r="D642" s="52">
        <f t="shared" si="38"/>
        <v>0.422837855862782</v>
      </c>
      <c r="E642" s="52">
        <f>$V$4*Performance!$E$12*(1/A642)+Performance!$E$23*(1/Constraints!$V$9)*Constraints!A642</f>
        <v>9.9979853508273597E-2</v>
      </c>
      <c r="F642" s="52">
        <f xml:space="preserve"> 1.21 / (9.81 * Constraints!$N$7 * Performance!$E$15 * Constraints!$N$5 ) * Constraints!A642 + 0.605 /Performance!$E$15 * (Performance!$E$16  - Constraints!$N$6 * Performance!$E$14) + Constraints!$N$6</f>
        <v>0.42266021788534802</v>
      </c>
      <c r="G642" s="54" t="s">
        <v>198</v>
      </c>
      <c r="H642" s="55">
        <f>SQRT(2/$V$3 * A642 * SQRT(Performance!$E$23 / (3 * Performance!$E$12)))</f>
        <v>22.057448469703523</v>
      </c>
      <c r="I642" s="55">
        <f>SQRT(2/$V$3 * A642 * (SQRT(Performance!$E$23)/(SQRT(3*Performance!$E$12 + 4* Performance!$E$23 * Performance!$E$11^2) - SQRT(Performance!$E$23)*Performance!$E$11)))</f>
        <v>23.203002904133452</v>
      </c>
      <c r="J642" t="e">
        <f xml:space="preserve"> $AC$3/G642 + $AC$6/A642 * Performance!$E$12 + Performance!$E$23/Constraints!$AC$6 * Constraints!A642</f>
        <v>#VALUE!</v>
      </c>
      <c r="K642">
        <f xml:space="preserve"> $AC$3/H642 + $AC$6/A642 * Performance!$E$12 + Performance!$E$23/Constraints!$AC$6 * Constraints!A642</f>
        <v>1.2594783496029995</v>
      </c>
      <c r="L642">
        <f xml:space="preserve"> $AC$3/I642 + $AC$6/A642 * Performance!$E$12 + Performance!$E$23/Constraints!$AC$6 * Constraints!A642</f>
        <v>1.2481078387933915</v>
      </c>
      <c r="M642">
        <f>SIN($AC$9 * PI()/180) + 1/Performance!$AE$5</f>
        <v>0.24073077270730886</v>
      </c>
      <c r="N642">
        <f>SIN($AC$9 * PI()/180) + 1/Performance!$AE$8</f>
        <v>0.22738716112204788</v>
      </c>
      <c r="O642" s="60">
        <f>$AC$16 * (Performance!$E$12/Constraints!A642 + Performance!$E$23 * (Constraints!$AC$13/Constraints!$AC$17)^2 * Constraints!A642)</f>
        <v>2.214859964764611E-4</v>
      </c>
      <c r="P642" t="e">
        <f t="shared" si="39"/>
        <v>#VALUE!</v>
      </c>
      <c r="Q642">
        <f t="shared" si="40"/>
        <v>127.74784129501076</v>
      </c>
      <c r="R642">
        <f t="shared" si="41"/>
        <v>141.36158703209389</v>
      </c>
      <c r="S642" t="e">
        <f xml:space="preserve"> 1.667/G642 + P642/A642 * Performance!$E$12 + Performance!$E$23 / Constraints!P642 * Constraints!A642</f>
        <v>#VALUE!</v>
      </c>
      <c r="T642">
        <f xml:space="preserve"> 1.667/H642 + Q642/A642 * Performance!$E$12 + Performance!$E$23 / Constraints!Q642 * Constraints!A642</f>
        <v>0.18148834530228955</v>
      </c>
      <c r="U642">
        <f xml:space="preserve"> 1.667/I642 + R642/A642 * Performance!$E$12 + Performance!$E$23 / Constraints!R642 * Constraints!A642</f>
        <v>0.16998689476457987</v>
      </c>
    </row>
    <row r="643" spans="1:21" x14ac:dyDescent="0.3">
      <c r="A643" s="51">
        <v>320.5</v>
      </c>
      <c r="B643" s="50">
        <f>$V$4*Performance!$E$12*(1/A643)+Performance!$E$23*(1/Constraints!$V$4)*Constraints!A643</f>
        <v>0.10130637847336295</v>
      </c>
      <c r="C643" s="50">
        <f>$V$5*Performance!$E$12*(1/A643)+Performance!$E$23*(1/Constraints!$V$5)*Constraints!A643</f>
        <v>0.14646203287286258</v>
      </c>
      <c r="D643" s="52">
        <f t="shared" si="38"/>
        <v>0.42311014157506754</v>
      </c>
      <c r="E643" s="52">
        <f>$V$4*Performance!$E$12*(1/A643)+Performance!$E$23*(1/Constraints!$V$9)*Constraints!A643</f>
        <v>9.9858949139156383E-2</v>
      </c>
      <c r="F643" s="52">
        <f xml:space="preserve"> 1.21 / (9.81 * Constraints!$N$7 * Performance!$E$15 * Constraints!$N$5 ) * Constraints!A643 + 0.605 /Performance!$E$15 * (Performance!$E$16  - Constraints!$N$6 * Performance!$E$14) + Constraints!$N$6</f>
        <v>0.42293222603829383</v>
      </c>
      <c r="G643" s="54" t="s">
        <v>198</v>
      </c>
      <c r="H643" s="55">
        <f>SQRT(2/$V$3 * A643 * SQRT(Performance!$E$23 / (3 * Performance!$E$12)))</f>
        <v>22.074674125175182</v>
      </c>
      <c r="I643" s="55">
        <f>SQRT(2/$V$3 * A643 * (SQRT(Performance!$E$23)/(SQRT(3*Performance!$E$12 + 4* Performance!$E$23 * Performance!$E$11^2) - SQRT(Performance!$E$23)*Performance!$E$11)))</f>
        <v>23.221123174684397</v>
      </c>
      <c r="J643" t="e">
        <f xml:space="preserve"> $AC$3/G643 + $AC$6/A643 * Performance!$E$12 + Performance!$E$23/Constraints!$AC$6 * Constraints!A643</f>
        <v>#VALUE!</v>
      </c>
      <c r="K643">
        <f xml:space="preserve"> $AC$3/H643 + $AC$6/A643 * Performance!$E$12 + Performance!$E$23/Constraints!$AC$6 * Constraints!A643</f>
        <v>1.2609032944512357</v>
      </c>
      <c r="L643">
        <f xml:space="preserve"> $AC$3/I643 + $AC$6/A643 * Performance!$E$12 + Performance!$E$23/Constraints!$AC$6 * Constraints!A643</f>
        <v>1.2495416564567199</v>
      </c>
      <c r="M643">
        <f>SIN($AC$9 * PI()/180) + 1/Performance!$AE$5</f>
        <v>0.24073077270730886</v>
      </c>
      <c r="N643">
        <f>SIN($AC$9 * PI()/180) + 1/Performance!$AE$8</f>
        <v>0.22738716112204788</v>
      </c>
      <c r="O643" s="60">
        <f>$AC$16 * (Performance!$E$12/Constraints!A643 + Performance!$E$23 * (Constraints!$AC$13/Constraints!$AC$17)^2 * Constraints!A643)</f>
        <v>2.2159228265729766E-4</v>
      </c>
      <c r="P643" t="e">
        <f t="shared" si="39"/>
        <v>#VALUE!</v>
      </c>
      <c r="Q643">
        <f t="shared" si="40"/>
        <v>127.94744729703417</v>
      </c>
      <c r="R643">
        <f t="shared" si="41"/>
        <v>141.58246451183155</v>
      </c>
      <c r="S643" t="e">
        <f xml:space="preserve"> 1.667/G643 + P643/A643 * Performance!$E$12 + Performance!$E$23 / Constraints!P643 * Constraints!A643</f>
        <v>#VALUE!</v>
      </c>
      <c r="T643">
        <f xml:space="preserve"> 1.667/H643 + Q643/A643 * Performance!$E$12 + Performance!$E$23 / Constraints!Q643 * Constraints!A643</f>
        <v>0.18142937113978791</v>
      </c>
      <c r="U643">
        <f xml:space="preserve"> 1.667/I643 + R643/A643 * Performance!$E$12 + Performance!$E$23 / Constraints!R643 * Constraints!A643</f>
        <v>0.16993083221285765</v>
      </c>
    </row>
    <row r="644" spans="1:21" x14ac:dyDescent="0.3">
      <c r="A644" s="51">
        <v>321</v>
      </c>
      <c r="B644" s="50">
        <f>$V$4*Performance!$E$12*(1/A644)+Performance!$E$23*(1/Constraints!$V$4)*Constraints!A644</f>
        <v>0.10118816350295488</v>
      </c>
      <c r="C644" s="50">
        <f>$V$5*Performance!$E$12*(1/A644)+Performance!$E$23*(1/Constraints!$V$5)*Constraints!A644</f>
        <v>0.14625925480446375</v>
      </c>
      <c r="D644" s="52">
        <f t="shared" si="38"/>
        <v>0.4233824272873532</v>
      </c>
      <c r="E644" s="52">
        <f>$V$4*Performance!$E$12*(1/A644)+Performance!$E$23*(1/Constraints!$V$9)*Constraints!A644</f>
        <v>9.9738476088663749E-2</v>
      </c>
      <c r="F644" s="52">
        <f xml:space="preserve"> 1.21 / (9.81 * Constraints!$N$7 * Performance!$E$15 * Constraints!$N$5 ) * Constraints!A644 + 0.605 /Performance!$E$15 * (Performance!$E$16  - Constraints!$N$6 * Performance!$E$14) + Constraints!$N$6</f>
        <v>0.4232042341912397</v>
      </c>
      <c r="G644" s="54" t="s">
        <v>198</v>
      </c>
      <c r="H644" s="55">
        <f>SQRT(2/$V$3 * A644 * SQRT(Performance!$E$23 / (3 * Performance!$E$12)))</f>
        <v>22.091886349330409</v>
      </c>
      <c r="I644" s="55">
        <f>SQRT(2/$V$3 * A644 * (SQRT(Performance!$E$23)/(SQRT(3*Performance!$E$12 + 4* Performance!$E$23 * Performance!$E$11^2) - SQRT(Performance!$E$23)*Performance!$E$11)))</f>
        <v>23.239229316362973</v>
      </c>
      <c r="J644" t="e">
        <f xml:space="preserve"> $AC$3/G644 + $AC$6/A644 * Performance!$E$12 + Performance!$E$23/Constraints!$AC$6 * Constraints!A644</f>
        <v>#VALUE!</v>
      </c>
      <c r="K644">
        <f xml:space="preserve"> $AC$3/H644 + $AC$6/A644 * Performance!$E$12 + Performance!$E$23/Constraints!$AC$6 * Constraints!A644</f>
        <v>1.2623286646816778</v>
      </c>
      <c r="L644">
        <f xml:space="preserve"> $AC$3/I644 + $AC$6/A644 * Performance!$E$12 + Performance!$E$23/Constraints!$AC$6 * Constraints!A644</f>
        <v>1.2509758787632972</v>
      </c>
      <c r="M644">
        <f>SIN($AC$9 * PI()/180) + 1/Performance!$AE$5</f>
        <v>0.24073077270730886</v>
      </c>
      <c r="N644">
        <f>SIN($AC$9 * PI()/180) + 1/Performance!$AE$8</f>
        <v>0.22738716112204788</v>
      </c>
      <c r="O644" s="60">
        <f>$AC$16 * (Performance!$E$12/Constraints!A644 + Performance!$E$23 * (Constraints!$AC$13/Constraints!$AC$17)^2 * Constraints!A644)</f>
        <v>2.2169894204452411E-4</v>
      </c>
      <c r="P644" t="e">
        <f t="shared" si="39"/>
        <v>#VALUE!</v>
      </c>
      <c r="Q644">
        <f t="shared" si="40"/>
        <v>128.14705329905763</v>
      </c>
      <c r="R644">
        <f t="shared" si="41"/>
        <v>141.8033419915692</v>
      </c>
      <c r="S644" t="e">
        <f xml:space="preserve"> 1.667/G644 + P644/A644 * Performance!$E$12 + Performance!$E$23 / Constraints!P644 * Constraints!A644</f>
        <v>#VALUE!</v>
      </c>
      <c r="T644">
        <f xml:space="preserve"> 1.667/H644 + Q644/A644 * Performance!$E$12 + Performance!$E$23 / Constraints!Q644 * Constraints!A644</f>
        <v>0.181370534821098</v>
      </c>
      <c r="U644">
        <f xml:space="preserve"> 1.667/I644 + R644/A644 * Performance!$E$12 + Performance!$E$23 / Constraints!R644 * Constraints!A644</f>
        <v>0.16987490069946637</v>
      </c>
    </row>
    <row r="645" spans="1:21" x14ac:dyDescent="0.3">
      <c r="A645" s="51">
        <v>321.5</v>
      </c>
      <c r="B645" s="50">
        <f>$V$4*Performance!$E$12*(1/A645)+Performance!$E$23*(1/Constraints!$V$4)*Constraints!A645</f>
        <v>0.10107037783879833</v>
      </c>
      <c r="C645" s="50">
        <f>$V$5*Performance!$E$12*(1/A645)+Performance!$E$23*(1/Constraints!$V$5)*Constraints!A645</f>
        <v>0.14605714692555019</v>
      </c>
      <c r="D645" s="52">
        <f t="shared" si="38"/>
        <v>0.42365471299963875</v>
      </c>
      <c r="E645" s="52">
        <f>$V$4*Performance!$E$12*(1/A645)+Performance!$E$23*(1/Constraints!$V$9)*Constraints!A645</f>
        <v>9.9618432344422636E-2</v>
      </c>
      <c r="F645" s="52">
        <f xml:space="preserve"> 1.21 / (9.81 * Constraints!$N$7 * Performance!$E$15 * Constraints!$N$5 ) * Constraints!A645 + 0.605 /Performance!$E$15 * (Performance!$E$16  - Constraints!$N$6 * Performance!$E$14) + Constraints!$N$6</f>
        <v>0.42347624234418557</v>
      </c>
      <c r="G645" s="54" t="s">
        <v>198</v>
      </c>
      <c r="H645" s="55">
        <f>SQRT(2/$V$3 * A645 * SQRT(Performance!$E$23 / (3 * Performance!$E$12)))</f>
        <v>22.109085173538588</v>
      </c>
      <c r="I645" s="55">
        <f>SQRT(2/$V$3 * A645 * (SQRT(Performance!$E$23)/(SQRT(3*Performance!$E$12 + 4* Performance!$E$23 * Performance!$E$11^2) - SQRT(Performance!$E$23)*Performance!$E$11)))</f>
        <v>23.257321362167733</v>
      </c>
      <c r="J645" t="e">
        <f xml:space="preserve"> $AC$3/G645 + $AC$6/A645 * Performance!$E$12 + Performance!$E$23/Constraints!$AC$6 * Constraints!A645</f>
        <v>#VALUE!</v>
      </c>
      <c r="K645">
        <f xml:space="preserve"> $AC$3/H645 + $AC$6/A645 * Performance!$E$12 + Performance!$E$23/Constraints!$AC$6 * Constraints!A645</f>
        <v>1.2637544586356579</v>
      </c>
      <c r="L645">
        <f xml:space="preserve"> $AC$3/I645 + $AC$6/A645 * Performance!$E$12 + Performance!$E$23/Constraints!$AC$6 * Constraints!A645</f>
        <v>1.2524105041351201</v>
      </c>
      <c r="M645">
        <f>SIN($AC$9 * PI()/180) + 1/Performance!$AE$5</f>
        <v>0.24073077270730886</v>
      </c>
      <c r="N645">
        <f>SIN($AC$9 * PI()/180) + 1/Performance!$AE$8</f>
        <v>0.22738716112204788</v>
      </c>
      <c r="O645" s="60">
        <f>$AC$16 * (Performance!$E$12/Constraints!A645 + Performance!$E$23 * (Constraints!$AC$13/Constraints!$AC$17)^2 * Constraints!A645)</f>
        <v>2.2180597289689761E-4</v>
      </c>
      <c r="P645" t="e">
        <f t="shared" si="39"/>
        <v>#VALUE!</v>
      </c>
      <c r="Q645">
        <f t="shared" si="40"/>
        <v>128.3466593010811</v>
      </c>
      <c r="R645">
        <f t="shared" si="41"/>
        <v>142.02421947130679</v>
      </c>
      <c r="S645" t="e">
        <f xml:space="preserve"> 1.667/G645 + P645/A645 * Performance!$E$12 + Performance!$E$23 / Constraints!P645 * Constraints!A645</f>
        <v>#VALUE!</v>
      </c>
      <c r="T645">
        <f xml:space="preserve"> 1.667/H645 + Q645/A645 * Performance!$E$12 + Performance!$E$23 / Constraints!Q645 * Constraints!A645</f>
        <v>0.18131183581007088</v>
      </c>
      <c r="U645">
        <f xml:space="preserve"> 1.667/I645 + R645/A645 * Performance!$E$12 + Performance!$E$23 / Constraints!R645 * Constraints!A645</f>
        <v>0.16981909971472742</v>
      </c>
    </row>
    <row r="646" spans="1:21" x14ac:dyDescent="0.3">
      <c r="A646" s="51">
        <v>322</v>
      </c>
      <c r="B646" s="50">
        <f>$V$4*Performance!$E$12*(1/A646)+Performance!$E$23*(1/Constraints!$V$4)*Constraints!A646</f>
        <v>0.10095301948101945</v>
      </c>
      <c r="C646" s="50">
        <f>$V$5*Performance!$E$12*(1/A646)+Performance!$E$23*(1/Constraints!$V$5)*Constraints!A646</f>
        <v>0.1458557061141211</v>
      </c>
      <c r="D646" s="52">
        <f t="shared" si="38"/>
        <v>0.42392699871192441</v>
      </c>
      <c r="E646" s="52">
        <f>$V$4*Performance!$E$12*(1/A646)+Performance!$E$23*(1/Constraints!$V$9)*Constraints!A646</f>
        <v>9.9498815906559193E-2</v>
      </c>
      <c r="F646" s="52">
        <f xml:space="preserve"> 1.21 / (9.81 * Constraints!$N$7 * Performance!$E$15 * Constraints!$N$5 ) * Constraints!A646 + 0.605 /Performance!$E$15 * (Performance!$E$16  - Constraints!$N$6 * Performance!$E$14) + Constraints!$N$6</f>
        <v>0.42374825049713138</v>
      </c>
      <c r="G646" s="54" t="s">
        <v>198</v>
      </c>
      <c r="H646" s="55">
        <f>SQRT(2/$V$3 * A646 * SQRT(Performance!$E$23 / (3 * Performance!$E$12)))</f>
        <v>22.126270629047191</v>
      </c>
      <c r="I646" s="55">
        <f>SQRT(2/$V$3 * A646 * (SQRT(Performance!$E$23)/(SQRT(3*Performance!$E$12 + 4* Performance!$E$23 * Performance!$E$11^2) - SQRT(Performance!$E$23)*Performance!$E$11)))</f>
        <v>23.275399344968996</v>
      </c>
      <c r="J646" t="e">
        <f xml:space="preserve"> $AC$3/G646 + $AC$6/A646 * Performance!$E$12 + Performance!$E$23/Constraints!$AC$6 * Constraints!A646</f>
        <v>#VALUE!</v>
      </c>
      <c r="K646">
        <f xml:space="preserve"> $AC$3/H646 + $AC$6/A646 * Performance!$E$12 + Performance!$E$23/Constraints!$AC$6 * Constraints!A646</f>
        <v>1.2651806746635461</v>
      </c>
      <c r="L646">
        <f xml:space="preserve"> $AC$3/I646 + $AC$6/A646 * Performance!$E$12 + Performance!$E$23/Constraints!$AC$6 * Constraints!A646</f>
        <v>1.2538455310027845</v>
      </c>
      <c r="M646">
        <f>SIN($AC$9 * PI()/180) + 1/Performance!$AE$5</f>
        <v>0.24073077270730886</v>
      </c>
      <c r="N646">
        <f>SIN($AC$9 * PI()/180) + 1/Performance!$AE$8</f>
        <v>0.22738716112204788</v>
      </c>
      <c r="O646" s="60">
        <f>$AC$16 * (Performance!$E$12/Constraints!A646 + Performance!$E$23 * (Constraints!$AC$13/Constraints!$AC$17)^2 * Constraints!A646)</f>
        <v>2.2191337348399047E-4</v>
      </c>
      <c r="P646" t="e">
        <f t="shared" si="39"/>
        <v>#VALUE!</v>
      </c>
      <c r="Q646">
        <f t="shared" si="40"/>
        <v>128.54626530310455</v>
      </c>
      <c r="R646">
        <f t="shared" si="41"/>
        <v>142.2450969510445</v>
      </c>
      <c r="S646" t="e">
        <f xml:space="preserve"> 1.667/G646 + P646/A646 * Performance!$E$12 + Performance!$E$23 / Constraints!P646 * Constraints!A646</f>
        <v>#VALUE!</v>
      </c>
      <c r="T646">
        <f xml:space="preserve"> 1.667/H646 + Q646/A646 * Performance!$E$12 + Performance!$E$23 / Constraints!Q646 * Constraints!A646</f>
        <v>0.18125327357347287</v>
      </c>
      <c r="U646">
        <f xml:space="preserve"> 1.667/I646 + R646/A646 * Performance!$E$12 + Performance!$E$23 / Constraints!R646 * Constraints!A646</f>
        <v>0.16976342875173311</v>
      </c>
    </row>
    <row r="647" spans="1:21" x14ac:dyDescent="0.3">
      <c r="A647" s="51">
        <v>322.5</v>
      </c>
      <c r="B647" s="50">
        <f>$V$4*Performance!$E$12*(1/A647)+Performance!$E$23*(1/Constraints!$V$4)*Constraints!A647</f>
        <v>0.10083608644214673</v>
      </c>
      <c r="C647" s="50">
        <f>$V$5*Performance!$E$12*(1/A647)+Performance!$E$23*(1/Constraints!$V$5)*Constraints!A647</f>
        <v>0.14565492926753709</v>
      </c>
      <c r="D647" s="52">
        <f t="shared" si="38"/>
        <v>0.42419928442420995</v>
      </c>
      <c r="E647" s="52">
        <f>$V$4*Performance!$E$12*(1/A647)+Performance!$E$23*(1/Constraints!$V$9)*Constraints!A647</f>
        <v>9.9379624787601914E-2</v>
      </c>
      <c r="F647" s="52">
        <f xml:space="preserve"> 1.21 / (9.81 * Constraints!$N$7 * Performance!$E$15 * Constraints!$N$5 ) * Constraints!A647 + 0.605 /Performance!$E$15 * (Performance!$E$16  - Constraints!$N$6 * Performance!$E$14) + Constraints!$N$6</f>
        <v>0.42402025865007731</v>
      </c>
      <c r="G647" s="54" t="s">
        <v>198</v>
      </c>
      <c r="H647" s="55">
        <f>SQRT(2/$V$3 * A647 * SQRT(Performance!$E$23 / (3 * Performance!$E$12)))</f>
        <v>22.143442746982434</v>
      </c>
      <c r="I647" s="55">
        <f>SQRT(2/$V$3 * A647 * (SQRT(Performance!$E$23)/(SQRT(3*Performance!$E$12 + 4* Performance!$E$23 * Performance!$E$11^2) - SQRT(Performance!$E$23)*Performance!$E$11)))</f>
        <v>23.293463297509508</v>
      </c>
      <c r="J647" t="e">
        <f xml:space="preserve"> $AC$3/G647 + $AC$6/A647 * Performance!$E$12 + Performance!$E$23/Constraints!$AC$6 * Constraints!A647</f>
        <v>#VALUE!</v>
      </c>
      <c r="K647">
        <f xml:space="preserve"> $AC$3/H647 + $AC$6/A647 * Performance!$E$12 + Performance!$E$23/Constraints!$AC$6 * Constraints!A647</f>
        <v>1.2666073111246852</v>
      </c>
      <c r="L647">
        <f xml:space="preserve"> $AC$3/I647 + $AC$6/A647 * Performance!$E$12 + Performance!$E$23/Constraints!$AC$6 * Constraints!A647</f>
        <v>1.2552809578054245</v>
      </c>
      <c r="M647">
        <f>SIN($AC$9 * PI()/180) + 1/Performance!$AE$5</f>
        <v>0.24073077270730886</v>
      </c>
      <c r="N647">
        <f>SIN($AC$9 * PI()/180) + 1/Performance!$AE$8</f>
        <v>0.22738716112204788</v>
      </c>
      <c r="O647" s="60">
        <f>$AC$16 * (Performance!$E$12/Constraints!A647 + Performance!$E$23 * (Constraints!$AC$13/Constraints!$AC$17)^2 * Constraints!A647)</f>
        <v>2.2202114208610629E-4</v>
      </c>
      <c r="P647" t="e">
        <f t="shared" si="39"/>
        <v>#VALUE!</v>
      </c>
      <c r="Q647">
        <f t="shared" si="40"/>
        <v>128.74587130512802</v>
      </c>
      <c r="R647">
        <f t="shared" si="41"/>
        <v>142.46597443078213</v>
      </c>
      <c r="S647" t="e">
        <f xml:space="preserve"> 1.667/G647 + P647/A647 * Performance!$E$12 + Performance!$E$23 / Constraints!P647 * Constraints!A647</f>
        <v>#VALUE!</v>
      </c>
      <c r="T647">
        <f xml:space="preserve"> 1.667/H647 + Q647/A647 * Performance!$E$12 + Performance!$E$23 / Constraints!Q647 * Constraints!A647</f>
        <v>0.18119484758096471</v>
      </c>
      <c r="U647">
        <f xml:space="preserve"> 1.667/I647 + R647/A647 * Performance!$E$12 + Performance!$E$23 / Constraints!R647 * Constraints!A647</f>
        <v>0.1697078873063278</v>
      </c>
    </row>
    <row r="648" spans="1:21" x14ac:dyDescent="0.3">
      <c r="A648" s="51">
        <v>323</v>
      </c>
      <c r="B648" s="50">
        <f>$V$4*Performance!$E$12*(1/A648)+Performance!$E$23*(1/Constraints!$V$4)*Constraints!A648</f>
        <v>0.10071957674701498</v>
      </c>
      <c r="C648" s="50">
        <f>$V$5*Performance!$E$12*(1/A648)+Performance!$E$23*(1/Constraints!$V$5)*Constraints!A648</f>
        <v>0.14545481330237006</v>
      </c>
      <c r="D648" s="52">
        <f t="shared" si="38"/>
        <v>0.42447157013649556</v>
      </c>
      <c r="E648" s="52">
        <f>$V$4*Performance!$E$12*(1/A648)+Performance!$E$23*(1/Constraints!$V$9)*Constraints!A648</f>
        <v>9.92608570123856E-2</v>
      </c>
      <c r="F648" s="52">
        <f xml:space="preserve"> 1.21 / (9.81 * Constraints!$N$7 * Performance!$E$15 * Constraints!$N$5 ) * Constraints!A648 + 0.605 /Performance!$E$15 * (Performance!$E$16  - Constraints!$N$6 * Performance!$E$14) + Constraints!$N$6</f>
        <v>0.42429226680302312</v>
      </c>
      <c r="G648" s="54" t="s">
        <v>198</v>
      </c>
      <c r="H648" s="55">
        <f>SQRT(2/$V$3 * A648 * SQRT(Performance!$E$23 / (3 * Performance!$E$12)))</f>
        <v>22.160601558349931</v>
      </c>
      <c r="I648" s="55">
        <f>SQRT(2/$V$3 * A648 * (SQRT(Performance!$E$23)/(SQRT(3*Performance!$E$12 + 4* Performance!$E$23 * Performance!$E$11^2) - SQRT(Performance!$E$23)*Performance!$E$11)))</f>
        <v>23.311513252405174</v>
      </c>
      <c r="J648" t="e">
        <f xml:space="preserve"> $AC$3/G648 + $AC$6/A648 * Performance!$E$12 + Performance!$E$23/Constraints!$AC$6 * Constraints!A648</f>
        <v>#VALUE!</v>
      </c>
      <c r="K648">
        <f xml:space="preserve"> $AC$3/H648 + $AC$6/A648 * Performance!$E$12 + Performance!$E$23/Constraints!$AC$6 * Constraints!A648</f>
        <v>1.2680343663873292</v>
      </c>
      <c r="L648">
        <f xml:space="preserve"> $AC$3/I648 + $AC$6/A648 * Performance!$E$12 + Performance!$E$23/Constraints!$AC$6 * Constraints!A648</f>
        <v>1.2567167829906529</v>
      </c>
      <c r="M648">
        <f>SIN($AC$9 * PI()/180) + 1/Performance!$AE$5</f>
        <v>0.24073077270730886</v>
      </c>
      <c r="N648">
        <f>SIN($AC$9 * PI()/180) + 1/Performance!$AE$8</f>
        <v>0.22738716112204788</v>
      </c>
      <c r="O648" s="60">
        <f>$AC$16 * (Performance!$E$12/Constraints!A648 + Performance!$E$23 * (Constraints!$AC$13/Constraints!$AC$17)^2 * Constraints!A648)</f>
        <v>2.2212927699419695E-4</v>
      </c>
      <c r="P648" t="e">
        <f t="shared" si="39"/>
        <v>#VALUE!</v>
      </c>
      <c r="Q648">
        <f t="shared" si="40"/>
        <v>128.94547730715146</v>
      </c>
      <c r="R648">
        <f t="shared" si="41"/>
        <v>142.68685191051981</v>
      </c>
      <c r="S648" t="e">
        <f xml:space="preserve"> 1.667/G648 + P648/A648 * Performance!$E$12 + Performance!$E$23 / Constraints!P648 * Constraints!A648</f>
        <v>#VALUE!</v>
      </c>
      <c r="T648">
        <f xml:space="preserve"> 1.667/H648 + Q648/A648 * Performance!$E$12 + Performance!$E$23 / Constraints!Q648 * Constraints!A648</f>
        <v>0.18113655730508166</v>
      </c>
      <c r="U648">
        <f xml:space="preserve"> 1.667/I648 + R648/A648 * Performance!$E$12 + Performance!$E$23 / Constraints!R648 * Constraints!A648</f>
        <v>0.16965247487708801</v>
      </c>
    </row>
    <row r="649" spans="1:21" x14ac:dyDescent="0.3">
      <c r="A649" s="51">
        <v>323.5</v>
      </c>
      <c r="B649" s="50">
        <f>$V$4*Performance!$E$12*(1/A649)+Performance!$E$23*(1/Constraints!$V$4)*Constraints!A649</f>
        <v>0.1006034884326702</v>
      </c>
      <c r="C649" s="50">
        <f>$V$5*Performance!$E$12*(1/A649)+Performance!$E$23*(1/Constraints!$V$5)*Constraints!A649</f>
        <v>0.14525535515425486</v>
      </c>
      <c r="D649" s="52">
        <f t="shared" si="38"/>
        <v>0.42474385584878116</v>
      </c>
      <c r="E649" s="52">
        <f>$V$4*Performance!$E$12*(1/A649)+Performance!$E$23*(1/Constraints!$V$9)*Constraints!A649</f>
        <v>9.9142510617956231E-2</v>
      </c>
      <c r="F649" s="52">
        <f xml:space="preserve"> 1.21 / (9.81 * Constraints!$N$7 * Performance!$E$15 * Constraints!$N$5 ) * Constraints!A649 + 0.605 /Performance!$E$15 * (Performance!$E$16  - Constraints!$N$6 * Performance!$E$14) + Constraints!$N$6</f>
        <v>0.42456427495596899</v>
      </c>
      <c r="G649" s="54" t="s">
        <v>198</v>
      </c>
      <c r="H649" s="55">
        <f>SQRT(2/$V$3 * A649 * SQRT(Performance!$E$23 / (3 * Performance!$E$12)))</f>
        <v>22.177747094035361</v>
      </c>
      <c r="I649" s="55">
        <f>SQRT(2/$V$3 * A649 * (SQRT(Performance!$E$23)/(SQRT(3*Performance!$E$12 + 4* Performance!$E$23 * Performance!$E$11^2) - SQRT(Performance!$E$23)*Performance!$E$11)))</f>
        <v>23.329549242145706</v>
      </c>
      <c r="J649" t="e">
        <f xml:space="preserve"> $AC$3/G649 + $AC$6/A649 * Performance!$E$12 + Performance!$E$23/Constraints!$AC$6 * Constraints!A649</f>
        <v>#VALUE!</v>
      </c>
      <c r="K649">
        <f xml:space="preserve"> $AC$3/H649 + $AC$6/A649 * Performance!$E$12 + Performance!$E$23/Constraints!$AC$6 * Constraints!A649</f>
        <v>1.2694618388285832</v>
      </c>
      <c r="L649">
        <f xml:space="preserve"> $AC$3/I649 + $AC$6/A649 * Performance!$E$12 + Performance!$E$23/Constraints!$AC$6 * Constraints!A649</f>
        <v>1.2581530050145033</v>
      </c>
      <c r="M649">
        <f>SIN($AC$9 * PI()/180) + 1/Performance!$AE$5</f>
        <v>0.24073077270730886</v>
      </c>
      <c r="N649">
        <f>SIN($AC$9 * PI()/180) + 1/Performance!$AE$8</f>
        <v>0.22738716112204788</v>
      </c>
      <c r="O649" s="60">
        <f>$AC$16 * (Performance!$E$12/Constraints!A649 + Performance!$E$23 * (Constraints!$AC$13/Constraints!$AC$17)^2 * Constraints!A649)</f>
        <v>2.2223777650978041E-4</v>
      </c>
      <c r="P649" t="e">
        <f t="shared" si="39"/>
        <v>#VALUE!</v>
      </c>
      <c r="Q649">
        <f t="shared" si="40"/>
        <v>129.14508330917488</v>
      </c>
      <c r="R649">
        <f t="shared" si="41"/>
        <v>142.90772939025743</v>
      </c>
      <c r="S649" t="e">
        <f xml:space="preserve"> 1.667/G649 + P649/A649 * Performance!$E$12 + Performance!$E$23 / Constraints!P649 * Constraints!A649</f>
        <v>#VALUE!</v>
      </c>
      <c r="T649">
        <f xml:space="preserve"> 1.667/H649 + Q649/A649 * Performance!$E$12 + Performance!$E$23 / Constraints!Q649 * Constraints!A649</f>
        <v>0.18107840222121357</v>
      </c>
      <c r="U649">
        <f xml:space="preserve"> 1.667/I649 + R649/A649 * Performance!$E$12 + Performance!$E$23 / Constraints!R649 * Constraints!A649</f>
        <v>0.16959719096530418</v>
      </c>
    </row>
    <row r="650" spans="1:21" x14ac:dyDescent="0.3">
      <c r="A650" s="51">
        <v>324</v>
      </c>
      <c r="B650" s="50">
        <f>$V$4*Performance!$E$12*(1/A650)+Performance!$E$23*(1/Constraints!$V$4)*Constraints!A650</f>
        <v>0.10048781954827539</v>
      </c>
      <c r="C650" s="50">
        <f>$V$5*Performance!$E$12*(1/A650)+Performance!$E$23*(1/Constraints!$V$5)*Constraints!A650</f>
        <v>0.14505655177774213</v>
      </c>
      <c r="D650" s="52">
        <f t="shared" si="38"/>
        <v>0.42501614156106676</v>
      </c>
      <c r="E650" s="52">
        <f>$V$4*Performance!$E$12*(1/A650)+Performance!$E$23*(1/Constraints!$V$9)*Constraints!A650</f>
        <v>9.9024583653476869E-2</v>
      </c>
      <c r="F650" s="52">
        <f xml:space="preserve"> 1.21 / (9.81 * Constraints!$N$7 * Performance!$E$15 * Constraints!$N$5 ) * Constraints!A650 + 0.605 /Performance!$E$15 * (Performance!$E$16  - Constraints!$N$6 * Performance!$E$14) + Constraints!$N$6</f>
        <v>0.42483628310891486</v>
      </c>
      <c r="G650" s="54" t="s">
        <v>198</v>
      </c>
      <c r="H650" s="55">
        <f>SQRT(2/$V$3 * A650 * SQRT(Performance!$E$23 / (3 * Performance!$E$12)))</f>
        <v>22.194879384805102</v>
      </c>
      <c r="I650" s="55">
        <f>SQRT(2/$V$3 * A650 * (SQRT(Performance!$E$23)/(SQRT(3*Performance!$E$12 + 4* Performance!$E$23 * Performance!$E$11^2) - SQRT(Performance!$E$23)*Performance!$E$11)))</f>
        <v>23.347571299095346</v>
      </c>
      <c r="J650" t="e">
        <f xml:space="preserve"> $AC$3/G650 + $AC$6/A650 * Performance!$E$12 + Performance!$E$23/Constraints!$AC$6 * Constraints!A650</f>
        <v>#VALUE!</v>
      </c>
      <c r="K650">
        <f xml:space="preserve"> $AC$3/H650 + $AC$6/A650 * Performance!$E$12 + Performance!$E$23/Constraints!$AC$6 * Constraints!A650</f>
        <v>1.2708897268343382</v>
      </c>
      <c r="L650">
        <f xml:space="preserve"> $AC$3/I650 + $AC$6/A650 * Performance!$E$12 + Performance!$E$23/Constraints!$AC$6 * Constraints!A650</f>
        <v>1.2595896223413692</v>
      </c>
      <c r="M650">
        <f>SIN($AC$9 * PI()/180) + 1/Performance!$AE$5</f>
        <v>0.24073077270730886</v>
      </c>
      <c r="N650">
        <f>SIN($AC$9 * PI()/180) + 1/Performance!$AE$8</f>
        <v>0.22738716112204788</v>
      </c>
      <c r="O650" s="60">
        <f>$AC$16 * (Performance!$E$12/Constraints!A650 + Performance!$E$23 * (Constraints!$AC$13/Constraints!$AC$17)^2 * Constraints!A650)</f>
        <v>2.2234663894485896E-4</v>
      </c>
      <c r="P650" t="e">
        <f t="shared" si="39"/>
        <v>#VALUE!</v>
      </c>
      <c r="Q650">
        <f t="shared" si="40"/>
        <v>129.34468931119835</v>
      </c>
      <c r="R650">
        <f t="shared" si="41"/>
        <v>143.12860686999505</v>
      </c>
      <c r="S650" t="e">
        <f xml:space="preserve"> 1.667/G650 + P650/A650 * Performance!$E$12 + Performance!$E$23 / Constraints!P650 * Constraints!A650</f>
        <v>#VALUE!</v>
      </c>
      <c r="T650">
        <f xml:space="preserve"> 1.667/H650 + Q650/A650 * Performance!$E$12 + Performance!$E$23 / Constraints!Q650 * Constraints!A650</f>
        <v>0.18102038180758465</v>
      </c>
      <c r="U650">
        <f xml:space="preserve"> 1.667/I650 + R650/A650 * Performance!$E$12 + Performance!$E$23 / Constraints!R650 * Constraints!A650</f>
        <v>0.16954203507496113</v>
      </c>
    </row>
    <row r="651" spans="1:21" x14ac:dyDescent="0.3">
      <c r="A651" s="51">
        <v>324.5</v>
      </c>
      <c r="B651" s="50">
        <f>$V$4*Performance!$E$12*(1/A651)+Performance!$E$23*(1/Constraints!$V$4)*Constraints!A651</f>
        <v>0.10037256815501729</v>
      </c>
      <c r="C651" s="50">
        <f>$V$5*Performance!$E$12*(1/A651)+Performance!$E$23*(1/Constraints!$V$5)*Constraints!A651</f>
        <v>0.14485840014615278</v>
      </c>
      <c r="D651" s="52">
        <f t="shared" si="38"/>
        <v>0.42528842727335237</v>
      </c>
      <c r="E651" s="52">
        <f>$V$4*Performance!$E$12*(1/A651)+Performance!$E$23*(1/Constraints!$V$9)*Constraints!A651</f>
        <v>9.8907074180134197E-2</v>
      </c>
      <c r="F651" s="52">
        <f xml:space="preserve"> 1.21 / (9.81 * Constraints!$N$7 * Performance!$E$15 * Constraints!$N$5 ) * Constraints!A651 + 0.605 /Performance!$E$15 * (Performance!$E$16  - Constraints!$N$6 * Performance!$E$14) + Constraints!$N$6</f>
        <v>0.42510829126186067</v>
      </c>
      <c r="G651" s="54" t="s">
        <v>198</v>
      </c>
      <c r="H651" s="55">
        <f>SQRT(2/$V$3 * A651 * SQRT(Performance!$E$23 / (3 * Performance!$E$12)))</f>
        <v>22.211998461306877</v>
      </c>
      <c r="I651" s="55">
        <f>SQRT(2/$V$3 * A651 * (SQRT(Performance!$E$23)/(SQRT(3*Performance!$E$12 + 4* Performance!$E$23 * Performance!$E$11^2) - SQRT(Performance!$E$23)*Performance!$E$11)))</f>
        <v>23.365579455493506</v>
      </c>
      <c r="J651" t="e">
        <f xml:space="preserve"> $AC$3/G651 + $AC$6/A651 * Performance!$E$12 + Performance!$E$23/Constraints!$AC$6 * Constraints!A651</f>
        <v>#VALUE!</v>
      </c>
      <c r="K651">
        <f xml:space="preserve"> $AC$3/H651 + $AC$6/A651 * Performance!$E$12 + Performance!$E$23/Constraints!$AC$6 * Constraints!A651</f>
        <v>1.2723180287992122</v>
      </c>
      <c r="L651">
        <f xml:space="preserve"> $AC$3/I651 + $AC$6/A651 * Performance!$E$12 + Performance!$E$23/Constraints!$AC$6 * Constraints!A651</f>
        <v>1.2610266334439477</v>
      </c>
      <c r="M651">
        <f>SIN($AC$9 * PI()/180) + 1/Performance!$AE$5</f>
        <v>0.24073077270730886</v>
      </c>
      <c r="N651">
        <f>SIN($AC$9 * PI()/180) + 1/Performance!$AE$8</f>
        <v>0.22738716112204788</v>
      </c>
      <c r="O651" s="60">
        <f>$AC$16 * (Performance!$E$12/Constraints!A651 + Performance!$E$23 * (Constraints!$AC$13/Constraints!$AC$17)^2 * Constraints!A651)</f>
        <v>2.2245586262183872E-4</v>
      </c>
      <c r="P651" t="e">
        <f t="shared" si="39"/>
        <v>#VALUE!</v>
      </c>
      <c r="Q651">
        <f t="shared" si="40"/>
        <v>129.54429531322182</v>
      </c>
      <c r="R651">
        <f t="shared" si="41"/>
        <v>143.34948434973271</v>
      </c>
      <c r="S651" t="e">
        <f xml:space="preserve"> 1.667/G651 + P651/A651 * Performance!$E$12 + Performance!$E$23 / Constraints!P651 * Constraints!A651</f>
        <v>#VALUE!</v>
      </c>
      <c r="T651">
        <f xml:space="preserve"> 1.667/H651 + Q651/A651 * Performance!$E$12 + Performance!$E$23 / Constraints!Q651 * Constraints!A651</f>
        <v>0.18096249554523439</v>
      </c>
      <c r="U651">
        <f xml:space="preserve"> 1.667/I651 + R651/A651 * Performance!$E$12 + Performance!$E$23 / Constraints!R651 * Constraints!A651</f>
        <v>0.16948700671271982</v>
      </c>
    </row>
    <row r="652" spans="1:21" x14ac:dyDescent="0.3">
      <c r="A652" s="51">
        <v>325</v>
      </c>
      <c r="B652" s="50">
        <f>$V$4*Performance!$E$12*(1/A652)+Performance!$E$23*(1/Constraints!$V$4)*Constraints!A652</f>
        <v>0.10025773232601366</v>
      </c>
      <c r="C652" s="50">
        <f>$V$5*Performance!$E$12*(1/A652)+Performance!$E$23*(1/Constraints!$V$5)*Constraints!A652</f>
        <v>0.14466089725143316</v>
      </c>
      <c r="D652" s="52">
        <f t="shared" si="38"/>
        <v>0.42556071298563791</v>
      </c>
      <c r="E652" s="52">
        <f>$V$4*Performance!$E$12*(1/A652)+Performance!$E$23*(1/Constraints!$V$9)*Constraints!A652</f>
        <v>9.8789980271046018E-2</v>
      </c>
      <c r="F652" s="52">
        <f xml:space="preserve"> 1.21 / (9.81 * Constraints!$N$7 * Performance!$E$15 * Constraints!$N$5 ) * Constraints!A652 + 0.605 /Performance!$E$15 * (Performance!$E$16  - Constraints!$N$6 * Performance!$E$14) + Constraints!$N$6</f>
        <v>0.42538029941480654</v>
      </c>
      <c r="G652" s="54" t="s">
        <v>198</v>
      </c>
      <c r="H652" s="55">
        <f>SQRT(2/$V$3 * A652 * SQRT(Performance!$E$23 / (3 * Performance!$E$12)))</f>
        <v>22.229104354070401</v>
      </c>
      <c r="I652" s="55">
        <f>SQRT(2/$V$3 * A652 * (SQRT(Performance!$E$23)/(SQRT(3*Performance!$E$12 + 4* Performance!$E$23 * Performance!$E$11^2) - SQRT(Performance!$E$23)*Performance!$E$11)))</f>
        <v>23.383573743455457</v>
      </c>
      <c r="J652" t="e">
        <f xml:space="preserve"> $AC$3/G652 + $AC$6/A652 * Performance!$E$12 + Performance!$E$23/Constraints!$AC$6 * Constraints!A652</f>
        <v>#VALUE!</v>
      </c>
      <c r="K652">
        <f xml:space="preserve"> $AC$3/H652 + $AC$6/A652 * Performance!$E$12 + Performance!$E$23/Constraints!$AC$6 * Constraints!A652</f>
        <v>1.2737467431264895</v>
      </c>
      <c r="L652">
        <f xml:space="preserve"> $AC$3/I652 + $AC$6/A652 * Performance!$E$12 + Performance!$E$23/Constraints!$AC$6 * Constraints!A652</f>
        <v>1.2624640368031816</v>
      </c>
      <c r="M652">
        <f>SIN($AC$9 * PI()/180) + 1/Performance!$AE$5</f>
        <v>0.24073077270730886</v>
      </c>
      <c r="N652">
        <f>SIN($AC$9 * PI()/180) + 1/Performance!$AE$8</f>
        <v>0.22738716112204788</v>
      </c>
      <c r="O652" s="60">
        <f>$AC$16 * (Performance!$E$12/Constraints!A652 + Performance!$E$23 * (Constraints!$AC$13/Constraints!$AC$17)^2 * Constraints!A652)</f>
        <v>2.2256544587344925E-4</v>
      </c>
      <c r="P652" t="e">
        <f t="shared" si="39"/>
        <v>#VALUE!</v>
      </c>
      <c r="Q652">
        <f t="shared" si="40"/>
        <v>129.7439013152453</v>
      </c>
      <c r="R652">
        <f t="shared" si="41"/>
        <v>143.57036182947033</v>
      </c>
      <c r="S652" t="e">
        <f xml:space="preserve"> 1.667/G652 + P652/A652 * Performance!$E$12 + Performance!$E$23 / Constraints!P652 * Constraints!A652</f>
        <v>#VALUE!</v>
      </c>
      <c r="T652">
        <f xml:space="preserve"> 1.667/H652 + Q652/A652 * Performance!$E$12 + Performance!$E$23 / Constraints!Q652 * Constraints!A652</f>
        <v>0.18090474291799757</v>
      </c>
      <c r="U652">
        <f xml:space="preserve"> 1.667/I652 + R652/A652 * Performance!$E$12 + Performance!$E$23 / Constraints!R652 * Constraints!A652</f>
        <v>0.16943210538789871</v>
      </c>
    </row>
    <row r="653" spans="1:21" x14ac:dyDescent="0.3">
      <c r="A653" s="51">
        <v>325.5</v>
      </c>
      <c r="B653" s="50">
        <f>$V$4*Performance!$E$12*(1/A653)+Performance!$E$23*(1/Constraints!$V$4)*Constraints!A653</f>
        <v>0.10014331014622192</v>
      </c>
      <c r="C653" s="50">
        <f>$V$5*Performance!$E$12*(1/A653)+Performance!$E$23*(1/Constraints!$V$5)*Constraints!A653</f>
        <v>0.14446404010401259</v>
      </c>
      <c r="D653" s="52">
        <f t="shared" si="38"/>
        <v>0.42583299869792357</v>
      </c>
      <c r="E653" s="52">
        <f>$V$4*Performance!$E$12*(1/A653)+Performance!$E$23*(1/Constraints!$V$9)*Constraints!A653</f>
        <v>9.867330001116971E-2</v>
      </c>
      <c r="F653" s="52">
        <f xml:space="preserve"> 1.21 / (9.81 * Constraints!$N$7 * Performance!$E$15 * Constraints!$N$5 ) * Constraints!A653 + 0.605 /Performance!$E$15 * (Performance!$E$16  - Constraints!$N$6 * Performance!$E$14) + Constraints!$N$6</f>
        <v>0.42565230756775241</v>
      </c>
      <c r="G653" s="54" t="s">
        <v>198</v>
      </c>
      <c r="H653" s="55">
        <f>SQRT(2/$V$3 * A653 * SQRT(Performance!$E$23 / (3 * Performance!$E$12)))</f>
        <v>22.246197093508009</v>
      </c>
      <c r="I653" s="55">
        <f>SQRT(2/$V$3 * A653 * (SQRT(Performance!$E$23)/(SQRT(3*Performance!$E$12 + 4* Performance!$E$23 * Performance!$E$11^2) - SQRT(Performance!$E$23)*Performance!$E$11)))</f>
        <v>23.401554194973013</v>
      </c>
      <c r="J653" t="e">
        <f xml:space="preserve"> $AC$3/G653 + $AC$6/A653 * Performance!$E$12 + Performance!$E$23/Constraints!$AC$6 * Constraints!A653</f>
        <v>#VALUE!</v>
      </c>
      <c r="K653">
        <f xml:space="preserve"> $AC$3/H653 + $AC$6/A653 * Performance!$E$12 + Performance!$E$23/Constraints!$AC$6 * Constraints!A653</f>
        <v>1.2751758682280601</v>
      </c>
      <c r="L653">
        <f xml:space="preserve"> $AC$3/I653 + $AC$6/A653 * Performance!$E$12 + Performance!$E$23/Constraints!$AC$6 * Constraints!A653</f>
        <v>1.2639018309082015</v>
      </c>
      <c r="M653">
        <f>SIN($AC$9 * PI()/180) + 1/Performance!$AE$5</f>
        <v>0.24073077270730886</v>
      </c>
      <c r="N653">
        <f>SIN($AC$9 * PI()/180) + 1/Performance!$AE$8</f>
        <v>0.22738716112204788</v>
      </c>
      <c r="O653" s="60">
        <f>$AC$16 * (Performance!$E$12/Constraints!A653 + Performance!$E$23 * (Constraints!$AC$13/Constraints!$AC$17)^2 * Constraints!A653)</f>
        <v>2.2267538704266471E-4</v>
      </c>
      <c r="P653" t="e">
        <f t="shared" si="39"/>
        <v>#VALUE!</v>
      </c>
      <c r="Q653">
        <f t="shared" si="40"/>
        <v>129.94350731726874</v>
      </c>
      <c r="R653">
        <f t="shared" si="41"/>
        <v>143.79123930920801</v>
      </c>
      <c r="S653" t="e">
        <f xml:space="preserve"> 1.667/G653 + P653/A653 * Performance!$E$12 + Performance!$E$23 / Constraints!P653 * Constraints!A653</f>
        <v>#VALUE!</v>
      </c>
      <c r="T653">
        <f xml:space="preserve"> 1.667/H653 + Q653/A653 * Performance!$E$12 + Performance!$E$23 / Constraints!Q653 * Constraints!A653</f>
        <v>0.18084712341248524</v>
      </c>
      <c r="U653">
        <f xml:space="preserve"> 1.667/I653 + R653/A653 * Performance!$E$12 + Performance!$E$23 / Constraints!R653 * Constraints!A653</f>
        <v>0.16937733061245519</v>
      </c>
    </row>
    <row r="654" spans="1:21" x14ac:dyDescent="0.3">
      <c r="A654" s="51">
        <v>326</v>
      </c>
      <c r="B654" s="50">
        <f>$V$4*Performance!$E$12*(1/A654)+Performance!$E$23*(1/Constraints!$V$4)*Constraints!A654</f>
        <v>0.10002929971234811</v>
      </c>
      <c r="C654" s="50">
        <f>$V$5*Performance!$E$12*(1/A654)+Performance!$E$23*(1/Constraints!$V$5)*Constraints!A654</f>
        <v>0.14426782573266106</v>
      </c>
      <c r="D654" s="52">
        <f t="shared" si="38"/>
        <v>0.42610528441020912</v>
      </c>
      <c r="E654" s="52">
        <f>$V$4*Performance!$E$12*(1/A654)+Performance!$E$23*(1/Constraints!$V$9)*Constraints!A654</f>
        <v>9.8557031497211331E-2</v>
      </c>
      <c r="F654" s="52">
        <f xml:space="preserve"> 1.21 / (9.81 * Constraints!$N$7 * Performance!$E$15 * Constraints!$N$5 ) * Constraints!A654 + 0.605 /Performance!$E$15 * (Performance!$E$16  - Constraints!$N$6 * Performance!$E$14) + Constraints!$N$6</f>
        <v>0.42592431572069822</v>
      </c>
      <c r="G654" s="54" t="s">
        <v>198</v>
      </c>
      <c r="H654" s="55">
        <f>SQRT(2/$V$3 * A654 * SQRT(Performance!$E$23 / (3 * Performance!$E$12)))</f>
        <v>22.263276709915292</v>
      </c>
      <c r="I654" s="55">
        <f>SQRT(2/$V$3 * A654 * (SQRT(Performance!$E$23)/(SQRT(3*Performance!$E$12 + 4* Performance!$E$23 * Performance!$E$11^2) - SQRT(Performance!$E$23)*Performance!$E$11)))</f>
        <v>23.419520841915155</v>
      </c>
      <c r="J654" t="e">
        <f xml:space="preserve"> $AC$3/G654 + $AC$6/A654 * Performance!$E$12 + Performance!$E$23/Constraints!$AC$6 * Constraints!A654</f>
        <v>#VALUE!</v>
      </c>
      <c r="K654">
        <f xml:space="preserve"> $AC$3/H654 + $AC$6/A654 * Performance!$E$12 + Performance!$E$23/Constraints!$AC$6 * Constraints!A654</f>
        <v>1.2766054025243612</v>
      </c>
      <c r="L654">
        <f xml:space="preserve"> $AC$3/I654 + $AC$6/A654 * Performance!$E$12 + Performance!$E$23/Constraints!$AC$6 * Constraints!A654</f>
        <v>1.2653400142562703</v>
      </c>
      <c r="M654">
        <f>SIN($AC$9 * PI()/180) + 1/Performance!$AE$5</f>
        <v>0.24073077270730886</v>
      </c>
      <c r="N654">
        <f>SIN($AC$9 * PI()/180) + 1/Performance!$AE$8</f>
        <v>0.22738716112204788</v>
      </c>
      <c r="O654" s="60">
        <f>$AC$16 * (Performance!$E$12/Constraints!A654 + Performance!$E$23 * (Constraints!$AC$13/Constraints!$AC$17)^2 * Constraints!A654)</f>
        <v>2.2278568448262485E-4</v>
      </c>
      <c r="P654" t="e">
        <f t="shared" si="39"/>
        <v>#VALUE!</v>
      </c>
      <c r="Q654">
        <f t="shared" si="40"/>
        <v>130.14311331929218</v>
      </c>
      <c r="R654">
        <f t="shared" si="41"/>
        <v>144.01211678894566</v>
      </c>
      <c r="S654" t="e">
        <f xml:space="preserve"> 1.667/G654 + P654/A654 * Performance!$E$12 + Performance!$E$23 / Constraints!P654 * Constraints!A654</f>
        <v>#VALUE!</v>
      </c>
      <c r="T654">
        <f xml:space="preserve"> 1.667/H654 + Q654/A654 * Performance!$E$12 + Performance!$E$23 / Constraints!Q654 * Constraints!A654</f>
        <v>0.18078963651806534</v>
      </c>
      <c r="U654">
        <f xml:space="preserve"> 1.667/I654 + R654/A654 * Performance!$E$12 + Performance!$E$23 / Constraints!R654 * Constraints!A654</f>
        <v>0.16932268190096778</v>
      </c>
    </row>
    <row r="655" spans="1:21" x14ac:dyDescent="0.3">
      <c r="A655" s="51">
        <v>326.5</v>
      </c>
      <c r="B655" s="50">
        <f>$V$4*Performance!$E$12*(1/A655)+Performance!$E$23*(1/Constraints!$V$4)*Constraints!A655</f>
        <v>9.9915699132757066E-2</v>
      </c>
      <c r="C655" s="50">
        <f>$V$5*Performance!$E$12*(1/A655)+Performance!$E$23*(1/Constraints!$V$5)*Constraints!A655</f>
        <v>0.14407225118434921</v>
      </c>
      <c r="D655" s="52">
        <f t="shared" si="38"/>
        <v>0.42637757012249478</v>
      </c>
      <c r="E655" s="52">
        <f>$V$4*Performance!$E$12*(1/A655)+Performance!$E$23*(1/Constraints!$V$9)*Constraints!A655</f>
        <v>9.8441172837535715E-2</v>
      </c>
      <c r="F655" s="52">
        <f xml:space="preserve"> 1.21 / (9.81 * Constraints!$N$7 * Performance!$E$15 * Constraints!$N$5 ) * Constraints!A655 + 0.605 /Performance!$E$15 * (Performance!$E$16  - Constraints!$N$6 * Performance!$E$14) + Constraints!$N$6</f>
        <v>0.42619632387364415</v>
      </c>
      <c r="G655" s="54" t="s">
        <v>198</v>
      </c>
      <c r="H655" s="55">
        <f>SQRT(2/$V$3 * A655 * SQRT(Performance!$E$23 / (3 * Performance!$E$12)))</f>
        <v>22.280343233471722</v>
      </c>
      <c r="I655" s="55">
        <f>SQRT(2/$V$3 * A655 * (SQRT(Performance!$E$23)/(SQRT(3*Performance!$E$12 + 4* Performance!$E$23 * Performance!$E$11^2) - SQRT(Performance!$E$23)*Performance!$E$11)))</f>
        <v>23.437473716028734</v>
      </c>
      <c r="J655" t="e">
        <f xml:space="preserve"> $AC$3/G655 + $AC$6/A655 * Performance!$E$12 + Performance!$E$23/Constraints!$AC$6 * Constraints!A655</f>
        <v>#VALUE!</v>
      </c>
      <c r="K655">
        <f xml:space="preserve"> $AC$3/H655 + $AC$6/A655 * Performance!$E$12 + Performance!$E$23/Constraints!$AC$6 * Constraints!A655</f>
        <v>1.2780353444443164</v>
      </c>
      <c r="L655">
        <f xml:space="preserve"> $AC$3/I655 + $AC$6/A655 * Performance!$E$12 + Performance!$E$23/Constraints!$AC$6 * Constraints!A655</f>
        <v>1.2667785853527258</v>
      </c>
      <c r="M655">
        <f>SIN($AC$9 * PI()/180) + 1/Performance!$AE$5</f>
        <v>0.24073077270730886</v>
      </c>
      <c r="N655">
        <f>SIN($AC$9 * PI()/180) + 1/Performance!$AE$8</f>
        <v>0.22738716112204788</v>
      </c>
      <c r="O655" s="60">
        <f>$AC$16 * (Performance!$E$12/Constraints!A655 + Performance!$E$23 * (Constraints!$AC$13/Constraints!$AC$17)^2 * Constraints!A655)</f>
        <v>2.2289633655655762E-4</v>
      </c>
      <c r="P655" t="e">
        <f t="shared" si="39"/>
        <v>#VALUE!</v>
      </c>
      <c r="Q655">
        <f t="shared" si="40"/>
        <v>130.34271932131563</v>
      </c>
      <c r="R655">
        <f t="shared" si="41"/>
        <v>144.23299426868329</v>
      </c>
      <c r="S655" t="e">
        <f xml:space="preserve"> 1.667/G655 + P655/A655 * Performance!$E$12 + Performance!$E$23 / Constraints!P655 * Constraints!A655</f>
        <v>#VALUE!</v>
      </c>
      <c r="T655">
        <f xml:space="preserve"> 1.667/H655 + Q655/A655 * Performance!$E$12 + Performance!$E$23 / Constraints!Q655 * Constraints!A655</f>
        <v>0.1807322817268438</v>
      </c>
      <c r="U655">
        <f xml:space="preserve"> 1.667/I655 + R655/A655 * Performance!$E$12 + Performance!$E$23 / Constraints!R655 * Constraints!A655</f>
        <v>0.16926815877061749</v>
      </c>
    </row>
    <row r="656" spans="1:21" x14ac:dyDescent="0.3">
      <c r="A656" s="51">
        <v>327</v>
      </c>
      <c r="B656" s="50">
        <f>$V$4*Performance!$E$12*(1/A656)+Performance!$E$23*(1/Constraints!$V$4)*Constraints!A656</f>
        <v>9.9802506527383303E-2</v>
      </c>
      <c r="C656" s="50">
        <f>$V$5*Performance!$E$12*(1/A656)+Performance!$E$23*(1/Constraints!$V$5)*Constraints!A656</f>
        <v>0.14387731352410899</v>
      </c>
      <c r="D656" s="52">
        <f t="shared" si="38"/>
        <v>0.42664985583478032</v>
      </c>
      <c r="E656" s="52">
        <f>$V$4*Performance!$E$12*(1/A656)+Performance!$E$23*(1/Constraints!$V$9)*Constraints!A656</f>
        <v>9.8325722152077383E-2</v>
      </c>
      <c r="F656" s="52">
        <f xml:space="preserve"> 1.21 / (9.81 * Constraints!$N$7 * Performance!$E$15 * Constraints!$N$5 ) * Constraints!A656 + 0.605 /Performance!$E$15 * (Performance!$E$16  - Constraints!$N$6 * Performance!$E$14) + Constraints!$N$6</f>
        <v>0.42646833202658996</v>
      </c>
      <c r="G656" s="54" t="s">
        <v>198</v>
      </c>
      <c r="H656" s="55">
        <f>SQRT(2/$V$3 * A656 * SQRT(Performance!$E$23 / (3 * Performance!$E$12)))</f>
        <v>22.297396694241275</v>
      </c>
      <c r="I656" s="55">
        <f>SQRT(2/$V$3 * A656 * (SQRT(Performance!$E$23)/(SQRT(3*Performance!$E$12 + 4* Performance!$E$23 * Performance!$E$11^2) - SQRT(Performance!$E$23)*Performance!$E$11)))</f>
        <v>23.455412848939094</v>
      </c>
      <c r="J656" t="e">
        <f xml:space="preserve"> $AC$3/G656 + $AC$6/A656 * Performance!$E$12 + Performance!$E$23/Constraints!$AC$6 * Constraints!A656</f>
        <v>#VALUE!</v>
      </c>
      <c r="K656">
        <f xml:space="preserve"> $AC$3/H656 + $AC$6/A656 * Performance!$E$12 + Performance!$E$23/Constraints!$AC$6 * Constraints!A656</f>
        <v>1.2794656924252785</v>
      </c>
      <c r="L656">
        <f xml:space="preserve"> $AC$3/I656 + $AC$6/A656 * Performance!$E$12 + Performance!$E$23/Constraints!$AC$6 * Constraints!A656</f>
        <v>1.2682175427109259</v>
      </c>
      <c r="M656">
        <f>SIN($AC$9 * PI()/180) + 1/Performance!$AE$5</f>
        <v>0.24073077270730886</v>
      </c>
      <c r="N656">
        <f>SIN($AC$9 * PI()/180) + 1/Performance!$AE$8</f>
        <v>0.22738716112204788</v>
      </c>
      <c r="O656" s="60">
        <f>$AC$16 * (Performance!$E$12/Constraints!A656 + Performance!$E$23 * (Constraints!$AC$13/Constraints!$AC$17)^2 * Constraints!A656)</f>
        <v>2.2300734163770153E-4</v>
      </c>
      <c r="P656" t="e">
        <f t="shared" si="39"/>
        <v>#VALUE!</v>
      </c>
      <c r="Q656">
        <f t="shared" si="40"/>
        <v>130.5423253233391</v>
      </c>
      <c r="R656">
        <f t="shared" si="41"/>
        <v>144.45387174842091</v>
      </c>
      <c r="S656" t="e">
        <f xml:space="preserve"> 1.667/G656 + P656/A656 * Performance!$E$12 + Performance!$E$23 / Constraints!P656 * Constraints!A656</f>
        <v>#VALUE!</v>
      </c>
      <c r="T656">
        <f xml:space="preserve"> 1.667/H656 + Q656/A656 * Performance!$E$12 + Performance!$E$23 / Constraints!Q656 * Constraints!A656</f>
        <v>0.18067505853364568</v>
      </c>
      <c r="U656">
        <f xml:space="preserve"> 1.667/I656 + R656/A656 * Performance!$E$12 + Performance!$E$23 / Constraints!R656 * Constraints!A656</f>
        <v>0.16921376074117045</v>
      </c>
    </row>
    <row r="657" spans="1:21" x14ac:dyDescent="0.3">
      <c r="A657" s="51">
        <v>327.5</v>
      </c>
      <c r="B657" s="50">
        <f>$V$4*Performance!$E$12*(1/A657)+Performance!$E$23*(1/Constraints!$V$4)*Constraints!A657</f>
        <v>9.9689720027642592E-2</v>
      </c>
      <c r="C657" s="50">
        <f>$V$5*Performance!$E$12*(1/A657)+Performance!$E$23*(1/Constraints!$V$5)*Constraints!A657</f>
        <v>0.14368300983489571</v>
      </c>
      <c r="D657" s="52">
        <f t="shared" si="38"/>
        <v>0.42692214154706593</v>
      </c>
      <c r="E657" s="52">
        <f>$V$4*Performance!$E$12*(1/A657)+Performance!$E$23*(1/Constraints!$V$9)*Constraints!A657</f>
        <v>9.8210677572252117E-2</v>
      </c>
      <c r="F657" s="52">
        <f xml:space="preserve"> 1.21 / (9.81 * Constraints!$N$7 * Performance!$E$15 * Constraints!$N$5 ) * Constraints!A657 + 0.605 /Performance!$E$15 * (Performance!$E$16  - Constraints!$N$6 * Performance!$E$14) + Constraints!$N$6</f>
        <v>0.42674034017953583</v>
      </c>
      <c r="G657" s="54" t="s">
        <v>198</v>
      </c>
      <c r="H657" s="55">
        <f>SQRT(2/$V$3 * A657 * SQRT(Performance!$E$23 / (3 * Performance!$E$12)))</f>
        <v>22.314437122173043</v>
      </c>
      <c r="I657" s="55">
        <f>SQRT(2/$V$3 * A657 * (SQRT(Performance!$E$23)/(SQRT(3*Performance!$E$12 + 4* Performance!$E$23 * Performance!$E$11^2) - SQRT(Performance!$E$23)*Performance!$E$11)))</f>
        <v>23.473338272150741</v>
      </c>
      <c r="J657" t="e">
        <f xml:space="preserve"> $AC$3/G657 + $AC$6/A657 * Performance!$E$12 + Performance!$E$23/Constraints!$AC$6 * Constraints!A657</f>
        <v>#VALUE!</v>
      </c>
      <c r="K657">
        <f xml:space="preserve"> $AC$3/H657 + $AC$6/A657 * Performance!$E$12 + Performance!$E$23/Constraints!$AC$6 * Constraints!A657</f>
        <v>1.2808964449129721</v>
      </c>
      <c r="L657">
        <f xml:space="preserve"> $AC$3/I657 + $AC$6/A657 * Performance!$E$12 + Performance!$E$23/Constraints!$AC$6 * Constraints!A657</f>
        <v>1.269656884852193</v>
      </c>
      <c r="M657">
        <f>SIN($AC$9 * PI()/180) + 1/Performance!$AE$5</f>
        <v>0.24073077270730886</v>
      </c>
      <c r="N657">
        <f>SIN($AC$9 * PI()/180) + 1/Performance!$AE$8</f>
        <v>0.22738716112204788</v>
      </c>
      <c r="O657" s="60">
        <f>$AC$16 * (Performance!$E$12/Constraints!A657 + Performance!$E$23 * (Constraints!$AC$13/Constraints!$AC$17)^2 * Constraints!A657)</f>
        <v>2.2311869810922978E-4</v>
      </c>
      <c r="P657" t="e">
        <f t="shared" si="39"/>
        <v>#VALUE!</v>
      </c>
      <c r="Q657">
        <f t="shared" si="40"/>
        <v>130.74193132536254</v>
      </c>
      <c r="R657">
        <f t="shared" si="41"/>
        <v>144.67474922815862</v>
      </c>
      <c r="S657" t="e">
        <f xml:space="preserve"> 1.667/G657 + P657/A657 * Performance!$E$12 + Performance!$E$23 / Constraints!P657 * Constraints!A657</f>
        <v>#VALUE!</v>
      </c>
      <c r="T657">
        <f xml:space="preserve"> 1.667/H657 + Q657/A657 * Performance!$E$12 + Performance!$E$23 / Constraints!Q657 * Constraints!A657</f>
        <v>0.18061796643599654</v>
      </c>
      <c r="U657">
        <f xml:space="preserve"> 1.667/I657 + R657/A657 * Performance!$E$12 + Performance!$E$23 / Constraints!R657 * Constraints!A657</f>
        <v>0.16915948733495972</v>
      </c>
    </row>
    <row r="658" spans="1:21" x14ac:dyDescent="0.3">
      <c r="A658" s="51">
        <v>328</v>
      </c>
      <c r="B658" s="50">
        <f>$V$4*Performance!$E$12*(1/A658)+Performance!$E$23*(1/Constraints!$V$4)*Constraints!A658</f>
        <v>9.9577337776344574E-2</v>
      </c>
      <c r="C658" s="50">
        <f>$V$5*Performance!$E$12*(1/A658)+Performance!$E$23*(1/Constraints!$V$5)*Constraints!A658</f>
        <v>0.14348933721745169</v>
      </c>
      <c r="D658" s="52">
        <f t="shared" si="38"/>
        <v>0.42719442725935153</v>
      </c>
      <c r="E658" s="52">
        <f>$V$4*Performance!$E$12*(1/A658)+Performance!$E$23*(1/Constraints!$V$9)*Constraints!A658</f>
        <v>9.809603724086953E-2</v>
      </c>
      <c r="F658" s="52">
        <f xml:space="preserve"> 1.21 / (9.81 * Constraints!$N$7 * Performance!$E$15 * Constraints!$N$5 ) * Constraints!A658 + 0.605 /Performance!$E$15 * (Performance!$E$16  - Constraints!$N$6 * Performance!$E$14) + Constraints!$N$6</f>
        <v>0.42701234833248169</v>
      </c>
      <c r="G658" s="54" t="s">
        <v>198</v>
      </c>
      <c r="H658" s="55">
        <f>SQRT(2/$V$3 * A658 * SQRT(Performance!$E$23 / (3 * Performance!$E$12)))</f>
        <v>22.331464547101852</v>
      </c>
      <c r="I658" s="55">
        <f>SQRT(2/$V$3 * A658 * (SQRT(Performance!$E$23)/(SQRT(3*Performance!$E$12 + 4* Performance!$E$23 * Performance!$E$11^2) - SQRT(Performance!$E$23)*Performance!$E$11)))</f>
        <v>23.491250017047967</v>
      </c>
      <c r="J658" t="e">
        <f xml:space="preserve"> $AC$3/G658 + $AC$6/A658 * Performance!$E$12 + Performance!$E$23/Constraints!$AC$6 * Constraints!A658</f>
        <v>#VALUE!</v>
      </c>
      <c r="K658">
        <f xml:space="preserve"> $AC$3/H658 + $AC$6/A658 * Performance!$E$12 + Performance!$E$23/Constraints!$AC$6 * Constraints!A658</f>
        <v>1.2823276003614335</v>
      </c>
      <c r="L658">
        <f xml:space="preserve"> $AC$3/I658 + $AC$6/A658 * Performance!$E$12 + Performance!$E$23/Constraints!$AC$6 * Constraints!A658</f>
        <v>1.2710966103057593</v>
      </c>
      <c r="M658">
        <f>SIN($AC$9 * PI()/180) + 1/Performance!$AE$5</f>
        <v>0.24073077270730886</v>
      </c>
      <c r="N658">
        <f>SIN($AC$9 * PI()/180) + 1/Performance!$AE$8</f>
        <v>0.22738716112204788</v>
      </c>
      <c r="O658" s="60">
        <f>$AC$16 * (Performance!$E$12/Constraints!A658 + Performance!$E$23 * (Constraints!$AC$13/Constraints!$AC$17)^2 * Constraints!A658)</f>
        <v>2.2323040436417411E-4</v>
      </c>
      <c r="P658" t="e">
        <f t="shared" si="39"/>
        <v>#VALUE!</v>
      </c>
      <c r="Q658">
        <f t="shared" si="40"/>
        <v>130.94153732738602</v>
      </c>
      <c r="R658">
        <f t="shared" si="41"/>
        <v>144.89562670789627</v>
      </c>
      <c r="S658" t="e">
        <f xml:space="preserve"> 1.667/G658 + P658/A658 * Performance!$E$12 + Performance!$E$23 / Constraints!P658 * Constraints!A658</f>
        <v>#VALUE!</v>
      </c>
      <c r="T658">
        <f xml:space="preserve"> 1.667/H658 + Q658/A658 * Performance!$E$12 + Performance!$E$23 / Constraints!Q658 * Constraints!A658</f>
        <v>0.18056100493410374</v>
      </c>
      <c r="U658">
        <f xml:space="preserve"> 1.667/I658 + R658/A658 * Performance!$E$12 + Performance!$E$23 / Constraints!R658 * Constraints!A658</f>
        <v>0.16910533807686812</v>
      </c>
    </row>
    <row r="659" spans="1:21" x14ac:dyDescent="0.3">
      <c r="A659" s="51">
        <v>328.5</v>
      </c>
      <c r="B659" s="50">
        <f>$V$4*Performance!$E$12*(1/A659)+Performance!$E$23*(1/Constraints!$V$4)*Constraints!A659</f>
        <v>9.9465357927605913E-2</v>
      </c>
      <c r="C659" s="50">
        <f>$V$5*Performance!$E$12*(1/A659)+Performance!$E$23*(1/Constraints!$V$5)*Constraints!A659</f>
        <v>0.14329629279017067</v>
      </c>
      <c r="D659" s="52">
        <f t="shared" si="38"/>
        <v>0.42746671297163713</v>
      </c>
      <c r="E659" s="52">
        <f>$V$4*Performance!$E$12*(1/A659)+Performance!$E$23*(1/Constraints!$V$9)*Constraints!A659</f>
        <v>9.79817993120463E-2</v>
      </c>
      <c r="F659" s="52">
        <f xml:space="preserve"> 1.21 / (9.81 * Constraints!$N$7 * Performance!$E$15 * Constraints!$N$5 ) * Constraints!A659 + 0.605 /Performance!$E$15 * (Performance!$E$16  - Constraints!$N$6 * Performance!$E$14) + Constraints!$N$6</f>
        <v>0.42728435648542751</v>
      </c>
      <c r="G659" s="54" t="s">
        <v>198</v>
      </c>
      <c r="H659" s="55">
        <f>SQRT(2/$V$3 * A659 * SQRT(Performance!$E$23 / (3 * Performance!$E$12)))</f>
        <v>22.348478998748874</v>
      </c>
      <c r="I659" s="55">
        <f>SQRT(2/$V$3 * A659 * (SQRT(Performance!$E$23)/(SQRT(3*Performance!$E$12 + 4* Performance!$E$23 * Performance!$E$11^2) - SQRT(Performance!$E$23)*Performance!$E$11)))</f>
        <v>23.50914811489552</v>
      </c>
      <c r="J659" t="e">
        <f xml:space="preserve"> $AC$3/G659 + $AC$6/A659 * Performance!$E$12 + Performance!$E$23/Constraints!$AC$6 * Constraints!A659</f>
        <v>#VALUE!</v>
      </c>
      <c r="K659">
        <f xml:space="preserve"> $AC$3/H659 + $AC$6/A659 * Performance!$E$12 + Performance!$E$23/Constraints!$AC$6 * Constraints!A659</f>
        <v>1.2837591572329567</v>
      </c>
      <c r="L659">
        <f xml:space="preserve"> $AC$3/I659 + $AC$6/A659 * Performance!$E$12 + Performance!$E$23/Constraints!$AC$6 * Constraints!A659</f>
        <v>1.2725367176087128</v>
      </c>
      <c r="M659">
        <f>SIN($AC$9 * PI()/180) + 1/Performance!$AE$5</f>
        <v>0.24073077270730886</v>
      </c>
      <c r="N659">
        <f>SIN($AC$9 * PI()/180) + 1/Performance!$AE$8</f>
        <v>0.22738716112204788</v>
      </c>
      <c r="O659" s="60">
        <f>$AC$16 * (Performance!$E$12/Constraints!A659 + Performance!$E$23 * (Constraints!$AC$13/Constraints!$AC$17)^2 * Constraints!A659)</f>
        <v>2.2334245880534996E-4</v>
      </c>
      <c r="P659" t="e">
        <f t="shared" si="39"/>
        <v>#VALUE!</v>
      </c>
      <c r="Q659">
        <f t="shared" si="40"/>
        <v>131.14114332940949</v>
      </c>
      <c r="R659">
        <f t="shared" si="41"/>
        <v>145.11650418763392</v>
      </c>
      <c r="S659" t="e">
        <f xml:space="preserve"> 1.667/G659 + P659/A659 * Performance!$E$12 + Performance!$E$23 / Constraints!P659 * Constraints!A659</f>
        <v>#VALUE!</v>
      </c>
      <c r="T659">
        <f xml:space="preserve"> 1.667/H659 + Q659/A659 * Performance!$E$12 + Performance!$E$23 / Constraints!Q659 * Constraints!A659</f>
        <v>0.18050417353083828</v>
      </c>
      <c r="U659">
        <f xml:space="preserve"> 1.667/I659 + R659/A659 * Performance!$E$12 + Performance!$E$23 / Constraints!R659 * Constraints!A659</f>
        <v>0.16905131249431019</v>
      </c>
    </row>
    <row r="660" spans="1:21" x14ac:dyDescent="0.3">
      <c r="A660" s="51">
        <v>329</v>
      </c>
      <c r="B660" s="50">
        <f>$V$4*Performance!$E$12*(1/A660)+Performance!$E$23*(1/Constraints!$V$4)*Constraints!A660</f>
        <v>9.9353778646764507E-2</v>
      </c>
      <c r="C660" s="50">
        <f>$V$5*Performance!$E$12*(1/A660)+Performance!$E$23*(1/Constraints!$V$5)*Constraints!A660</f>
        <v>0.14310387368896377</v>
      </c>
      <c r="D660" s="52">
        <f t="shared" si="38"/>
        <v>0.42773899868392273</v>
      </c>
      <c r="E660" s="52">
        <f>$V$4*Performance!$E$12*(1/A660)+Performance!$E$23*(1/Constraints!$V$9)*Constraints!A660</f>
        <v>9.7867961951120339E-2</v>
      </c>
      <c r="F660" s="52">
        <f xml:space="preserve"> 1.21 / (9.81 * Constraints!$N$7 * Performance!$E$15 * Constraints!$N$5 ) * Constraints!A660 + 0.605 /Performance!$E$15 * (Performance!$E$16  - Constraints!$N$6 * Performance!$E$14) + Constraints!$N$6</f>
        <v>0.42755636463837343</v>
      </c>
      <c r="G660" s="54" t="s">
        <v>198</v>
      </c>
      <c r="H660" s="55">
        <f>SQRT(2/$V$3 * A660 * SQRT(Performance!$E$23 / (3 * Performance!$E$12)))</f>
        <v>22.365480506722228</v>
      </c>
      <c r="I660" s="55">
        <f>SQRT(2/$V$3 * A660 * (SQRT(Performance!$E$23)/(SQRT(3*Performance!$E$12 + 4* Performance!$E$23 * Performance!$E$11^2) - SQRT(Performance!$E$23)*Performance!$E$11)))</f>
        <v>23.527032596839213</v>
      </c>
      <c r="J660" t="e">
        <f xml:space="preserve"> $AC$3/G660 + $AC$6/A660 * Performance!$E$12 + Performance!$E$23/Constraints!$AC$6 * Constraints!A660</f>
        <v>#VALUE!</v>
      </c>
      <c r="K660">
        <f xml:space="preserve"> $AC$3/H660 + $AC$6/A660 * Performance!$E$12 + Performance!$E$23/Constraints!$AC$6 * Constraints!A660</f>
        <v>1.2851911139980343</v>
      </c>
      <c r="L660">
        <f xml:space="preserve"> $AC$3/I660 + $AC$6/A660 * Performance!$E$12 + Performance!$E$23/Constraints!$AC$6 * Constraints!A660</f>
        <v>1.2739772053059426</v>
      </c>
      <c r="M660">
        <f>SIN($AC$9 * PI()/180) + 1/Performance!$AE$5</f>
        <v>0.24073077270730886</v>
      </c>
      <c r="N660">
        <f>SIN($AC$9 * PI()/180) + 1/Performance!$AE$8</f>
        <v>0.22738716112204788</v>
      </c>
      <c r="O660" s="60">
        <f>$AC$16 * (Performance!$E$12/Constraints!A660 + Performance!$E$23 * (Constraints!$AC$13/Constraints!$AC$17)^2 * Constraints!A660)</f>
        <v>2.2345485984528207E-4</v>
      </c>
      <c r="P660" t="e">
        <f t="shared" si="39"/>
        <v>#VALUE!</v>
      </c>
      <c r="Q660">
        <f t="shared" si="40"/>
        <v>131.3407493314329</v>
      </c>
      <c r="R660">
        <f t="shared" si="41"/>
        <v>145.33738166737155</v>
      </c>
      <c r="S660" t="e">
        <f xml:space="preserve"> 1.667/G660 + P660/A660 * Performance!$E$12 + Performance!$E$23 / Constraints!P660 * Constraints!A660</f>
        <v>#VALUE!</v>
      </c>
      <c r="T660">
        <f xml:space="preserve"> 1.667/H660 + Q660/A660 * Performance!$E$12 + Performance!$E$23 / Constraints!Q660 * Constraints!A660</f>
        <v>0.18044747173171644</v>
      </c>
      <c r="U660">
        <f xml:space="preserve"> 1.667/I660 + R660/A660 * Performance!$E$12 + Performance!$E$23 / Constraints!R660 * Constraints!A660</f>
        <v>0.16899741011721542</v>
      </c>
    </row>
    <row r="661" spans="1:21" x14ac:dyDescent="0.3">
      <c r="A661" s="51">
        <v>329.5</v>
      </c>
      <c r="B661" s="50">
        <f>$V$4*Performance!$E$12*(1/A661)+Performance!$E$23*(1/Constraints!$V$4)*Constraints!A661</f>
        <v>9.9242598110294261E-2</v>
      </c>
      <c r="C661" s="50">
        <f>$V$5*Performance!$E$12*(1/A661)+Performance!$E$23*(1/Constraints!$V$5)*Constraints!A661</f>
        <v>0.14291207706712653</v>
      </c>
      <c r="D661" s="52">
        <f t="shared" si="38"/>
        <v>0.42801128439620834</v>
      </c>
      <c r="E661" s="52">
        <f>$V$4*Performance!$E$12*(1/A661)+Performance!$E$23*(1/Constraints!$V$9)*Constraints!A661</f>
        <v>9.7754523334565524E-2</v>
      </c>
      <c r="F661" s="52">
        <f xml:space="preserve"> 1.21 / (9.81 * Constraints!$N$7 * Performance!$E$15 * Constraints!$N$5 ) * Constraints!A661 + 0.605 /Performance!$E$15 * (Performance!$E$16  - Constraints!$N$6 * Performance!$E$14) + Constraints!$N$6</f>
        <v>0.42782837279131924</v>
      </c>
      <c r="G661" s="54" t="s">
        <v>198</v>
      </c>
      <c r="H661" s="55">
        <f>SQRT(2/$V$3 * A661 * SQRT(Performance!$E$23 / (3 * Performance!$E$12)))</f>
        <v>22.382469100517586</v>
      </c>
      <c r="I661" s="55">
        <f>SQRT(2/$V$3 * A661 * (SQRT(Performance!$E$23)/(SQRT(3*Performance!$E$12 + 4* Performance!$E$23 * Performance!$E$11^2) - SQRT(Performance!$E$23)*Performance!$E$11)))</f>
        <v>23.544903493906581</v>
      </c>
      <c r="J661" t="e">
        <f xml:space="preserve"> $AC$3/G661 + $AC$6/A661 * Performance!$E$12 + Performance!$E$23/Constraints!$AC$6 * Constraints!A661</f>
        <v>#VALUE!</v>
      </c>
      <c r="K661">
        <f xml:space="preserve"> $AC$3/H661 + $AC$6/A661 * Performance!$E$12 + Performance!$E$23/Constraints!$AC$6 * Constraints!A661</f>
        <v>1.2866234691353031</v>
      </c>
      <c r="L661">
        <f xml:space="preserve"> $AC$3/I661 + $AC$6/A661 * Performance!$E$12 + Performance!$E$23/Constraints!$AC$6 * Constraints!A661</f>
        <v>1.2754180719500863</v>
      </c>
      <c r="M661">
        <f>SIN($AC$9 * PI()/180) + 1/Performance!$AE$5</f>
        <v>0.24073077270730886</v>
      </c>
      <c r="N661">
        <f>SIN($AC$9 * PI()/180) + 1/Performance!$AE$8</f>
        <v>0.22738716112204788</v>
      </c>
      <c r="O661" s="60">
        <f>$AC$16 * (Performance!$E$12/Constraints!A661 + Performance!$E$23 * (Constraints!$AC$13/Constraints!$AC$17)^2 * Constraints!A661)</f>
        <v>2.23567605906131E-4</v>
      </c>
      <c r="P661" t="e">
        <f t="shared" si="39"/>
        <v>#VALUE!</v>
      </c>
      <c r="Q661">
        <f t="shared" si="40"/>
        <v>131.54035533345638</v>
      </c>
      <c r="R661">
        <f t="shared" si="41"/>
        <v>145.5582591471092</v>
      </c>
      <c r="S661" t="e">
        <f xml:space="preserve"> 1.667/G661 + P661/A661 * Performance!$E$12 + Performance!$E$23 / Constraints!P661 * Constraints!A661</f>
        <v>#VALUE!</v>
      </c>
      <c r="T661">
        <f xml:space="preserve"> 1.667/H661 + Q661/A661 * Performance!$E$12 + Performance!$E$23 / Constraints!Q661 * Constraints!A661</f>
        <v>0.1803908990448817</v>
      </c>
      <c r="U661">
        <f xml:space="preserve"> 1.667/I661 + R661/A661 * Performance!$E$12 + Performance!$E$23 / Constraints!R661 * Constraints!A661</f>
        <v>0.1689436304780107</v>
      </c>
    </row>
    <row r="662" spans="1:21" x14ac:dyDescent="0.3">
      <c r="A662" s="51">
        <v>330</v>
      </c>
      <c r="B662" s="50">
        <f>$V$4*Performance!$E$12*(1/A662)+Performance!$E$23*(1/Constraints!$V$4)*Constraints!A662</f>
        <v>9.9131814505720742E-2</v>
      </c>
      <c r="C662" s="50">
        <f>$V$5*Performance!$E$12*(1/A662)+Performance!$E$23*(1/Constraints!$V$5)*Constraints!A662</f>
        <v>0.14272090009520724</v>
      </c>
      <c r="D662" s="52">
        <f t="shared" si="38"/>
        <v>0.42828357010849394</v>
      </c>
      <c r="E662" s="52">
        <f>$V$4*Performance!$E$12*(1/A662)+Performance!$E$23*(1/Constraints!$V$9)*Constraints!A662</f>
        <v>9.7641481649907436E-2</v>
      </c>
      <c r="F662" s="52">
        <f xml:space="preserve"> 1.21 / (9.81 * Constraints!$N$7 * Performance!$E$15 * Constraints!$N$5 ) * Constraints!A662 + 0.605 /Performance!$E$15 * (Performance!$E$16  - Constraints!$N$6 * Performance!$E$14) + Constraints!$N$6</f>
        <v>0.42810038094426511</v>
      </c>
      <c r="G662" s="54" t="s">
        <v>198</v>
      </c>
      <c r="H662" s="55">
        <f>SQRT(2/$V$3 * A662 * SQRT(Performance!$E$23 / (3 * Performance!$E$12)))</f>
        <v>22.399444809518762</v>
      </c>
      <c r="I662" s="55">
        <f>SQRT(2/$V$3 * A662 * (SQRT(Performance!$E$23)/(SQRT(3*Performance!$E$12 + 4* Performance!$E$23 * Performance!$E$11^2) - SQRT(Performance!$E$23)*Performance!$E$11)))</f>
        <v>23.562760837007488</v>
      </c>
      <c r="J662" t="e">
        <f xml:space="preserve"> $AC$3/G662 + $AC$6/A662 * Performance!$E$12 + Performance!$E$23/Constraints!$AC$6 * Constraints!A662</f>
        <v>#VALUE!</v>
      </c>
      <c r="K662">
        <f xml:space="preserve"> $AC$3/H662 + $AC$6/A662 * Performance!$E$12 + Performance!$E$23/Constraints!$AC$6 * Constraints!A662</f>
        <v>1.2880562211314874</v>
      </c>
      <c r="L662">
        <f xml:space="preserve"> $AC$3/I662 + $AC$6/A662 * Performance!$E$12 + Performance!$E$23/Constraints!$AC$6 * Constraints!A662</f>
        <v>1.2768593161014772</v>
      </c>
      <c r="M662">
        <f>SIN($AC$9 * PI()/180) + 1/Performance!$AE$5</f>
        <v>0.24073077270730886</v>
      </c>
      <c r="N662">
        <f>SIN($AC$9 * PI()/180) + 1/Performance!$AE$8</f>
        <v>0.22738716112204788</v>
      </c>
      <c r="O662" s="60">
        <f>$AC$16 * (Performance!$E$12/Constraints!A662 + Performance!$E$23 * (Constraints!$AC$13/Constraints!$AC$17)^2 * Constraints!A662)</f>
        <v>2.2368069541961973E-4</v>
      </c>
      <c r="P662" t="e">
        <f t="shared" si="39"/>
        <v>#VALUE!</v>
      </c>
      <c r="Q662">
        <f t="shared" si="40"/>
        <v>131.73996133547982</v>
      </c>
      <c r="R662">
        <f t="shared" si="41"/>
        <v>145.77913662684688</v>
      </c>
      <c r="S662" t="e">
        <f xml:space="preserve"> 1.667/G662 + P662/A662 * Performance!$E$12 + Performance!$E$23 / Constraints!P662 * Constraints!A662</f>
        <v>#VALUE!</v>
      </c>
      <c r="T662">
        <f xml:space="preserve"> 1.667/H662 + Q662/A662 * Performance!$E$12 + Performance!$E$23 / Constraints!Q662 * Constraints!A662</f>
        <v>0.18033445498108683</v>
      </c>
      <c r="U662">
        <f xml:space="preserve"> 1.667/I662 + R662/A662 * Performance!$E$12 + Performance!$E$23 / Constraints!R662 * Constraints!A662</f>
        <v>0.16888997311160342</v>
      </c>
    </row>
    <row r="663" spans="1:21" x14ac:dyDescent="0.3">
      <c r="A663" s="51">
        <v>330.5</v>
      </c>
      <c r="B663" s="50">
        <f>$V$4*Performance!$E$12*(1/A663)+Performance!$E$23*(1/Constraints!$V$4)*Constraints!A663</f>
        <v>9.9021426031537657E-2</v>
      </c>
      <c r="C663" s="50">
        <f>$V$5*Performance!$E$12*(1/A663)+Performance!$E$23*(1/Constraints!$V$5)*Constraints!A663</f>
        <v>0.14253033996087658</v>
      </c>
      <c r="D663" s="52">
        <f t="shared" ref="D663:D726" si="42">1.21/(9.8*$N$7*$N$8*$N$5)*A663+0.605/$N$8*($N$11-$N$6*$N$10)+$N$6</f>
        <v>0.42855585582077949</v>
      </c>
      <c r="E663" s="52">
        <f>$V$4*Performance!$E$12*(1/A663)+Performance!$E$23*(1/Constraints!$V$9)*Constraints!A663</f>
        <v>9.7528835095639782E-2</v>
      </c>
      <c r="F663" s="52">
        <f xml:space="preserve"> 1.21 / (9.81 * Constraints!$N$7 * Performance!$E$15 * Constraints!$N$5 ) * Constraints!A663 + 0.605 /Performance!$E$15 * (Performance!$E$16  - Constraints!$N$6 * Performance!$E$14) + Constraints!$N$6</f>
        <v>0.42837238909721098</v>
      </c>
      <c r="G663" s="54" t="s">
        <v>198</v>
      </c>
      <c r="H663" s="55">
        <f>SQRT(2/$V$3 * A663 * SQRT(Performance!$E$23 / (3 * Performance!$E$12)))</f>
        <v>22.416407662998314</v>
      </c>
      <c r="I663" s="55">
        <f>SQRT(2/$V$3 * A663 * (SQRT(Performance!$E$23)/(SQRT(3*Performance!$E$12 + 4* Performance!$E$23 * Performance!$E$11^2) - SQRT(Performance!$E$23)*Performance!$E$11)))</f>
        <v>23.580604656934756</v>
      </c>
      <c r="J663" t="e">
        <f xml:space="preserve"> $AC$3/G663 + $AC$6/A663 * Performance!$E$12 + Performance!$E$23/Constraints!$AC$6 * Constraints!A663</f>
        <v>#VALUE!</v>
      </c>
      <c r="K663">
        <f xml:space="preserve"> $AC$3/H663 + $AC$6/A663 * Performance!$E$12 + Performance!$E$23/Constraints!$AC$6 * Constraints!A663</f>
        <v>1.2894893684813449</v>
      </c>
      <c r="L663">
        <f xml:space="preserve"> $AC$3/I663 + $AC$6/A663 * Performance!$E$12 + Performance!$E$23/Constraints!$AC$6 * Constraints!A663</f>
        <v>1.2783009363280908</v>
      </c>
      <c r="M663">
        <f>SIN($AC$9 * PI()/180) + 1/Performance!$AE$5</f>
        <v>0.24073077270730886</v>
      </c>
      <c r="N663">
        <f>SIN($AC$9 * PI()/180) + 1/Performance!$AE$8</f>
        <v>0.22738716112204788</v>
      </c>
      <c r="O663" s="60">
        <f>$AC$16 * (Performance!$E$12/Constraints!A663 + Performance!$E$23 * (Constraints!$AC$13/Constraints!$AC$17)^2 * Constraints!A663)</f>
        <v>2.2379412682696178E-4</v>
      </c>
      <c r="P663" t="e">
        <f t="shared" ref="P663:P726" si="43" xml:space="preserve"> 0.5 * $AJ$4 * G663^2</f>
        <v>#VALUE!</v>
      </c>
      <c r="Q663">
        <f t="shared" ref="Q663:Q726" si="44" xml:space="preserve"> 0.5 * $AJ$4 * H663^2</f>
        <v>131.93956733750326</v>
      </c>
      <c r="R663">
        <f t="shared" ref="R663:R726" si="45" xml:space="preserve"> 0.5 * $AJ$4 * I663^2</f>
        <v>146.00001410658447</v>
      </c>
      <c r="S663" t="e">
        <f xml:space="preserve"> 1.667/G663 + P663/A663 * Performance!$E$12 + Performance!$E$23 / Constraints!P663 * Constraints!A663</f>
        <v>#VALUE!</v>
      </c>
      <c r="T663">
        <f xml:space="preserve"> 1.667/H663 + Q663/A663 * Performance!$E$12 + Performance!$E$23 / Constraints!Q663 * Constraints!A663</f>
        <v>0.18027813905367629</v>
      </c>
      <c r="U663">
        <f xml:space="preserve"> 1.667/I663 + R663/A663 * Performance!$E$12 + Performance!$E$23 / Constraints!R663 * Constraints!A663</f>
        <v>0.1688364375553647</v>
      </c>
    </row>
    <row r="664" spans="1:21" x14ac:dyDescent="0.3">
      <c r="A664" s="51">
        <v>331</v>
      </c>
      <c r="B664" s="50">
        <f>$V$4*Performance!$E$12*(1/A664)+Performance!$E$23*(1/Constraints!$V$4)*Constraints!A664</f>
        <v>9.8911430897123856E-2</v>
      </c>
      <c r="C664" s="50">
        <f>$V$5*Performance!$E$12*(1/A664)+Performance!$E$23*(1/Constraints!$V$5)*Constraints!A664</f>
        <v>0.14234039386879793</v>
      </c>
      <c r="D664" s="52">
        <f t="shared" si="42"/>
        <v>0.42882814153306514</v>
      </c>
      <c r="E664" s="52">
        <f>$V$4*Performance!$E$12*(1/A664)+Performance!$E$23*(1/Constraints!$V$9)*Constraints!A664</f>
        <v>9.7416581881141412E-2</v>
      </c>
      <c r="F664" s="52">
        <f xml:space="preserve"> 1.21 / (9.81 * Constraints!$N$7 * Performance!$E$15 * Constraints!$N$5 ) * Constraints!A664 + 0.605 /Performance!$E$15 * (Performance!$E$16  - Constraints!$N$6 * Performance!$E$14) + Constraints!$N$6</f>
        <v>0.42864439725015679</v>
      </c>
      <c r="G664" s="54" t="s">
        <v>198</v>
      </c>
      <c r="H664" s="55">
        <f>SQRT(2/$V$3 * A664 * SQRT(Performance!$E$23 / (3 * Performance!$E$12)))</f>
        <v>22.433357690118129</v>
      </c>
      <c r="I664" s="55">
        <f>SQRT(2/$V$3 * A664 * (SQRT(Performance!$E$23)/(SQRT(3*Performance!$E$12 + 4* Performance!$E$23 * Performance!$E$11^2) - SQRT(Performance!$E$23)*Performance!$E$11)))</f>
        <v>23.5984349843648</v>
      </c>
      <c r="J664" t="e">
        <f xml:space="preserve"> $AC$3/G664 + $AC$6/A664 * Performance!$E$12 + Performance!$E$23/Constraints!$AC$6 * Constraints!A664</f>
        <v>#VALUE!</v>
      </c>
      <c r="K664">
        <f xml:space="preserve"> $AC$3/H664 + $AC$6/A664 * Performance!$E$12 + Performance!$E$23/Constraints!$AC$6 * Constraints!A664</f>
        <v>1.2909229096876098</v>
      </c>
      <c r="L664">
        <f xml:space="preserve"> $AC$3/I664 + $AC$6/A664 * Performance!$E$12 + Performance!$E$23/Constraints!$AC$6 * Constraints!A664</f>
        <v>1.2797429312054935</v>
      </c>
      <c r="M664">
        <f>SIN($AC$9 * PI()/180) + 1/Performance!$AE$5</f>
        <v>0.24073077270730886</v>
      </c>
      <c r="N664">
        <f>SIN($AC$9 * PI()/180) + 1/Performance!$AE$8</f>
        <v>0.22738716112204788</v>
      </c>
      <c r="O664" s="60">
        <f>$AC$16 * (Performance!$E$12/Constraints!A664 + Performance!$E$23 * (Constraints!$AC$13/Constraints!$AC$17)^2 * Constraints!A664)</f>
        <v>2.2390789857878917E-4</v>
      </c>
      <c r="P664" t="e">
        <f t="shared" si="43"/>
        <v>#VALUE!</v>
      </c>
      <c r="Q664">
        <f t="shared" si="44"/>
        <v>132.13917333952674</v>
      </c>
      <c r="R664">
        <f t="shared" si="45"/>
        <v>146.2208915863221</v>
      </c>
      <c r="S664" t="e">
        <f xml:space="preserve"> 1.667/G664 + P664/A664 * Performance!$E$12 + Performance!$E$23 / Constraints!P664 * Constraints!A664</f>
        <v>#VALUE!</v>
      </c>
      <c r="T664">
        <f xml:space="preserve"> 1.667/H664 + Q664/A664 * Performance!$E$12 + Performance!$E$23 / Constraints!Q664 * Constraints!A664</f>
        <v>0.18022195077856826</v>
      </c>
      <c r="U664">
        <f xml:space="preserve"> 1.667/I664 + R664/A664 * Performance!$E$12 + Performance!$E$23 / Constraints!R664 * Constraints!A664</f>
        <v>0.16878302334911233</v>
      </c>
    </row>
    <row r="665" spans="1:21" x14ac:dyDescent="0.3">
      <c r="A665" s="51">
        <v>331.5</v>
      </c>
      <c r="B665" s="50">
        <f>$V$4*Performance!$E$12*(1/A665)+Performance!$E$23*(1/Constraints!$V$4)*Constraints!A665</f>
        <v>9.8801827322661392E-2</v>
      </c>
      <c r="C665" s="50">
        <f>$V$5*Performance!$E$12*(1/A665)+Performance!$E$23*(1/Constraints!$V$5)*Constraints!A665</f>
        <v>0.14215105904049963</v>
      </c>
      <c r="D665" s="52">
        <f t="shared" si="42"/>
        <v>0.42910042724535069</v>
      </c>
      <c r="E665" s="52">
        <f>$V$4*Performance!$E$12*(1/A665)+Performance!$E$23*(1/Constraints!$V$9)*Constraints!A665</f>
        <v>9.7304720226594393E-2</v>
      </c>
      <c r="F665" s="52">
        <f xml:space="preserve"> 1.21 / (9.81 * Constraints!$N$7 * Performance!$E$15 * Constraints!$N$5 ) * Constraints!A665 + 0.605 /Performance!$E$15 * (Performance!$E$16  - Constraints!$N$6 * Performance!$E$14) + Constraints!$N$6</f>
        <v>0.42891640540310272</v>
      </c>
      <c r="G665" s="54" t="s">
        <v>198</v>
      </c>
      <c r="H665" s="55">
        <f>SQRT(2/$V$3 * A665 * SQRT(Performance!$E$23 / (3 * Performance!$E$12)))</f>
        <v>22.450294919929998</v>
      </c>
      <c r="I665" s="55">
        <f>SQRT(2/$V$3 * A665 * (SQRT(Performance!$E$23)/(SQRT(3*Performance!$E$12 + 4* Performance!$E$23 * Performance!$E$11^2) - SQRT(Performance!$E$23)*Performance!$E$11)))</f>
        <v>23.616251849858223</v>
      </c>
      <c r="J665" t="e">
        <f xml:space="preserve"> $AC$3/G665 + $AC$6/A665 * Performance!$E$12 + Performance!$E$23/Constraints!$AC$6 * Constraints!A665</f>
        <v>#VALUE!</v>
      </c>
      <c r="K665">
        <f xml:space="preserve"> $AC$3/H665 + $AC$6/A665 * Performance!$E$12 + Performance!$E$23/Constraints!$AC$6 * Constraints!A665</f>
        <v>1.2923568432609418</v>
      </c>
      <c r="L665">
        <f xml:space="preserve"> $AC$3/I665 + $AC$6/A665 * Performance!$E$12 + Performance!$E$23/Constraints!$AC$6 * Constraints!A665</f>
        <v>1.2811852993167911</v>
      </c>
      <c r="M665">
        <f>SIN($AC$9 * PI()/180) + 1/Performance!$AE$5</f>
        <v>0.24073077270730886</v>
      </c>
      <c r="N665">
        <f>SIN($AC$9 * PI()/180) + 1/Performance!$AE$8</f>
        <v>0.22738716112204788</v>
      </c>
      <c r="O665" s="60">
        <f>$AC$16 * (Performance!$E$12/Constraints!A665 + Performance!$E$23 * (Constraints!$AC$13/Constraints!$AC$17)^2 * Constraints!A665)</f>
        <v>2.2402200913508165E-4</v>
      </c>
      <c r="P665" t="e">
        <f t="shared" si="43"/>
        <v>#VALUE!</v>
      </c>
      <c r="Q665">
        <f t="shared" si="44"/>
        <v>132.33877934155021</v>
      </c>
      <c r="R665">
        <f t="shared" si="45"/>
        <v>146.44176906605978</v>
      </c>
      <c r="S665" t="e">
        <f xml:space="preserve"> 1.667/G665 + P665/A665 * Performance!$E$12 + Performance!$E$23 / Constraints!P665 * Constraints!A665</f>
        <v>#VALUE!</v>
      </c>
      <c r="T665">
        <f xml:space="preserve"> 1.667/H665 + Q665/A665 * Performance!$E$12 + Performance!$E$23 / Constraints!Q665 * Constraints!A665</f>
        <v>0.18016588967423758</v>
      </c>
      <c r="U665">
        <f xml:space="preserve"> 1.667/I665 + R665/A665 * Performance!$E$12 + Performance!$E$23 / Constraints!R665 * Constraints!A665</f>
        <v>0.16872973003509442</v>
      </c>
    </row>
    <row r="666" spans="1:21" x14ac:dyDescent="0.3">
      <c r="A666" s="51">
        <v>332</v>
      </c>
      <c r="B666" s="50">
        <f>$V$4*Performance!$E$12*(1/A666)+Performance!$E$23*(1/Constraints!$V$4)*Constraints!A666</f>
        <v>9.8692613539054105E-2</v>
      </c>
      <c r="C666" s="50">
        <f>$V$5*Performance!$E$12*(1/A666)+Performance!$E$23*(1/Constraints!$V$5)*Constraints!A666</f>
        <v>0.14196233271424769</v>
      </c>
      <c r="D666" s="52">
        <f t="shared" si="42"/>
        <v>0.42937271295763635</v>
      </c>
      <c r="E666" s="52">
        <f>$V$4*Performance!$E$12*(1/A666)+Performance!$E$23*(1/Constraints!$V$9)*Constraints!A666</f>
        <v>9.7193248362902537E-2</v>
      </c>
      <c r="F666" s="52">
        <f xml:space="preserve"> 1.21 / (9.81 * Constraints!$N$7 * Performance!$E$15 * Constraints!$N$5 ) * Constraints!A666 + 0.605 /Performance!$E$15 * (Performance!$E$16  - Constraints!$N$6 * Performance!$E$14) + Constraints!$N$6</f>
        <v>0.42918841355604853</v>
      </c>
      <c r="G666" s="54" t="s">
        <v>198</v>
      </c>
      <c r="H666" s="55">
        <f>SQRT(2/$V$3 * A666 * SQRT(Performance!$E$23 / (3 * Performance!$E$12)))</f>
        <v>22.467219381376218</v>
      </c>
      <c r="I666" s="55">
        <f>SQRT(2/$V$3 * A666 * (SQRT(Performance!$E$23)/(SQRT(3*Performance!$E$12 + 4* Performance!$E$23 * Performance!$E$11^2) - SQRT(Performance!$E$23)*Performance!$E$11)))</f>
        <v>23.634055283860437</v>
      </c>
      <c r="J666" t="e">
        <f xml:space="preserve"> $AC$3/G666 + $AC$6/A666 * Performance!$E$12 + Performance!$E$23/Constraints!$AC$6 * Constraints!A666</f>
        <v>#VALUE!</v>
      </c>
      <c r="K666">
        <f xml:space="preserve"> $AC$3/H666 + $AC$6/A666 * Performance!$E$12 + Performance!$E$23/Constraints!$AC$6 * Constraints!A666</f>
        <v>1.2937911677198692</v>
      </c>
      <c r="L666">
        <f xml:space="preserve"> $AC$3/I666 + $AC$6/A666 * Performance!$E$12 + Performance!$E$23/Constraints!$AC$6 * Constraints!A666</f>
        <v>1.2826280392525771</v>
      </c>
      <c r="M666">
        <f>SIN($AC$9 * PI()/180) + 1/Performance!$AE$5</f>
        <v>0.24073077270730886</v>
      </c>
      <c r="N666">
        <f>SIN($AC$9 * PI()/180) + 1/Performance!$AE$8</f>
        <v>0.22738716112204788</v>
      </c>
      <c r="O666" s="60">
        <f>$AC$16 * (Performance!$E$12/Constraints!A666 + Performance!$E$23 * (Constraints!$AC$13/Constraints!$AC$17)^2 * Constraints!A666)</f>
        <v>2.2413645696509616E-4</v>
      </c>
      <c r="P666" t="e">
        <f t="shared" si="43"/>
        <v>#VALUE!</v>
      </c>
      <c r="Q666">
        <f t="shared" si="44"/>
        <v>132.53838534357362</v>
      </c>
      <c r="R666">
        <f t="shared" si="45"/>
        <v>146.66264654579743</v>
      </c>
      <c r="S666" t="e">
        <f xml:space="preserve"> 1.667/G666 + P666/A666 * Performance!$E$12 + Performance!$E$23 / Constraints!P666 * Constraints!A666</f>
        <v>#VALUE!</v>
      </c>
      <c r="T666">
        <f xml:space="preserve"> 1.667/H666 + Q666/A666 * Performance!$E$12 + Performance!$E$23 / Constraints!Q666 * Constraints!A666</f>
        <v>0.18010995526169815</v>
      </c>
      <c r="U666">
        <f xml:space="preserve"> 1.667/I666 + R666/A666 * Performance!$E$12 + Performance!$E$23 / Constraints!R666 * Constraints!A666</f>
        <v>0.16867655715797286</v>
      </c>
    </row>
    <row r="667" spans="1:21" x14ac:dyDescent="0.3">
      <c r="A667" s="51">
        <v>332.5</v>
      </c>
      <c r="B667" s="50">
        <f>$V$4*Performance!$E$12*(1/A667)+Performance!$E$23*(1/Constraints!$V$4)*Constraints!A667</f>
        <v>9.8583787787847002E-2</v>
      </c>
      <c r="C667" s="50">
        <f>$V$5*Performance!$E$12*(1/A667)+Performance!$E$23*(1/Constraints!$V$5)*Constraints!A667</f>
        <v>0.14177421214492011</v>
      </c>
      <c r="D667" s="52">
        <f t="shared" si="42"/>
        <v>0.4296449986699219</v>
      </c>
      <c r="E667" s="52">
        <f>$V$4*Performance!$E$12*(1/A667)+Performance!$E$23*(1/Constraints!$V$9)*Constraints!A667</f>
        <v>9.7082164531610865E-2</v>
      </c>
      <c r="F667" s="52">
        <f xml:space="preserve"> 1.21 / (9.81 * Constraints!$N$7 * Performance!$E$15 * Constraints!$N$5 ) * Constraints!A667 + 0.605 /Performance!$E$15 * (Performance!$E$16  - Constraints!$N$6 * Performance!$E$14) + Constraints!$N$6</f>
        <v>0.4294604217089944</v>
      </c>
      <c r="G667" s="54" t="s">
        <v>198</v>
      </c>
      <c r="H667" s="55">
        <f>SQRT(2/$V$3 * A667 * SQRT(Performance!$E$23 / (3 * Performance!$E$12)))</f>
        <v>22.484131103290157</v>
      </c>
      <c r="I667" s="55">
        <f>SQRT(2/$V$3 * A667 * (SQRT(Performance!$E$23)/(SQRT(3*Performance!$E$12 + 4* Performance!$E$23 * Performance!$E$11^2) - SQRT(Performance!$E$23)*Performance!$E$11)))</f>
        <v>23.651845316702264</v>
      </c>
      <c r="J667" t="e">
        <f xml:space="preserve"> $AC$3/G667 + $AC$6/A667 * Performance!$E$12 + Performance!$E$23/Constraints!$AC$6 * Constraints!A667</f>
        <v>#VALUE!</v>
      </c>
      <c r="K667">
        <f xml:space="preserve"> $AC$3/H667 + $AC$6/A667 * Performance!$E$12 + Performance!$E$23/Constraints!$AC$6 * Constraints!A667</f>
        <v>1.2952258815907376</v>
      </c>
      <c r="L667">
        <f xml:space="preserve"> $AC$3/I667 + $AC$6/A667 * Performance!$E$12 + Performance!$E$23/Constraints!$AC$6 * Constraints!A667</f>
        <v>1.2840711496108819</v>
      </c>
      <c r="M667">
        <f>SIN($AC$9 * PI()/180) + 1/Performance!$AE$5</f>
        <v>0.24073077270730886</v>
      </c>
      <c r="N667">
        <f>SIN($AC$9 * PI()/180) + 1/Performance!$AE$8</f>
        <v>0.22738716112204788</v>
      </c>
      <c r="O667" s="60">
        <f>$AC$16 * (Performance!$E$12/Constraints!A667 + Performance!$E$23 * (Constraints!$AC$13/Constraints!$AC$17)^2 * Constraints!A667)</f>
        <v>2.2425124054729713E-4</v>
      </c>
      <c r="P667" t="e">
        <f t="shared" si="43"/>
        <v>#VALUE!</v>
      </c>
      <c r="Q667">
        <f t="shared" si="44"/>
        <v>132.73799134559712</v>
      </c>
      <c r="R667">
        <f t="shared" si="45"/>
        <v>146.88352402553505</v>
      </c>
      <c r="S667" t="e">
        <f xml:space="preserve"> 1.667/G667 + P667/A667 * Performance!$E$12 + Performance!$E$23 / Constraints!P667 * Constraints!A667</f>
        <v>#VALUE!</v>
      </c>
      <c r="T667">
        <f xml:space="preserve"> 1.667/H667 + Q667/A667 * Performance!$E$12 + Performance!$E$23 / Constraints!Q667 * Constraints!A667</f>
        <v>0.18005414706448564</v>
      </c>
      <c r="U667">
        <f xml:space="preserve"> 1.667/I667 + R667/A667 * Performance!$E$12 + Performance!$E$23 / Constraints!R667 * Constraints!A667</f>
        <v>0.16862350426480693</v>
      </c>
    </row>
    <row r="668" spans="1:21" x14ac:dyDescent="0.3">
      <c r="A668" s="51">
        <v>333</v>
      </c>
      <c r="B668" s="50">
        <f>$V$4*Performance!$E$12*(1/A668)+Performance!$E$23*(1/Constraints!$V$4)*Constraints!A668</f>
        <v>9.8475348321146405E-2</v>
      </c>
      <c r="C668" s="50">
        <f>$V$5*Performance!$E$12*(1/A668)+Performance!$E$23*(1/Constraints!$V$5)*Constraints!A668</f>
        <v>0.14158669460388212</v>
      </c>
      <c r="D668" s="52">
        <f t="shared" si="42"/>
        <v>0.4299172843822075</v>
      </c>
      <c r="E668" s="52">
        <f>$V$4*Performance!$E$12*(1/A668)+Performance!$E$23*(1/Constraints!$V$9)*Constraints!A668</f>
        <v>9.6971466984825699E-2</v>
      </c>
      <c r="F668" s="52">
        <f xml:space="preserve"> 1.21 / (9.81 * Constraints!$N$7 * Performance!$E$15 * Constraints!$N$5 ) * Constraints!A668 + 0.605 /Performance!$E$15 * (Performance!$E$16  - Constraints!$N$6 * Performance!$E$14) + Constraints!$N$6</f>
        <v>0.42973242986194027</v>
      </c>
      <c r="G668" s="54" t="s">
        <v>198</v>
      </c>
      <c r="H668" s="55">
        <f>SQRT(2/$V$3 * A668 * SQRT(Performance!$E$23 / (3 * Performance!$E$12)))</f>
        <v>22.501030114396812</v>
      </c>
      <c r="I668" s="55">
        <f>SQRT(2/$V$3 * A668 * (SQRT(Performance!$E$23)/(SQRT(3*Performance!$E$12 + 4* Performance!$E$23 * Performance!$E$11^2) - SQRT(Performance!$E$23)*Performance!$E$11)))</f>
        <v>23.669621978600553</v>
      </c>
      <c r="J668" t="e">
        <f xml:space="preserve"> $AC$3/G668 + $AC$6/A668 * Performance!$E$12 + Performance!$E$23/Constraints!$AC$6 * Constraints!A668</f>
        <v>#VALUE!</v>
      </c>
      <c r="K668">
        <f xml:space="preserve"> $AC$3/H668 + $AC$6/A668 * Performance!$E$12 + Performance!$E$23/Constraints!$AC$6 * Constraints!A668</f>
        <v>1.2966609834076555</v>
      </c>
      <c r="L668">
        <f xml:space="preserve"> $AC$3/I668 + $AC$6/A668 * Performance!$E$12 + Performance!$E$23/Constraints!$AC$6 * Constraints!A668</f>
        <v>1.2855146289971224</v>
      </c>
      <c r="M668">
        <f>SIN($AC$9 * PI()/180) + 1/Performance!$AE$5</f>
        <v>0.24073077270730886</v>
      </c>
      <c r="N668">
        <f>SIN($AC$9 * PI()/180) + 1/Performance!$AE$8</f>
        <v>0.22738716112204788</v>
      </c>
      <c r="O668" s="60">
        <f>$AC$16 * (Performance!$E$12/Constraints!A668 + Performance!$E$23 * (Constraints!$AC$13/Constraints!$AC$17)^2 * Constraints!A668)</f>
        <v>2.2436635836928722E-4</v>
      </c>
      <c r="P668" t="e">
        <f t="shared" si="43"/>
        <v>#VALUE!</v>
      </c>
      <c r="Q668">
        <f t="shared" si="44"/>
        <v>132.93759734762054</v>
      </c>
      <c r="R668">
        <f t="shared" si="45"/>
        <v>147.10440150527276</v>
      </c>
      <c r="S668" t="e">
        <f xml:space="preserve"> 1.667/G668 + P668/A668 * Performance!$E$12 + Performance!$E$23 / Constraints!P668 * Constraints!A668</f>
        <v>#VALUE!</v>
      </c>
      <c r="T668">
        <f xml:space="preserve"> 1.667/H668 + Q668/A668 * Performance!$E$12 + Performance!$E$23 / Constraints!Q668 * Constraints!A668</f>
        <v>0.1799984646086408</v>
      </c>
      <c r="U668">
        <f xml:space="preserve"> 1.667/I668 + R668/A668 * Performance!$E$12 + Performance!$E$23 / Constraints!R668 * Constraints!A668</f>
        <v>0.16857057090503713</v>
      </c>
    </row>
    <row r="669" spans="1:21" x14ac:dyDescent="0.3">
      <c r="A669" s="51">
        <v>333.5</v>
      </c>
      <c r="B669" s="50">
        <f>$V$4*Performance!$E$12*(1/A669)+Performance!$E$23*(1/Constraints!$V$4)*Constraints!A669</f>
        <v>9.8367293401540726E-2</v>
      </c>
      <c r="C669" s="50">
        <f>$V$5*Performance!$E$12*(1/A669)+Performance!$E$23*(1/Constraints!$V$5)*Constraints!A669</f>
        <v>0.14139977737886253</v>
      </c>
      <c r="D669" s="52">
        <f t="shared" si="42"/>
        <v>0.4301895700944931</v>
      </c>
      <c r="E669" s="52">
        <f>$V$4*Performance!$E$12*(1/A669)+Performance!$E$23*(1/Constraints!$V$9)*Constraints!A669</f>
        <v>9.6861153985135451E-2</v>
      </c>
      <c r="F669" s="52">
        <f xml:space="preserve"> 1.21 / (9.81 * Constraints!$N$7 * Performance!$E$15 * Constraints!$N$5 ) * Constraints!A669 + 0.605 /Performance!$E$15 * (Performance!$E$16  - Constraints!$N$6 * Performance!$E$14) + Constraints!$N$6</f>
        <v>0.43000443801488608</v>
      </c>
      <c r="G669" s="54" t="s">
        <v>198</v>
      </c>
      <c r="H669" s="55">
        <f>SQRT(2/$V$3 * A669 * SQRT(Performance!$E$23 / (3 * Performance!$E$12)))</f>
        <v>22.517916443313418</v>
      </c>
      <c r="I669" s="55">
        <f>SQRT(2/$V$3 * A669 * (SQRT(Performance!$E$23)/(SQRT(3*Performance!$E$12 + 4* Performance!$E$23 * Performance!$E$11^2) - SQRT(Performance!$E$23)*Performance!$E$11)))</f>
        <v>23.687385299658754</v>
      </c>
      <c r="J669" t="e">
        <f xml:space="preserve"> $AC$3/G669 + $AC$6/A669 * Performance!$E$12 + Performance!$E$23/Constraints!$AC$6 * Constraints!A669</f>
        <v>#VALUE!</v>
      </c>
      <c r="K669">
        <f xml:space="preserve"> $AC$3/H669 + $AC$6/A669 * Performance!$E$12 + Performance!$E$23/Constraints!$AC$6 * Constraints!A669</f>
        <v>1.2980964717124424</v>
      </c>
      <c r="L669">
        <f xml:space="preserve"> $AC$3/I669 + $AC$6/A669 * Performance!$E$12 + Performance!$E$23/Constraints!$AC$6 * Constraints!A669</f>
        <v>1.2869584760240529</v>
      </c>
      <c r="M669">
        <f>SIN($AC$9 * PI()/180) + 1/Performance!$AE$5</f>
        <v>0.24073077270730886</v>
      </c>
      <c r="N669">
        <f>SIN($AC$9 * PI()/180) + 1/Performance!$AE$8</f>
        <v>0.22738716112204788</v>
      </c>
      <c r="O669" s="60">
        <f>$AC$16 * (Performance!$E$12/Constraints!A669 + Performance!$E$23 * (Constraints!$AC$13/Constraints!$AC$17)^2 * Constraints!A669)</f>
        <v>2.2448180892773915E-4</v>
      </c>
      <c r="P669" t="e">
        <f t="shared" si="43"/>
        <v>#VALUE!</v>
      </c>
      <c r="Q669">
        <f t="shared" si="44"/>
        <v>133.13720334964401</v>
      </c>
      <c r="R669">
        <f t="shared" si="45"/>
        <v>147.32527898501036</v>
      </c>
      <c r="S669" t="e">
        <f xml:space="preserve"> 1.667/G669 + P669/A669 * Performance!$E$12 + Performance!$E$23 / Constraints!P669 * Constraints!A669</f>
        <v>#VALUE!</v>
      </c>
      <c r="T669">
        <f xml:space="preserve"> 1.667/H669 + Q669/A669 * Performance!$E$12 + Performance!$E$23 / Constraints!Q669 * Constraints!A669</f>
        <v>0.17994290742269226</v>
      </c>
      <c r="U669">
        <f xml:space="preserve"> 1.667/I669 + R669/A669 * Performance!$E$12 + Performance!$E$23 / Constraints!R669 * Constraints!A669</f>
        <v>0.16851775663046911</v>
      </c>
    </row>
    <row r="670" spans="1:21" x14ac:dyDescent="0.3">
      <c r="A670" s="51">
        <v>334</v>
      </c>
      <c r="B670" s="50">
        <f>$V$4*Performance!$E$12*(1/A670)+Performance!$E$23*(1/Constraints!$V$4)*Constraints!A670</f>
        <v>9.8259621302022052E-2</v>
      </c>
      <c r="C670" s="50">
        <f>$V$5*Performance!$E$12*(1/A670)+Performance!$E$23*(1/Constraints!$V$5)*Constraints!A670</f>
        <v>0.14121345777383132</v>
      </c>
      <c r="D670" s="52">
        <f t="shared" si="42"/>
        <v>0.4304618558067787</v>
      </c>
      <c r="E670" s="52">
        <f>$V$4*Performance!$E$12*(1/A670)+Performance!$E$23*(1/Constraints!$V$9)*Constraints!A670</f>
        <v>9.6751223805532222E-2</v>
      </c>
      <c r="F670" s="52">
        <f xml:space="preserve"> 1.21 / (9.81 * Constraints!$N$7 * Performance!$E$15 * Constraints!$N$5 ) * Constraints!A670 + 0.605 /Performance!$E$15 * (Performance!$E$16  - Constraints!$N$6 * Performance!$E$14) + Constraints!$N$6</f>
        <v>0.43027644616783195</v>
      </c>
      <c r="G670" s="54" t="s">
        <v>198</v>
      </c>
      <c r="H670" s="55">
        <f>SQRT(2/$V$3 * A670 * SQRT(Performance!$E$23 / (3 * Performance!$E$12)))</f>
        <v>22.534790118549971</v>
      </c>
      <c r="I670" s="55">
        <f>SQRT(2/$V$3 * A670 * (SQRT(Performance!$E$23)/(SQRT(3*Performance!$E$12 + 4* Performance!$E$23 * Performance!$E$11^2) - SQRT(Performance!$E$23)*Performance!$E$11)))</f>
        <v>23.705135309867547</v>
      </c>
      <c r="J670" t="e">
        <f xml:space="preserve"> $AC$3/G670 + $AC$6/A670 * Performance!$E$12 + Performance!$E$23/Constraints!$AC$6 * Constraints!A670</f>
        <v>#VALUE!</v>
      </c>
      <c r="K670">
        <f xml:space="preserve"> $AC$3/H670 + $AC$6/A670 * Performance!$E$12 + Performance!$E$23/Constraints!$AC$6 * Constraints!A670</f>
        <v>1.2995323450545779</v>
      </c>
      <c r="L670">
        <f xml:space="preserve"> $AC$3/I670 + $AC$6/A670 * Performance!$E$12 + Performance!$E$23/Constraints!$AC$6 * Constraints!A670</f>
        <v>1.2884026893117146</v>
      </c>
      <c r="M670">
        <f>SIN($AC$9 * PI()/180) + 1/Performance!$AE$5</f>
        <v>0.24073077270730886</v>
      </c>
      <c r="N670">
        <f>SIN($AC$9 * PI()/180) + 1/Performance!$AE$8</f>
        <v>0.22738716112204788</v>
      </c>
      <c r="O670" s="60">
        <f>$AC$16 * (Performance!$E$12/Constraints!A670 + Performance!$E$23 * (Constraints!$AC$13/Constraints!$AC$17)^2 * Constraints!A670)</f>
        <v>2.2459759072832741E-4</v>
      </c>
      <c r="P670" t="e">
        <f t="shared" si="43"/>
        <v>#VALUE!</v>
      </c>
      <c r="Q670">
        <f t="shared" si="44"/>
        <v>133.33680935166748</v>
      </c>
      <c r="R670">
        <f t="shared" si="45"/>
        <v>147.54615646474801</v>
      </c>
      <c r="S670" t="e">
        <f xml:space="preserve"> 1.667/G670 + P670/A670 * Performance!$E$12 + Performance!$E$23 / Constraints!P670 * Constraints!A670</f>
        <v>#VALUE!</v>
      </c>
      <c r="T670">
        <f xml:space="preserve"> 1.667/H670 + Q670/A670 * Performance!$E$12 + Performance!$E$23 / Constraints!Q670 * Constraints!A670</f>
        <v>0.17988747503763988</v>
      </c>
      <c r="U670">
        <f xml:space="preserve"> 1.667/I670 + R670/A670 * Performance!$E$12 + Performance!$E$23 / Constraints!R670 * Constraints!A670</f>
        <v>0.16846506099525771</v>
      </c>
    </row>
    <row r="671" spans="1:21" x14ac:dyDescent="0.3">
      <c r="A671" s="51">
        <v>334.5</v>
      </c>
      <c r="B671" s="50">
        <f>$V$4*Performance!$E$12*(1/A671)+Performance!$E$23*(1/Constraints!$V$4)*Constraints!A671</f>
        <v>9.8152330305908392E-2</v>
      </c>
      <c r="C671" s="50">
        <f>$V$5*Performance!$E$12*(1/A671)+Performance!$E$23*(1/Constraints!$V$5)*Constraints!A671</f>
        <v>0.14102773310887823</v>
      </c>
      <c r="D671" s="52">
        <f t="shared" si="42"/>
        <v>0.43073414151906431</v>
      </c>
      <c r="E671" s="52">
        <f>$V$4*Performance!$E$12*(1/A671)+Performance!$E$23*(1/Constraints!$V$9)*Constraints!A671</f>
        <v>9.6641674729333993E-2</v>
      </c>
      <c r="F671" s="52">
        <f xml:space="preserve"> 1.21 / (9.81 * Constraints!$N$7 * Performance!$E$15 * Constraints!$N$5 ) * Constraints!A671 + 0.605 /Performance!$E$15 * (Performance!$E$16  - Constraints!$N$6 * Performance!$E$14) + Constraints!$N$6</f>
        <v>0.43054845432077782</v>
      </c>
      <c r="G671" s="54" t="s">
        <v>198</v>
      </c>
      <c r="H671" s="55">
        <f>SQRT(2/$V$3 * A671 * SQRT(Performance!$E$23 / (3 * Performance!$E$12)))</f>
        <v>22.55165116850981</v>
      </c>
      <c r="I671" s="55">
        <f>SQRT(2/$V$3 * A671 * (SQRT(Performance!$E$23)/(SQRT(3*Performance!$E$12 + 4* Performance!$E$23 * Performance!$E$11^2) - SQRT(Performance!$E$23)*Performance!$E$11)))</f>
        <v>23.722872039105393</v>
      </c>
      <c r="J671" t="e">
        <f xml:space="preserve"> $AC$3/G671 + $AC$6/A671 * Performance!$E$12 + Performance!$E$23/Constraints!$AC$6 * Constraints!A671</f>
        <v>#VALUE!</v>
      </c>
      <c r="K671">
        <f xml:space="preserve"> $AC$3/H671 + $AC$6/A671 * Performance!$E$12 + Performance!$E$23/Constraints!$AC$6 * Constraints!A671</f>
        <v>1.3009686019911484</v>
      </c>
      <c r="L671">
        <f xml:space="preserve"> $AC$3/I671 + $AC$6/A671 * Performance!$E$12 + Performance!$E$23/Constraints!$AC$6 * Constraints!A671</f>
        <v>1.2898472674873869</v>
      </c>
      <c r="M671">
        <f>SIN($AC$9 * PI()/180) + 1/Performance!$AE$5</f>
        <v>0.24073077270730886</v>
      </c>
      <c r="N671">
        <f>SIN($AC$9 * PI()/180) + 1/Performance!$AE$8</f>
        <v>0.22738716112204788</v>
      </c>
      <c r="O671" s="60">
        <f>$AC$16 * (Performance!$E$12/Constraints!A671 + Performance!$E$23 * (Constraints!$AC$13/Constraints!$AC$17)^2 * Constraints!A671)</f>
        <v>2.2471370228566132E-4</v>
      </c>
      <c r="P671" t="e">
        <f t="shared" si="43"/>
        <v>#VALUE!</v>
      </c>
      <c r="Q671">
        <f t="shared" si="44"/>
        <v>133.5364153536909</v>
      </c>
      <c r="R671">
        <f t="shared" si="45"/>
        <v>147.76703394448566</v>
      </c>
      <c r="S671" t="e">
        <f xml:space="preserve"> 1.667/G671 + P671/A671 * Performance!$E$12 + Performance!$E$23 / Constraints!P671 * Constraints!A671</f>
        <v>#VALUE!</v>
      </c>
      <c r="T671">
        <f xml:space="preserve"> 1.667/H671 + Q671/A671 * Performance!$E$12 + Performance!$E$23 / Constraints!Q671 * Constraints!A671</f>
        <v>0.17983216698693813</v>
      </c>
      <c r="U671">
        <f xml:space="preserve"> 1.667/I671 + R671/A671 * Performance!$E$12 + Performance!$E$23 / Constraints!R671 * Constraints!A671</f>
        <v>0.16841248355589117</v>
      </c>
    </row>
    <row r="672" spans="1:21" x14ac:dyDescent="0.3">
      <c r="A672" s="51">
        <v>335</v>
      </c>
      <c r="B672" s="50">
        <f>$V$4*Performance!$E$12*(1/A672)+Performance!$E$23*(1/Constraints!$V$4)*Constraints!A672</f>
        <v>9.8045418706766557E-2</v>
      </c>
      <c r="C672" s="50">
        <f>$V$5*Performance!$E$12*(1/A672)+Performance!$E$23*(1/Constraints!$V$5)*Constraints!A672</f>
        <v>0.14084260072009244</v>
      </c>
      <c r="D672" s="52">
        <f t="shared" si="42"/>
        <v>0.43100642723134985</v>
      </c>
      <c r="E672" s="52">
        <f>$V$4*Performance!$E$12*(1/A672)+Performance!$E$23*(1/Constraints!$V$9)*Constraints!A672</f>
        <v>9.6532505050107603E-2</v>
      </c>
      <c r="F672" s="52">
        <f xml:space="preserve"> 1.21 / (9.81 * Constraints!$N$7 * Performance!$E$15 * Constraints!$N$5 ) * Constraints!A672 + 0.605 /Performance!$E$15 * (Performance!$E$16  - Constraints!$N$6 * Performance!$E$14) + Constraints!$N$6</f>
        <v>0.43082046247372369</v>
      </c>
      <c r="G672" s="54" t="s">
        <v>198</v>
      </c>
      <c r="H672" s="55">
        <f>SQRT(2/$V$3 * A672 * SQRT(Performance!$E$23 / (3 * Performance!$E$12)))</f>
        <v>22.568499621490179</v>
      </c>
      <c r="I672" s="55">
        <f>SQRT(2/$V$3 * A672 * (SQRT(Performance!$E$23)/(SQRT(3*Performance!$E$12 + 4* Performance!$E$23 * Performance!$E$11^2) - SQRT(Performance!$E$23)*Performance!$E$11)))</f>
        <v>23.740595517139155</v>
      </c>
      <c r="J672" t="e">
        <f xml:space="preserve"> $AC$3/G672 + $AC$6/A672 * Performance!$E$12 + Performance!$E$23/Constraints!$AC$6 * Constraints!A672</f>
        <v>#VALUE!</v>
      </c>
      <c r="K672">
        <f xml:space="preserve"> $AC$3/H672 + $AC$6/A672 * Performance!$E$12 + Performance!$E$23/Constraints!$AC$6 * Constraints!A672</f>
        <v>1.3024052410867957</v>
      </c>
      <c r="L672">
        <f xml:space="preserve"> $AC$3/I672 + $AC$6/A672 * Performance!$E$12 + Performance!$E$23/Constraints!$AC$6 * Constraints!A672</f>
        <v>1.2912922091855381</v>
      </c>
      <c r="M672">
        <f>SIN($AC$9 * PI()/180) + 1/Performance!$AE$5</f>
        <v>0.24073077270730886</v>
      </c>
      <c r="N672">
        <f>SIN($AC$9 * PI()/180) + 1/Performance!$AE$8</f>
        <v>0.22738716112204788</v>
      </c>
      <c r="O672" s="60">
        <f>$AC$16 * (Performance!$E$12/Constraints!A672 + Performance!$E$23 * (Constraints!$AC$13/Constraints!$AC$17)^2 * Constraints!A672)</f>
        <v>2.2483014212321812E-4</v>
      </c>
      <c r="P672" t="e">
        <f t="shared" si="43"/>
        <v>#VALUE!</v>
      </c>
      <c r="Q672">
        <f t="shared" si="44"/>
        <v>133.73602135571434</v>
      </c>
      <c r="R672">
        <f t="shared" si="45"/>
        <v>147.98791142422326</v>
      </c>
      <c r="S672" t="e">
        <f xml:space="preserve"> 1.667/G672 + P672/A672 * Performance!$E$12 + Performance!$E$23 / Constraints!P672 * Constraints!A672</f>
        <v>#VALUE!</v>
      </c>
      <c r="T672">
        <f xml:space="preserve"> 1.667/H672 + Q672/A672 * Performance!$E$12 + Performance!$E$23 / Constraints!Q672 * Constraints!A672</f>
        <v>0.1797769828064795</v>
      </c>
      <c r="U672">
        <f xml:space="preserve"> 1.667/I672 + R672/A672 * Performance!$E$12 + Performance!$E$23 / Constraints!R672 * Constraints!A672</f>
        <v>0.16836002387117546</v>
      </c>
    </row>
    <row r="673" spans="1:21" x14ac:dyDescent="0.3">
      <c r="A673" s="51">
        <v>335.5</v>
      </c>
      <c r="B673" s="50">
        <f>$V$4*Performance!$E$12*(1/A673)+Performance!$E$23*(1/Constraints!$V$4)*Constraints!A673</f>
        <v>9.7938884808335916E-2</v>
      </c>
      <c r="C673" s="50">
        <f>$V$5*Performance!$E$12*(1/A673)+Performance!$E$23*(1/Constraints!$V$5)*Constraints!A673</f>
        <v>0.14065805795944344</v>
      </c>
      <c r="D673" s="52">
        <f t="shared" si="42"/>
        <v>0.43127871294363551</v>
      </c>
      <c r="E673" s="52">
        <f>$V$4*Performance!$E$12*(1/A673)+Performance!$E$23*(1/Constraints!$V$9)*Constraints!A673</f>
        <v>9.6423713071592393E-2</v>
      </c>
      <c r="F673" s="52">
        <f xml:space="preserve"> 1.21 / (9.81 * Constraints!$N$7 * Performance!$E$15 * Constraints!$N$5 ) * Constraints!A673 + 0.605 /Performance!$E$15 * (Performance!$E$16  - Constraints!$N$6 * Performance!$E$14) + Constraints!$N$6</f>
        <v>0.43109247062666955</v>
      </c>
      <c r="G673" s="54" t="s">
        <v>198</v>
      </c>
      <c r="H673" s="55">
        <f>SQRT(2/$V$3 * A673 * SQRT(Performance!$E$23 / (3 * Performance!$E$12)))</f>
        <v>22.585335505682774</v>
      </c>
      <c r="I673" s="55">
        <f>SQRT(2/$V$3 * A673 * (SQRT(Performance!$E$23)/(SQRT(3*Performance!$E$12 + 4* Performance!$E$23 * Performance!$E$11^2) - SQRT(Performance!$E$23)*Performance!$E$11)))</f>
        <v>23.75830577362467</v>
      </c>
      <c r="J673" t="e">
        <f xml:space="preserve"> $AC$3/G673 + $AC$6/A673 * Performance!$E$12 + Performance!$E$23/Constraints!$AC$6 * Constraints!A673</f>
        <v>#VALUE!</v>
      </c>
      <c r="K673">
        <f xml:space="preserve"> $AC$3/H673 + $AC$6/A673 * Performance!$E$12 + Performance!$E$23/Constraints!$AC$6 * Constraints!A673</f>
        <v>1.3038422609136682</v>
      </c>
      <c r="L673">
        <f xml:space="preserve"> $AC$3/I673 + $AC$6/A673 * Performance!$E$12 + Performance!$E$23/Constraints!$AC$6 * Constraints!A673</f>
        <v>1.2927375130477781</v>
      </c>
      <c r="M673">
        <f>SIN($AC$9 * PI()/180) + 1/Performance!$AE$5</f>
        <v>0.24073077270730886</v>
      </c>
      <c r="N673">
        <f>SIN($AC$9 * PI()/180) + 1/Performance!$AE$8</f>
        <v>0.22738716112204788</v>
      </c>
      <c r="O673" s="60">
        <f>$AC$16 * (Performance!$E$12/Constraints!A673 + Performance!$E$23 * (Constraints!$AC$13/Constraints!$AC$17)^2 * Constraints!A673)</f>
        <v>2.2494690877327699E-4</v>
      </c>
      <c r="P673" t="e">
        <f t="shared" si="43"/>
        <v>#VALUE!</v>
      </c>
      <c r="Q673">
        <f t="shared" si="44"/>
        <v>133.93562735773781</v>
      </c>
      <c r="R673">
        <f t="shared" si="45"/>
        <v>148.20878890396096</v>
      </c>
      <c r="S673" t="e">
        <f xml:space="preserve"> 1.667/G673 + P673/A673 * Performance!$E$12 + Performance!$E$23 / Constraints!P673 * Constraints!A673</f>
        <v>#VALUE!</v>
      </c>
      <c r="T673">
        <f xml:space="preserve"> 1.667/H673 + Q673/A673 * Performance!$E$12 + Performance!$E$23 / Constraints!Q673 * Constraints!A673</f>
        <v>0.17972192203457826</v>
      </c>
      <c r="U673">
        <f xml:space="preserve"> 1.667/I673 + R673/A673 * Performance!$E$12 + Performance!$E$23 / Constraints!R673 * Constraints!A673</f>
        <v>0.16830768150221861</v>
      </c>
    </row>
    <row r="674" spans="1:21" x14ac:dyDescent="0.3">
      <c r="A674" s="51">
        <v>336</v>
      </c>
      <c r="B674" s="50">
        <f>$V$4*Performance!$E$12*(1/A674)+Performance!$E$23*(1/Constraints!$V$4)*Constraints!A674</f>
        <v>9.7832726924452551E-2</v>
      </c>
      <c r="C674" s="50">
        <f>$V$5*Performance!$E$12*(1/A674)+Performance!$E$23*(1/Constraints!$V$5)*Constraints!A674</f>
        <v>0.14047410219466275</v>
      </c>
      <c r="D674" s="52">
        <f t="shared" si="42"/>
        <v>0.43155099865592106</v>
      </c>
      <c r="E674" s="52">
        <f>$V$4*Performance!$E$12*(1/A674)+Performance!$E$23*(1/Constraints!$V$9)*Constraints!A674</f>
        <v>9.6315297107624445E-2</v>
      </c>
      <c r="F674" s="52">
        <f xml:space="preserve"> 1.21 / (9.81 * Constraints!$N$7 * Performance!$E$15 * Constraints!$N$5 ) * Constraints!A674 + 0.605 /Performance!$E$15 * (Performance!$E$16  - Constraints!$N$6 * Performance!$E$14) + Constraints!$N$6</f>
        <v>0.43136447877961537</v>
      </c>
      <c r="G674" s="54" t="s">
        <v>198</v>
      </c>
      <c r="H674" s="55">
        <f>SQRT(2/$V$3 * A674 * SQRT(Performance!$E$23 / (3 * Performance!$E$12)))</f>
        <v>22.602158849174288</v>
      </c>
      <c r="I674" s="55">
        <f>SQRT(2/$V$3 * A674 * (SQRT(Performance!$E$23)/(SQRT(3*Performance!$E$12 + 4* Performance!$E$23 * Performance!$E$11^2) - SQRT(Performance!$E$23)*Performance!$E$11)))</f>
        <v>23.776002838107306</v>
      </c>
      <c r="J674" t="e">
        <f xml:space="preserve"> $AC$3/G674 + $AC$6/A674 * Performance!$E$12 + Performance!$E$23/Constraints!$AC$6 * Constraints!A674</f>
        <v>#VALUE!</v>
      </c>
      <c r="K674">
        <f xml:space="preserve"> $AC$3/H674 + $AC$6/A674 * Performance!$E$12 + Performance!$E$23/Constraints!$AC$6 * Constraints!A674</f>
        <v>1.3052796600513688</v>
      </c>
      <c r="L674">
        <f xml:space="preserve"> $AC$3/I674 + $AC$6/A674 * Performance!$E$12 + Performance!$E$23/Constraints!$AC$6 * Constraints!A674</f>
        <v>1.2941831777228099</v>
      </c>
      <c r="M674">
        <f>SIN($AC$9 * PI()/180) + 1/Performance!$AE$5</f>
        <v>0.24073077270730886</v>
      </c>
      <c r="N674">
        <f>SIN($AC$9 * PI()/180) + 1/Performance!$AE$8</f>
        <v>0.22738716112204788</v>
      </c>
      <c r="O674" s="60">
        <f>$AC$16 * (Performance!$E$12/Constraints!A674 + Performance!$E$23 * (Constraints!$AC$13/Constraints!$AC$17)^2 * Constraints!A674)</f>
        <v>2.2506400077685354E-4</v>
      </c>
      <c r="P674" t="e">
        <f t="shared" si="43"/>
        <v>#VALUE!</v>
      </c>
      <c r="Q674">
        <f t="shared" si="44"/>
        <v>134.13523335976129</v>
      </c>
      <c r="R674">
        <f t="shared" si="45"/>
        <v>148.42966638369859</v>
      </c>
      <c r="S674" t="e">
        <f xml:space="preserve"> 1.667/G674 + P674/A674 * Performance!$E$12 + Performance!$E$23 / Constraints!P674 * Constraints!A674</f>
        <v>#VALUE!</v>
      </c>
      <c r="T674">
        <f xml:space="preserve"> 1.667/H674 + Q674/A674 * Performance!$E$12 + Performance!$E$23 / Constraints!Q674 * Constraints!A674</f>
        <v>0.17966698421195415</v>
      </c>
      <c r="U674">
        <f xml:space="preserve"> 1.667/I674 + R674/A674 * Performance!$E$12 + Performance!$E$23 / Constraints!R674 * Constraints!A674</f>
        <v>0.16825545601241571</v>
      </c>
    </row>
    <row r="675" spans="1:21" x14ac:dyDescent="0.3">
      <c r="A675" s="51">
        <v>336.5</v>
      </c>
      <c r="B675" s="50">
        <f>$V$4*Performance!$E$12*(1/A675)+Performance!$E$23*(1/Constraints!$V$4)*Constraints!A675</f>
        <v>9.7726943378974335E-2</v>
      </c>
      <c r="C675" s="50">
        <f>$V$5*Performance!$E$12*(1/A675)+Performance!$E$23*(1/Constraints!$V$5)*Constraints!A675</f>
        <v>0.14029073080912685</v>
      </c>
      <c r="D675" s="52">
        <f t="shared" si="42"/>
        <v>0.43182328436820672</v>
      </c>
      <c r="E675" s="52">
        <f>$V$4*Performance!$E$12*(1/A675)+Performance!$E$23*(1/Constraints!$V$9)*Constraints!A675</f>
        <v>9.6207255482061674E-2</v>
      </c>
      <c r="F675" s="52">
        <f xml:space="preserve"> 1.21 / (9.81 * Constraints!$N$7 * Performance!$E$15 * Constraints!$N$5 ) * Constraints!A675 + 0.605 /Performance!$E$15 * (Performance!$E$16  - Constraints!$N$6 * Performance!$E$14) + Constraints!$N$6</f>
        <v>0.43163648693256124</v>
      </c>
      <c r="G675" s="54" t="s">
        <v>198</v>
      </c>
      <c r="H675" s="55">
        <f>SQRT(2/$V$3 * A675 * SQRT(Performance!$E$23 / (3 * Performance!$E$12)))</f>
        <v>22.618969679946964</v>
      </c>
      <c r="I675" s="55">
        <f>SQRT(2/$V$3 * A675 * (SQRT(Performance!$E$23)/(SQRT(3*Performance!$E$12 + 4* Performance!$E$23 * Performance!$E$11^2) - SQRT(Performance!$E$23)*Performance!$E$11)))</f>
        <v>23.793686740022572</v>
      </c>
      <c r="J675" t="e">
        <f xml:space="preserve"> $AC$3/G675 + $AC$6/A675 * Performance!$E$12 + Performance!$E$23/Constraints!$AC$6 * Constraints!A675</f>
        <v>#VALUE!</v>
      </c>
      <c r="K675">
        <f xml:space="preserve"> $AC$3/H675 + $AC$6/A675 * Performance!$E$12 + Performance!$E$23/Constraints!$AC$6 * Constraints!A675</f>
        <v>1.306717437086905</v>
      </c>
      <c r="L675">
        <f xml:space="preserve"> $AC$3/I675 + $AC$6/A675 * Performance!$E$12 + Performance!$E$23/Constraints!$AC$6 * Constraints!A675</f>
        <v>1.2956292018663815</v>
      </c>
      <c r="M675">
        <f>SIN($AC$9 * PI()/180) + 1/Performance!$AE$5</f>
        <v>0.24073077270730886</v>
      </c>
      <c r="N675">
        <f>SIN($AC$9 * PI()/180) + 1/Performance!$AE$8</f>
        <v>0.22738716112204788</v>
      </c>
      <c r="O675" s="60">
        <f>$AC$16 * (Performance!$E$12/Constraints!A675 + Performance!$E$23 * (Constraints!$AC$13/Constraints!$AC$17)^2 * Constraints!A675)</f>
        <v>2.2518141668363489E-4</v>
      </c>
      <c r="P675" t="e">
        <f t="shared" si="43"/>
        <v>#VALUE!</v>
      </c>
      <c r="Q675">
        <f t="shared" si="44"/>
        <v>134.33483936178473</v>
      </c>
      <c r="R675">
        <f t="shared" si="45"/>
        <v>148.65054386343618</v>
      </c>
      <c r="S675" t="e">
        <f xml:space="preserve"> 1.667/G675 + P675/A675 * Performance!$E$12 + Performance!$E$23 / Constraints!P675 * Constraints!A675</f>
        <v>#VALUE!</v>
      </c>
      <c r="T675">
        <f xml:space="preserve"> 1.667/H675 + Q675/A675 * Performance!$E$12 + Performance!$E$23 / Constraints!Q675 * Constraints!A675</f>
        <v>0.17961216888171647</v>
      </c>
      <c r="U675">
        <f xml:space="preserve"> 1.667/I675 + R675/A675 * Performance!$E$12 + Performance!$E$23 / Constraints!R675 * Constraints!A675</f>
        <v>0.16820334696743289</v>
      </c>
    </row>
    <row r="676" spans="1:21" x14ac:dyDescent="0.3">
      <c r="A676" s="51">
        <v>337</v>
      </c>
      <c r="B676" s="50">
        <f>$V$4*Performance!$E$12*(1/A676)+Performance!$E$23*(1/Constraints!$V$4)*Constraints!A676</f>
        <v>9.7621532505706626E-2</v>
      </c>
      <c r="C676" s="50">
        <f>$V$5*Performance!$E$12*(1/A676)+Performance!$E$23*(1/Constraints!$V$5)*Constraints!A676</f>
        <v>0.14010794120174122</v>
      </c>
      <c r="D676" s="52">
        <f t="shared" si="42"/>
        <v>0.43209557008049226</v>
      </c>
      <c r="E676" s="52">
        <f>$V$4*Performance!$E$12*(1/A676)+Performance!$E$23*(1/Constraints!$V$9)*Constraints!A676</f>
        <v>9.6099586528709396E-2</v>
      </c>
      <c r="F676" s="52">
        <f xml:space="preserve"> 1.21 / (9.81 * Constraints!$N$7 * Performance!$E$15 * Constraints!$N$5 ) * Constraints!A676 + 0.605 /Performance!$E$15 * (Performance!$E$16  - Constraints!$N$6 * Performance!$E$14) + Constraints!$N$6</f>
        <v>0.4319084950855071</v>
      </c>
      <c r="G676" s="54" t="s">
        <v>198</v>
      </c>
      <c r="H676" s="55">
        <f>SQRT(2/$V$3 * A676 * SQRT(Performance!$E$23 / (3 * Performance!$E$12)))</f>
        <v>22.635768025879145</v>
      </c>
      <c r="I676" s="55">
        <f>SQRT(2/$V$3 * A676 * (SQRT(Performance!$E$23)/(SQRT(3*Performance!$E$12 + 4* Performance!$E$23 * Performance!$E$11^2) - SQRT(Performance!$E$23)*Performance!$E$11)))</f>
        <v>23.811357508696673</v>
      </c>
      <c r="J676" t="e">
        <f xml:space="preserve"> $AC$3/G676 + $AC$6/A676 * Performance!$E$12 + Performance!$E$23/Constraints!$AC$6 * Constraints!A676</f>
        <v>#VALUE!</v>
      </c>
      <c r="K676">
        <f xml:space="preserve"> $AC$3/H676 + $AC$6/A676 * Performance!$E$12 + Performance!$E$23/Constraints!$AC$6 * Constraints!A676</f>
        <v>1.3081555906146409</v>
      </c>
      <c r="L676">
        <f xml:space="preserve"> $AC$3/I676 + $AC$6/A676 * Performance!$E$12 + Performance!$E$23/Constraints!$AC$6 * Constraints!A676</f>
        <v>1.29707558414124</v>
      </c>
      <c r="M676">
        <f>SIN($AC$9 * PI()/180) + 1/Performance!$AE$5</f>
        <v>0.24073077270730886</v>
      </c>
      <c r="N676">
        <f>SIN($AC$9 * PI()/180) + 1/Performance!$AE$8</f>
        <v>0.22738716112204788</v>
      </c>
      <c r="O676" s="60">
        <f>$AC$16 * (Performance!$E$12/Constraints!A676 + Performance!$E$23 * (Constraints!$AC$13/Constraints!$AC$17)^2 * Constraints!A676)</f>
        <v>2.2529915505191547E-4</v>
      </c>
      <c r="P676" t="e">
        <f t="shared" si="43"/>
        <v>#VALUE!</v>
      </c>
      <c r="Q676">
        <f t="shared" si="44"/>
        <v>134.53444536380817</v>
      </c>
      <c r="R676">
        <f t="shared" si="45"/>
        <v>148.87142134317386</v>
      </c>
      <c r="S676" t="e">
        <f xml:space="preserve"> 1.667/G676 + P676/A676 * Performance!$E$12 + Performance!$E$23 / Constraints!P676 * Constraints!A676</f>
        <v>#VALUE!</v>
      </c>
      <c r="T676">
        <f xml:space="preserve"> 1.667/H676 + Q676/A676 * Performance!$E$12 + Performance!$E$23 / Constraints!Q676 * Constraints!A676</f>
        <v>0.17955747558934776</v>
      </c>
      <c r="U676">
        <f xml:space="preserve"> 1.667/I676 + R676/A676 * Performance!$E$12 + Performance!$E$23 / Constraints!R676 * Constraints!A676</f>
        <v>0.16815135393519282</v>
      </c>
    </row>
    <row r="677" spans="1:21" x14ac:dyDescent="0.3">
      <c r="A677" s="51">
        <v>337.5</v>
      </c>
      <c r="B677" s="50">
        <f>$V$4*Performance!$E$12*(1/A677)+Performance!$E$23*(1/Constraints!$V$4)*Constraints!A677</f>
        <v>9.7516492648328457E-2</v>
      </c>
      <c r="C677" s="50">
        <f>$V$5*Performance!$E$12*(1/A677)+Performance!$E$23*(1/Constraints!$V$5)*Constraints!A677</f>
        <v>0.13992573078682519</v>
      </c>
      <c r="D677" s="52">
        <f t="shared" si="42"/>
        <v>0.43236785579277787</v>
      </c>
      <c r="E677" s="52">
        <f>$V$4*Performance!$E$12*(1/A677)+Performance!$E$23*(1/Constraints!$V$9)*Constraints!A677</f>
        <v>9.5992288591246672E-2</v>
      </c>
      <c r="F677" s="52">
        <f xml:space="preserve"> 1.21 / (9.81 * Constraints!$N$7 * Performance!$E$15 * Constraints!$N$5 ) * Constraints!A677 + 0.605 /Performance!$E$15 * (Performance!$E$16  - Constraints!$N$6 * Performance!$E$14) + Constraints!$N$6</f>
        <v>0.43218050323845292</v>
      </c>
      <c r="G677" s="54" t="s">
        <v>198</v>
      </c>
      <c r="H677" s="55">
        <f>SQRT(2/$V$3 * A677 * SQRT(Performance!$E$23 / (3 * Performance!$E$12)))</f>
        <v>22.652553914745798</v>
      </c>
      <c r="I677" s="55">
        <f>SQRT(2/$V$3 * A677 * (SQRT(Performance!$E$23)/(SQRT(3*Performance!$E$12 + 4* Performance!$E$23 * Performance!$E$11^2) - SQRT(Performance!$E$23)*Performance!$E$11)))</f>
        <v>23.829015173347074</v>
      </c>
      <c r="J677" t="e">
        <f xml:space="preserve"> $AC$3/G677 + $AC$6/A677 * Performance!$E$12 + Performance!$E$23/Constraints!$AC$6 * Constraints!A677</f>
        <v>#VALUE!</v>
      </c>
      <c r="K677">
        <f xml:space="preserve"> $AC$3/H677 + $AC$6/A677 * Performance!$E$12 + Performance!$E$23/Constraints!$AC$6 * Constraints!A677</f>
        <v>1.3095941192362459</v>
      </c>
      <c r="L677">
        <f xml:space="preserve"> $AC$3/I677 + $AC$6/A677 * Performance!$E$12 + Performance!$E$23/Constraints!$AC$6 * Constraints!A677</f>
        <v>1.2985223232170835</v>
      </c>
      <c r="M677">
        <f>SIN($AC$9 * PI()/180) + 1/Performance!$AE$5</f>
        <v>0.24073077270730886</v>
      </c>
      <c r="N677">
        <f>SIN($AC$9 * PI()/180) + 1/Performance!$AE$8</f>
        <v>0.22738716112204788</v>
      </c>
      <c r="O677" s="60">
        <f>$AC$16 * (Performance!$E$12/Constraints!A677 + Performance!$E$23 * (Constraints!$AC$13/Constraints!$AC$17)^2 * Constraints!A677)</f>
        <v>2.2541721444853296E-4</v>
      </c>
      <c r="P677" t="e">
        <f t="shared" si="43"/>
        <v>#VALUE!</v>
      </c>
      <c r="Q677">
        <f t="shared" si="44"/>
        <v>134.73405136583165</v>
      </c>
      <c r="R677">
        <f t="shared" si="45"/>
        <v>149.09229882291157</v>
      </c>
      <c r="S677" t="e">
        <f xml:space="preserve"> 1.667/G677 + P677/A677 * Performance!$E$12 + Performance!$E$23 / Constraints!P677 * Constraints!A677</f>
        <v>#VALUE!</v>
      </c>
      <c r="T677">
        <f xml:space="preserve"> 1.667/H677 + Q677/A677 * Performance!$E$12 + Performance!$E$23 / Constraints!Q677 * Constraints!A677</f>
        <v>0.17950290388268839</v>
      </c>
      <c r="U677">
        <f xml:space="preserve"> 1.667/I677 + R677/A677 * Performance!$E$12 + Performance!$E$23 / Constraints!R677 * Constraints!A677</f>
        <v>0.16809947648585927</v>
      </c>
    </row>
    <row r="678" spans="1:21" x14ac:dyDescent="0.3">
      <c r="A678" s="51">
        <v>338</v>
      </c>
      <c r="B678" s="50">
        <f>$V$4*Performance!$E$12*(1/A678)+Performance!$E$23*(1/Constraints!$V$4)*Constraints!A678</f>
        <v>9.7411822160319628E-2</v>
      </c>
      <c r="C678" s="50">
        <f>$V$5*Performance!$E$12*(1/A678)+Performance!$E$23*(1/Constraints!$V$5)*Constraints!A678</f>
        <v>0.13974409699399792</v>
      </c>
      <c r="D678" s="52">
        <f t="shared" si="42"/>
        <v>0.43264014150506347</v>
      </c>
      <c r="E678" s="52">
        <f>$V$4*Performance!$E$12*(1/A678)+Performance!$E$23*(1/Constraints!$V$9)*Constraints!A678</f>
        <v>9.5885360023153274E-2</v>
      </c>
      <c r="F678" s="52">
        <f xml:space="preserve"> 1.21 / (9.81 * Constraints!$N$7 * Performance!$E$15 * Constraints!$N$5 ) * Constraints!A678 + 0.605 /Performance!$E$15 * (Performance!$E$16  - Constraints!$N$6 * Performance!$E$14) + Constraints!$N$6</f>
        <v>0.43245251139139884</v>
      </c>
      <c r="G678" s="54" t="s">
        <v>198</v>
      </c>
      <c r="H678" s="55">
        <f>SQRT(2/$V$3 * A678 * SQRT(Performance!$E$23 / (3 * Performance!$E$12)))</f>
        <v>22.669327374219062</v>
      </c>
      <c r="I678" s="55">
        <f>SQRT(2/$V$3 * A678 * (SQRT(Performance!$E$23)/(SQRT(3*Performance!$E$12 + 4* Performance!$E$23 * Performance!$E$11^2) - SQRT(Performance!$E$23)*Performance!$E$11)))</f>
        <v>23.846659763083053</v>
      </c>
      <c r="J678" t="e">
        <f xml:space="preserve"> $AC$3/G678 + $AC$6/A678 * Performance!$E$12 + Performance!$E$23/Constraints!$AC$6 * Constraints!A678</f>
        <v>#VALUE!</v>
      </c>
      <c r="K678">
        <f xml:space="preserve"> $AC$3/H678 + $AC$6/A678 * Performance!$E$12 + Performance!$E$23/Constraints!$AC$6 * Constraints!A678</f>
        <v>1.3110330215606476</v>
      </c>
      <c r="L678">
        <f xml:space="preserve"> $AC$3/I678 + $AC$6/A678 * Performance!$E$12 + Performance!$E$23/Constraints!$AC$6 * Constraints!A678</f>
        <v>1.2999694177705163</v>
      </c>
      <c r="M678">
        <f>SIN($AC$9 * PI()/180) + 1/Performance!$AE$5</f>
        <v>0.24073077270730886</v>
      </c>
      <c r="N678">
        <f>SIN($AC$9 * PI()/180) + 1/Performance!$AE$8</f>
        <v>0.22738716112204788</v>
      </c>
      <c r="O678" s="60">
        <f>$AC$16 * (Performance!$E$12/Constraints!A678 + Performance!$E$23 * (Constraints!$AC$13/Constraints!$AC$17)^2 * Constraints!A678)</f>
        <v>2.2553559344880544E-4</v>
      </c>
      <c r="P678" t="e">
        <f t="shared" si="43"/>
        <v>#VALUE!</v>
      </c>
      <c r="Q678">
        <f t="shared" si="44"/>
        <v>134.93365736785509</v>
      </c>
      <c r="R678">
        <f t="shared" si="45"/>
        <v>149.31317630264917</v>
      </c>
      <c r="S678" t="e">
        <f xml:space="preserve"> 1.667/G678 + P678/A678 * Performance!$E$12 + Performance!$E$23 / Constraints!P678 * Constraints!A678</f>
        <v>#VALUE!</v>
      </c>
      <c r="T678">
        <f xml:space="preserve"> 1.667/H678 + Q678/A678 * Performance!$E$12 + Performance!$E$23 / Constraints!Q678 * Constraints!A678</f>
        <v>0.17944845331192047</v>
      </c>
      <c r="U678">
        <f xml:space="preserve"> 1.667/I678 + R678/A678 * Performance!$E$12 + Performance!$E$23 / Constraints!R678 * Constraints!A678</f>
        <v>0.16804771419182257</v>
      </c>
    </row>
    <row r="679" spans="1:21" x14ac:dyDescent="0.3">
      <c r="A679" s="51">
        <v>338.5</v>
      </c>
      <c r="B679" s="50">
        <f>$V$4*Performance!$E$12*(1/A679)+Performance!$E$23*(1/Constraints!$V$4)*Constraints!A679</f>
        <v>9.7307519404888243E-2</v>
      </c>
      <c r="C679" s="50">
        <f>$V$5*Performance!$E$12*(1/A679)+Performance!$E$23*(1/Constraints!$V$5)*Constraints!A679</f>
        <v>0.13956303726806563</v>
      </c>
      <c r="D679" s="52">
        <f t="shared" si="42"/>
        <v>0.43291242721734907</v>
      </c>
      <c r="E679" s="52">
        <f>$V$4*Performance!$E$12*(1/A679)+Performance!$E$23*(1/Constraints!$V$9)*Constraints!A679</f>
        <v>9.577879918763732E-2</v>
      </c>
      <c r="F679" s="52">
        <f xml:space="preserve"> 1.21 / (9.81 * Constraints!$N$7 * Performance!$E$15 * Constraints!$N$5 ) * Constraints!A679 + 0.605 /Performance!$E$15 * (Performance!$E$16  - Constraints!$N$6 * Performance!$E$14) + Constraints!$N$6</f>
        <v>0.43272451954434465</v>
      </c>
      <c r="G679" s="54" t="s">
        <v>198</v>
      </c>
      <c r="H679" s="55">
        <f>SQRT(2/$V$3 * A679 * SQRT(Performance!$E$23 / (3 * Performance!$E$12)))</f>
        <v>22.686088431868775</v>
      </c>
      <c r="I679" s="55">
        <f>SQRT(2/$V$3 * A679 * (SQRT(Performance!$E$23)/(SQRT(3*Performance!$E$12 + 4* Performance!$E$23 * Performance!$E$11^2) - SQRT(Performance!$E$23)*Performance!$E$11)))</f>
        <v>23.864291306906306</v>
      </c>
      <c r="J679" t="e">
        <f xml:space="preserve"> $AC$3/G679 + $AC$6/A679 * Performance!$E$12 + Performance!$E$23/Constraints!$AC$6 * Constraints!A679</f>
        <v>#VALUE!</v>
      </c>
      <c r="K679">
        <f xml:space="preserve"> $AC$3/H679 + $AC$6/A679 * Performance!$E$12 + Performance!$E$23/Constraints!$AC$6 * Constraints!A679</f>
        <v>1.3124722962039832</v>
      </c>
      <c r="L679">
        <f xml:space="preserve"> $AC$3/I679 + $AC$6/A679 * Performance!$E$12 + Performance!$E$23/Constraints!$AC$6 * Constraints!A679</f>
        <v>1.3014168664850008</v>
      </c>
      <c r="M679">
        <f>SIN($AC$9 * PI()/180) + 1/Performance!$AE$5</f>
        <v>0.24073077270730886</v>
      </c>
      <c r="N679">
        <f>SIN($AC$9 * PI()/180) + 1/Performance!$AE$8</f>
        <v>0.22738716112204788</v>
      </c>
      <c r="O679" s="60">
        <f>$AC$16 * (Performance!$E$12/Constraints!A679 + Performance!$E$23 * (Constraints!$AC$13/Constraints!$AC$17)^2 * Constraints!A679)</f>
        <v>2.2565429063646852E-4</v>
      </c>
      <c r="P679" t="e">
        <f t="shared" si="43"/>
        <v>#VALUE!</v>
      </c>
      <c r="Q679">
        <f t="shared" si="44"/>
        <v>135.13326336987856</v>
      </c>
      <c r="R679">
        <f t="shared" si="45"/>
        <v>149.53405378238688</v>
      </c>
      <c r="S679" t="e">
        <f xml:space="preserve"> 1.667/G679 + P679/A679 * Performance!$E$12 + Performance!$E$23 / Constraints!P679 * Constraints!A679</f>
        <v>#VALUE!</v>
      </c>
      <c r="T679">
        <f xml:space="preserve"> 1.667/H679 + Q679/A679 * Performance!$E$12 + Performance!$E$23 / Constraints!Q679 * Constraints!A679</f>
        <v>0.17939412342955263</v>
      </c>
      <c r="U679">
        <f xml:space="preserve"> 1.667/I679 + R679/A679 * Performance!$E$12 + Performance!$E$23 / Constraints!R679 * Constraints!A679</f>
        <v>0.16799606662768418</v>
      </c>
    </row>
    <row r="680" spans="1:21" x14ac:dyDescent="0.3">
      <c r="A680" s="51">
        <v>339</v>
      </c>
      <c r="B680" s="50">
        <f>$V$4*Performance!$E$12*(1/A680)+Performance!$E$23*(1/Constraints!$V$4)*Constraints!A680</f>
        <v>9.7203582754898973E-2</v>
      </c>
      <c r="C680" s="50">
        <f>$V$5*Performance!$E$12*(1/A680)+Performance!$E$23*(1/Constraints!$V$5)*Constraints!A680</f>
        <v>0.13938254906890915</v>
      </c>
      <c r="D680" s="52">
        <f t="shared" si="42"/>
        <v>0.43318471292963467</v>
      </c>
      <c r="E680" s="52">
        <f>$V$4*Performance!$E$12*(1/A680)+Performance!$E$23*(1/Constraints!$V$9)*Constraints!A680</f>
        <v>9.5672604457563482E-2</v>
      </c>
      <c r="F680" s="52">
        <f xml:space="preserve"> 1.21 / (9.81 * Constraints!$N$7 * Performance!$E$15 * Constraints!$N$5 ) * Constraints!A680 + 0.605 /Performance!$E$15 * (Performance!$E$16  - Constraints!$N$6 * Performance!$E$14) + Constraints!$N$6</f>
        <v>0.43299652769729052</v>
      </c>
      <c r="G680" s="54" t="s">
        <v>198</v>
      </c>
      <c r="H680" s="55">
        <f>SQRT(2/$V$3 * A680 * SQRT(Performance!$E$23 / (3 * Performance!$E$12)))</f>
        <v>22.702837115163003</v>
      </c>
      <c r="I680" s="55">
        <f>SQRT(2/$V$3 * A680 * (SQRT(Performance!$E$23)/(SQRT(3*Performance!$E$12 + 4* Performance!$E$23 * Performance!$E$11^2) - SQRT(Performance!$E$23)*Performance!$E$11)))</f>
        <v>23.88190983371144</v>
      </c>
      <c r="J680" t="e">
        <f xml:space="preserve"> $AC$3/G680 + $AC$6/A680 * Performance!$E$12 + Performance!$E$23/Constraints!$AC$6 * Constraints!A680</f>
        <v>#VALUE!</v>
      </c>
      <c r="K680">
        <f xml:space="preserve"> $AC$3/H680 + $AC$6/A680 * Performance!$E$12 + Performance!$E$23/Constraints!$AC$6 * Constraints!A680</f>
        <v>1.3139119417895497</v>
      </c>
      <c r="L680">
        <f xml:space="preserve"> $AC$3/I680 + $AC$6/A680 * Performance!$E$12 + Performance!$E$23/Constraints!$AC$6 * Constraints!A680</f>
        <v>1.3028646680508138</v>
      </c>
      <c r="M680">
        <f>SIN($AC$9 * PI()/180) + 1/Performance!$AE$5</f>
        <v>0.24073077270730886</v>
      </c>
      <c r="N680">
        <f>SIN($AC$9 * PI()/180) + 1/Performance!$AE$8</f>
        <v>0.22738716112204788</v>
      </c>
      <c r="O680" s="60">
        <f>$AC$16 * (Performance!$E$12/Constraints!A680 + Performance!$E$23 * (Constraints!$AC$13/Constraints!$AC$17)^2 * Constraints!A680)</f>
        <v>2.2577330460361346E-4</v>
      </c>
      <c r="P680" t="e">
        <f t="shared" si="43"/>
        <v>#VALUE!</v>
      </c>
      <c r="Q680">
        <f t="shared" si="44"/>
        <v>135.33286937190201</v>
      </c>
      <c r="R680">
        <f t="shared" si="45"/>
        <v>149.75493126212447</v>
      </c>
      <c r="S680" t="e">
        <f xml:space="preserve"> 1.667/G680 + P680/A680 * Performance!$E$12 + Performance!$E$23 / Constraints!P680 * Constraints!A680</f>
        <v>#VALUE!</v>
      </c>
      <c r="T680">
        <f xml:space="preserve"> 1.667/H680 + Q680/A680 * Performance!$E$12 + Performance!$E$23 / Constraints!Q680 * Constraints!A680</f>
        <v>0.17933991379040437</v>
      </c>
      <c r="U680">
        <f xml:space="preserve"> 1.667/I680 + R680/A680 * Performance!$E$12 + Performance!$E$23 / Constraints!R680 * Constraints!A680</f>
        <v>0.16794453337024273</v>
      </c>
    </row>
    <row r="681" spans="1:21" x14ac:dyDescent="0.3">
      <c r="A681" s="51">
        <v>339.5</v>
      </c>
      <c r="B681" s="50">
        <f>$V$4*Performance!$E$12*(1/A681)+Performance!$E$23*(1/Constraints!$V$4)*Constraints!A681</f>
        <v>9.7100010592802058E-2</v>
      </c>
      <c r="C681" s="50">
        <f>$V$5*Performance!$E$12*(1/A681)+Performance!$E$23*(1/Constraints!$V$5)*Constraints!A681</f>
        <v>0.13920262987137352</v>
      </c>
      <c r="D681" s="52">
        <f t="shared" si="42"/>
        <v>0.43345699864192022</v>
      </c>
      <c r="E681" s="52">
        <f>$V$4*Performance!$E$12*(1/A681)+Performance!$E$23*(1/Constraints!$V$9)*Constraints!A681</f>
        <v>9.5566774215381997E-2</v>
      </c>
      <c r="F681" s="52">
        <f xml:space="preserve"> 1.21 / (9.81 * Constraints!$N$7 * Performance!$E$15 * Constraints!$N$5 ) * Constraints!A681 + 0.605 /Performance!$E$15 * (Performance!$E$16  - Constraints!$N$6 * Performance!$E$14) + Constraints!$N$6</f>
        <v>0.43326853585023639</v>
      </c>
      <c r="G681" s="54" t="s">
        <v>198</v>
      </c>
      <c r="H681" s="55">
        <f>SQRT(2/$V$3 * A681 * SQRT(Performance!$E$23 / (3 * Performance!$E$12)))</f>
        <v>22.719573451468566</v>
      </c>
      <c r="I681" s="55">
        <f>SQRT(2/$V$3 * A681 * (SQRT(Performance!$E$23)/(SQRT(3*Performance!$E$12 + 4* Performance!$E$23 * Performance!$E$11^2) - SQRT(Performance!$E$23)*Performance!$E$11)))</f>
        <v>23.899515372286579</v>
      </c>
      <c r="J681" t="e">
        <f xml:space="preserve"> $AC$3/G681 + $AC$6/A681 * Performance!$E$12 + Performance!$E$23/Constraints!$AC$6 * Constraints!A681</f>
        <v>#VALUE!</v>
      </c>
      <c r="K681">
        <f xml:space="preserve"> $AC$3/H681 + $AC$6/A681 * Performance!$E$12 + Performance!$E$23/Constraints!$AC$6 * Constraints!A681</f>
        <v>1.3153519569477601</v>
      </c>
      <c r="L681">
        <f xml:space="preserve"> $AC$3/I681 + $AC$6/A681 * Performance!$E$12 + Performance!$E$23/Constraints!$AC$6 * Constraints!A681</f>
        <v>1.3043128211650006</v>
      </c>
      <c r="M681">
        <f>SIN($AC$9 * PI()/180) + 1/Performance!$AE$5</f>
        <v>0.24073077270730886</v>
      </c>
      <c r="N681">
        <f>SIN($AC$9 * PI()/180) + 1/Performance!$AE$8</f>
        <v>0.22738716112204788</v>
      </c>
      <c r="O681" s="60">
        <f>$AC$16 * (Performance!$E$12/Constraints!A681 + Performance!$E$23 * (Constraints!$AC$13/Constraints!$AC$17)^2 * Constraints!A681)</f>
        <v>2.2589263395062536E-4</v>
      </c>
      <c r="P681" t="e">
        <f t="shared" si="43"/>
        <v>#VALUE!</v>
      </c>
      <c r="Q681">
        <f t="shared" si="44"/>
        <v>135.53247537392545</v>
      </c>
      <c r="R681">
        <f t="shared" si="45"/>
        <v>149.9758087418621</v>
      </c>
      <c r="S681" t="e">
        <f xml:space="preserve"> 1.667/G681 + P681/A681 * Performance!$E$12 + Performance!$E$23 / Constraints!P681 * Constraints!A681</f>
        <v>#VALUE!</v>
      </c>
      <c r="T681">
        <f xml:space="preserve"> 1.667/H681 + Q681/A681 * Performance!$E$12 + Performance!$E$23 / Constraints!Q681 * Constraints!A681</f>
        <v>0.17928582395159073</v>
      </c>
      <c r="U681">
        <f xml:space="preserve"> 1.667/I681 + R681/A681 * Performance!$E$12 + Performance!$E$23 / Constraints!R681 * Constraints!A681</f>
        <v>0.16789311399847884</v>
      </c>
    </row>
    <row r="682" spans="1:21" x14ac:dyDescent="0.3">
      <c r="A682" s="51">
        <v>340</v>
      </c>
      <c r="B682" s="50">
        <f>$V$4*Performance!$E$12*(1/A682)+Performance!$E$23*(1/Constraints!$V$4)*Constraints!A682</f>
        <v>9.6996801310562639E-2</v>
      </c>
      <c r="C682" s="50">
        <f>$V$5*Performance!$E$12*(1/A682)+Performance!$E$23*(1/Constraints!$V$5)*Constraints!A682</f>
        <v>0.13902327716515739</v>
      </c>
      <c r="D682" s="52">
        <f t="shared" si="42"/>
        <v>0.43372928435420588</v>
      </c>
      <c r="E682" s="52">
        <f>$V$4*Performance!$E$12*(1/A682)+Performance!$E$23*(1/Constraints!$V$9)*Constraints!A682</f>
        <v>9.5461306853058023E-2</v>
      </c>
      <c r="F682" s="52">
        <f xml:space="preserve"> 1.21 / (9.81 * Constraints!$N$7 * Performance!$E$15 * Constraints!$N$5 ) * Constraints!A682 + 0.605 /Performance!$E$15 * (Performance!$E$16  - Constraints!$N$6 * Performance!$E$14) + Constraints!$N$6</f>
        <v>0.4335405440031822</v>
      </c>
      <c r="G682" s="54" t="s">
        <v>198</v>
      </c>
      <c r="H682" s="55">
        <f>SQRT(2/$V$3 * A682 * SQRT(Performance!$E$23 / (3 * Performance!$E$12)))</f>
        <v>22.736297468051561</v>
      </c>
      <c r="I682" s="55">
        <f>SQRT(2/$V$3 * A682 * (SQRT(Performance!$E$23)/(SQRT(3*Performance!$E$12 + 4* Performance!$E$23 * Performance!$E$11^2) - SQRT(Performance!$E$23)*Performance!$E$11)))</f>
        <v>23.917107951313888</v>
      </c>
      <c r="J682" t="e">
        <f xml:space="preserve"> $AC$3/G682 + $AC$6/A682 * Performance!$E$12 + Performance!$E$23/Constraints!$AC$6 * Constraints!A682</f>
        <v>#VALUE!</v>
      </c>
      <c r="K682">
        <f xml:space="preserve"> $AC$3/H682 + $AC$6/A682 * Performance!$E$12 + Performance!$E$23/Constraints!$AC$6 * Constraints!A682</f>
        <v>1.3167923403160922</v>
      </c>
      <c r="L682">
        <f xml:space="preserve"> $AC$3/I682 + $AC$6/A682 * Performance!$E$12 + Performance!$E$23/Constraints!$AC$6 * Constraints!A682</f>
        <v>1.3057613245313293</v>
      </c>
      <c r="M682">
        <f>SIN($AC$9 * PI()/180) + 1/Performance!$AE$5</f>
        <v>0.24073077270730886</v>
      </c>
      <c r="N682">
        <f>SIN($AC$9 * PI()/180) + 1/Performance!$AE$8</f>
        <v>0.22738716112204788</v>
      </c>
      <c r="O682" s="60">
        <f>$AC$16 * (Performance!$E$12/Constraints!A682 + Performance!$E$23 * (Constraints!$AC$13/Constraints!$AC$17)^2 * Constraints!A682)</f>
        <v>2.260122772861226E-4</v>
      </c>
      <c r="P682" t="e">
        <f t="shared" si="43"/>
        <v>#VALUE!</v>
      </c>
      <c r="Q682">
        <f t="shared" si="44"/>
        <v>135.73208137594889</v>
      </c>
      <c r="R682">
        <f t="shared" si="45"/>
        <v>150.19668622159978</v>
      </c>
      <c r="S682" t="e">
        <f xml:space="preserve"> 1.667/G682 + P682/A682 * Performance!$E$12 + Performance!$E$23 / Constraints!P682 * Constraints!A682</f>
        <v>#VALUE!</v>
      </c>
      <c r="T682">
        <f xml:space="preserve"> 1.667/H682 + Q682/A682 * Performance!$E$12 + Performance!$E$23 / Constraints!Q682 * Constraints!A682</f>
        <v>0.1792318534725072</v>
      </c>
      <c r="U682">
        <f xml:space="preserve"> 1.667/I682 + R682/A682 * Performance!$E$12 + Performance!$E$23 / Constraints!R682 * Constraints!A682</f>
        <v>0.16784180809354105</v>
      </c>
    </row>
    <row r="683" spans="1:21" x14ac:dyDescent="0.3">
      <c r="A683" s="51">
        <v>340.5</v>
      </c>
      <c r="B683" s="50">
        <f>$V$4*Performance!$E$12*(1/A683)+Performance!$E$23*(1/Constraints!$V$4)*Constraints!A683</f>
        <v>9.6893953309591052E-2</v>
      </c>
      <c r="C683" s="50">
        <f>$V$5*Performance!$E$12*(1/A683)+Performance!$E$23*(1/Constraints!$V$5)*Constraints!A683</f>
        <v>0.13884448845470429</v>
      </c>
      <c r="D683" s="52">
        <f t="shared" si="42"/>
        <v>0.43400157006649143</v>
      </c>
      <c r="E683" s="52">
        <f>$V$4*Performance!$E$12*(1/A683)+Performance!$E$23*(1/Constraints!$V$9)*Constraints!A683</f>
        <v>9.5356200772001867E-2</v>
      </c>
      <c r="F683" s="52">
        <f xml:space="preserve"> 1.21 / (9.81 * Constraints!$N$7 * Performance!$E$15 * Constraints!$N$5 ) * Constraints!A683 + 0.605 /Performance!$E$15 * (Performance!$E$16  - Constraints!$N$6 * Performance!$E$14) + Constraints!$N$6</f>
        <v>0.43381255215612813</v>
      </c>
      <c r="G683" s="54" t="s">
        <v>198</v>
      </c>
      <c r="H683" s="55">
        <f>SQRT(2/$V$3 * A683 * SQRT(Performance!$E$23 / (3 * Performance!$E$12)))</f>
        <v>22.753009192077879</v>
      </c>
      <c r="I683" s="55">
        <f>SQRT(2/$V$3 * A683 * (SQRT(Performance!$E$23)/(SQRT(3*Performance!$E$12 + 4* Performance!$E$23 * Performance!$E$11^2) - SQRT(Performance!$E$23)*Performance!$E$11)))</f>
        <v>23.934687599370111</v>
      </c>
      <c r="J683" t="e">
        <f xml:space="preserve"> $AC$3/G683 + $AC$6/A683 * Performance!$E$12 + Performance!$E$23/Constraints!$AC$6 * Constraints!A683</f>
        <v>#VALUE!</v>
      </c>
      <c r="K683">
        <f xml:space="preserve"> $AC$3/H683 + $AC$6/A683 * Performance!$E$12 + Performance!$E$23/Constraints!$AC$6 * Constraints!A683</f>
        <v>1.3182330905390442</v>
      </c>
      <c r="L683">
        <f xml:space="preserve"> $AC$3/I683 + $AC$6/A683 * Performance!$E$12 + Performance!$E$23/Constraints!$AC$6 * Constraints!A683</f>
        <v>1.3072101768602475</v>
      </c>
      <c r="M683">
        <f>SIN($AC$9 * PI()/180) + 1/Performance!$AE$5</f>
        <v>0.24073077270730886</v>
      </c>
      <c r="N683">
        <f>SIN($AC$9 * PI()/180) + 1/Performance!$AE$8</f>
        <v>0.22738716112204788</v>
      </c>
      <c r="O683" s="60">
        <f>$AC$16 * (Performance!$E$12/Constraints!A683 + Performance!$E$23 * (Constraints!$AC$13/Constraints!$AC$17)^2 * Constraints!A683)</f>
        <v>2.2613223322689589E-4</v>
      </c>
      <c r="P683" t="e">
        <f t="shared" si="43"/>
        <v>#VALUE!</v>
      </c>
      <c r="Q683">
        <f t="shared" si="44"/>
        <v>135.93168737797237</v>
      </c>
      <c r="R683">
        <f t="shared" si="45"/>
        <v>150.4175637013374</v>
      </c>
      <c r="S683" t="e">
        <f xml:space="preserve"> 1.667/G683 + P683/A683 * Performance!$E$12 + Performance!$E$23 / Constraints!P683 * Constraints!A683</f>
        <v>#VALUE!</v>
      </c>
      <c r="T683">
        <f xml:space="preserve"> 1.667/H683 + Q683/A683 * Performance!$E$12 + Performance!$E$23 / Constraints!Q683 * Constraints!A683</f>
        <v>0.17917800191481448</v>
      </c>
      <c r="U683">
        <f xml:space="preserve"> 1.667/I683 + R683/A683 * Performance!$E$12 + Performance!$E$23 / Constraints!R683 * Constraints!A683</f>
        <v>0.1677906152387314</v>
      </c>
    </row>
    <row r="684" spans="1:21" x14ac:dyDescent="0.3">
      <c r="A684" s="51">
        <v>341</v>
      </c>
      <c r="B684" s="50">
        <f>$V$4*Performance!$E$12*(1/A684)+Performance!$E$23*(1/Constraints!$V$4)*Constraints!A684</f>
        <v>9.679146500067351E-2</v>
      </c>
      <c r="C684" s="50">
        <f>$V$5*Performance!$E$12*(1/A684)+Performance!$E$23*(1/Constraints!$V$5)*Constraints!A684</f>
        <v>0.13866626125909448</v>
      </c>
      <c r="D684" s="52">
        <f t="shared" si="42"/>
        <v>0.43427385577877708</v>
      </c>
      <c r="E684" s="52">
        <f>$V$4*Performance!$E$12*(1/A684)+Performance!$E$23*(1/Constraints!$V$9)*Constraints!A684</f>
        <v>9.5251454382999756E-2</v>
      </c>
      <c r="F684" s="52">
        <f xml:space="preserve"> 1.21 / (9.81 * Constraints!$N$7 * Performance!$E$15 * Constraints!$N$5 ) * Constraints!A684 + 0.605 /Performance!$E$15 * (Performance!$E$16  - Constraints!$N$6 * Performance!$E$14) + Constraints!$N$6</f>
        <v>0.43408456030907394</v>
      </c>
      <c r="G684" s="54" t="s">
        <v>198</v>
      </c>
      <c r="H684" s="55">
        <f>SQRT(2/$V$3 * A684 * SQRT(Performance!$E$23 / (3 * Performance!$E$12)))</f>
        <v>22.769708650613712</v>
      </c>
      <c r="I684" s="55">
        <f>SQRT(2/$V$3 * A684 * (SQRT(Performance!$E$23)/(SQRT(3*Performance!$E$12 + 4* Performance!$E$23 * Performance!$E$11^2) - SQRT(Performance!$E$23)*Performance!$E$11)))</f>
        <v>23.952254344927134</v>
      </c>
      <c r="J684" t="e">
        <f xml:space="preserve"> $AC$3/G684 + $AC$6/A684 * Performance!$E$12 + Performance!$E$23/Constraints!$AC$6 * Constraints!A684</f>
        <v>#VALUE!</v>
      </c>
      <c r="K684">
        <f xml:space="preserve"> $AC$3/H684 + $AC$6/A684 * Performance!$E$12 + Performance!$E$23/Constraints!$AC$6 * Constraints!A684</f>
        <v>1.3196742062680877</v>
      </c>
      <c r="L684">
        <f xml:space="preserve"> $AC$3/I684 + $AC$6/A684 * Performance!$E$12 + Performance!$E$23/Constraints!$AC$6 * Constraints!A684</f>
        <v>1.3086593768688375</v>
      </c>
      <c r="M684">
        <f>SIN($AC$9 * PI()/180) + 1/Performance!$AE$5</f>
        <v>0.24073077270730886</v>
      </c>
      <c r="N684">
        <f>SIN($AC$9 * PI()/180) + 1/Performance!$AE$8</f>
        <v>0.22738716112204788</v>
      </c>
      <c r="O684" s="60">
        <f>$AC$16 * (Performance!$E$12/Constraints!A684 + Performance!$E$23 * (Constraints!$AC$13/Constraints!$AC$17)^2 * Constraints!A684)</f>
        <v>2.2625250039784873E-4</v>
      </c>
      <c r="P684" t="e">
        <f t="shared" si="43"/>
        <v>#VALUE!</v>
      </c>
      <c r="Q684">
        <f t="shared" si="44"/>
        <v>136.13129337999581</v>
      </c>
      <c r="R684">
        <f t="shared" si="45"/>
        <v>150.63844118107502</v>
      </c>
      <c r="S684" t="e">
        <f xml:space="preserve"> 1.667/G684 + P684/A684 * Performance!$E$12 + Performance!$E$23 / Constraints!P684 * Constraints!A684</f>
        <v>#VALUE!</v>
      </c>
      <c r="T684">
        <f xml:space="preserve"> 1.667/H684 + Q684/A684 * Performance!$E$12 + Performance!$E$23 / Constraints!Q684 * Constraints!A684</f>
        <v>0.17912426884242386</v>
      </c>
      <c r="U684">
        <f xml:space="preserve"> 1.667/I684 + R684/A684 * Performance!$E$12 + Performance!$E$23 / Constraints!R684 * Constraints!A684</f>
        <v>0.16773953501949115</v>
      </c>
    </row>
    <row r="685" spans="1:21" x14ac:dyDescent="0.3">
      <c r="A685" s="51">
        <v>341.5</v>
      </c>
      <c r="B685" s="50">
        <f>$V$4*Performance!$E$12*(1/A685)+Performance!$E$23*(1/Constraints!$V$4)*Constraints!A685</f>
        <v>9.6689334803903459E-2</v>
      </c>
      <c r="C685" s="50">
        <f>$V$5*Performance!$E$12*(1/A685)+Performance!$E$23*(1/Constraints!$V$5)*Constraints!A685</f>
        <v>0.13848859311193767</v>
      </c>
      <c r="D685" s="52">
        <f t="shared" si="42"/>
        <v>0.43454614149106263</v>
      </c>
      <c r="E685" s="52">
        <f>$V$4*Performance!$E$12*(1/A685)+Performance!$E$23*(1/Constraints!$V$9)*Constraints!A685</f>
        <v>9.5147066106145151E-2</v>
      </c>
      <c r="F685" s="52">
        <f xml:space="preserve"> 1.21 / (9.81 * Constraints!$N$7 * Performance!$E$15 * Constraints!$N$5 ) * Constraints!A685 + 0.605 /Performance!$E$15 * (Performance!$E$16  - Constraints!$N$6 * Performance!$E$14) + Constraints!$N$6</f>
        <v>0.43435656846201981</v>
      </c>
      <c r="G685" s="54" t="s">
        <v>198</v>
      </c>
      <c r="H685" s="55">
        <f>SQRT(2/$V$3 * A685 * SQRT(Performance!$E$23 / (3 * Performance!$E$12)))</f>
        <v>22.786395870626084</v>
      </c>
      <c r="I685" s="55">
        <f>SQRT(2/$V$3 * A685 * (SQRT(Performance!$E$23)/(SQRT(3*Performance!$E$12 + 4* Performance!$E$23 * Performance!$E$11^2) - SQRT(Performance!$E$23)*Performance!$E$11)))</f>
        <v>23.969808216352508</v>
      </c>
      <c r="J685" t="e">
        <f xml:space="preserve"> $AC$3/G685 + $AC$6/A685 * Performance!$E$12 + Performance!$E$23/Constraints!$AC$6 * Constraints!A685</f>
        <v>#VALUE!</v>
      </c>
      <c r="K685">
        <f xml:space="preserve"> $AC$3/H685 + $AC$6/A685 * Performance!$E$12 + Performance!$E$23/Constraints!$AC$6 * Constraints!A685</f>
        <v>1.3211156861616213</v>
      </c>
      <c r="L685">
        <f xml:space="preserve"> $AC$3/I685 + $AC$6/A685 * Performance!$E$12 + Performance!$E$23/Constraints!$AC$6 * Constraints!A685</f>
        <v>1.3101089232807723</v>
      </c>
      <c r="M685">
        <f>SIN($AC$9 * PI()/180) + 1/Performance!$AE$5</f>
        <v>0.24073077270730886</v>
      </c>
      <c r="N685">
        <f>SIN($AC$9 * PI()/180) + 1/Performance!$AE$8</f>
        <v>0.22738716112204788</v>
      </c>
      <c r="O685" s="60">
        <f>$AC$16 * (Performance!$E$12/Constraints!A685 + Performance!$E$23 * (Constraints!$AC$13/Constraints!$AC$17)^2 * Constraints!A685)</f>
        <v>2.2637307743193785E-4</v>
      </c>
      <c r="P685" t="e">
        <f t="shared" si="43"/>
        <v>#VALUE!</v>
      </c>
      <c r="Q685">
        <f t="shared" si="44"/>
        <v>136.33089938201925</v>
      </c>
      <c r="R685">
        <f t="shared" si="45"/>
        <v>150.8593186608127</v>
      </c>
      <c r="S685" t="e">
        <f xml:space="preserve"> 1.667/G685 + P685/A685 * Performance!$E$12 + Performance!$E$23 / Constraints!P685 * Constraints!A685</f>
        <v>#VALUE!</v>
      </c>
      <c r="T685">
        <f xml:space="preserve"> 1.667/H685 + Q685/A685 * Performance!$E$12 + Performance!$E$23 / Constraints!Q685 * Constraints!A685</f>
        <v>0.17907065382148196</v>
      </c>
      <c r="U685">
        <f xml:space="preserve"> 1.667/I685 + R685/A685 * Performance!$E$12 + Performance!$E$23 / Constraints!R685 * Constraints!A685</f>
        <v>0.16768856702338675</v>
      </c>
    </row>
    <row r="686" spans="1:21" x14ac:dyDescent="0.3">
      <c r="A686" s="51">
        <v>342</v>
      </c>
      <c r="B686" s="50">
        <f>$V$4*Performance!$E$12*(1/A686)+Performance!$E$23*(1/Constraints!$V$4)*Constraints!A686</f>
        <v>9.6587561148613596E-2</v>
      </c>
      <c r="C686" s="50">
        <f>$V$5*Performance!$E$12*(1/A686)+Performance!$E$23*(1/Constraints!$V$5)*Constraints!A686</f>
        <v>0.13831148156126702</v>
      </c>
      <c r="D686" s="52">
        <f t="shared" si="42"/>
        <v>0.43481842720334823</v>
      </c>
      <c r="E686" s="52">
        <f>$V$4*Performance!$E$12*(1/A686)+Performance!$E$23*(1/Constraints!$V$9)*Constraints!A686</f>
        <v>9.5043034370770718E-2</v>
      </c>
      <c r="F686" s="52">
        <f xml:space="preserve"> 1.21 / (9.81 * Constraints!$N$7 * Performance!$E$15 * Constraints!$N$5 ) * Constraints!A686 + 0.605 /Performance!$E$15 * (Performance!$E$16  - Constraints!$N$6 * Performance!$E$14) + Constraints!$N$6</f>
        <v>0.43462857661496568</v>
      </c>
      <c r="G686" s="54" t="s">
        <v>198</v>
      </c>
      <c r="H686" s="55">
        <f>SQRT(2/$V$3 * A686 * SQRT(Performance!$E$23 / (3 * Performance!$E$12)))</f>
        <v>22.803070878983338</v>
      </c>
      <c r="I686" s="55">
        <f>SQRT(2/$V$3 * A686 * (SQRT(Performance!$E$23)/(SQRT(3*Performance!$E$12 + 4* Performance!$E$23 * Performance!$E$11^2) - SQRT(Performance!$E$23)*Performance!$E$11)))</f>
        <v>23.987349241909989</v>
      </c>
      <c r="J686" t="e">
        <f xml:space="preserve"> $AC$3/G686 + $AC$6/A686 * Performance!$E$12 + Performance!$E$23/Constraints!$AC$6 * Constraints!A686</f>
        <v>#VALUE!</v>
      </c>
      <c r="K686">
        <f xml:space="preserve"> $AC$3/H686 + $AC$6/A686 * Performance!$E$12 + Performance!$E$23/Constraints!$AC$6 * Constraints!A686</f>
        <v>1.3225575288849261</v>
      </c>
      <c r="L686">
        <f xml:space="preserve"> $AC$3/I686 + $AC$6/A686 * Performance!$E$12 + Performance!$E$23/Constraints!$AC$6 * Constraints!A686</f>
        <v>1.3115588148262727</v>
      </c>
      <c r="M686">
        <f>SIN($AC$9 * PI()/180) + 1/Performance!$AE$5</f>
        <v>0.24073077270730886</v>
      </c>
      <c r="N686">
        <f>SIN($AC$9 * PI()/180) + 1/Performance!$AE$8</f>
        <v>0.22738716112204788</v>
      </c>
      <c r="O686" s="60">
        <f>$AC$16 * (Performance!$E$12/Constraints!A686 + Performance!$E$23 * (Constraints!$AC$13/Constraints!$AC$17)^2 * Constraints!A686)</f>
        <v>2.2649396297011446E-4</v>
      </c>
      <c r="P686" t="e">
        <f t="shared" si="43"/>
        <v>#VALUE!</v>
      </c>
      <c r="Q686">
        <f t="shared" si="44"/>
        <v>136.5305053840427</v>
      </c>
      <c r="R686">
        <f t="shared" si="45"/>
        <v>151.08019614055036</v>
      </c>
      <c r="S686" t="e">
        <f xml:space="preserve"> 1.667/G686 + P686/A686 * Performance!$E$12 + Performance!$E$23 / Constraints!P686 * Constraints!A686</f>
        <v>#VALUE!</v>
      </c>
      <c r="T686">
        <f xml:space="preserve"> 1.667/H686 + Q686/A686 * Performance!$E$12 + Performance!$E$23 / Constraints!Q686 * Constraints!A686</f>
        <v>0.17901715642035632</v>
      </c>
      <c r="U686">
        <f xml:space="preserve"> 1.667/I686 + R686/A686 * Performance!$E$12 + Performance!$E$23 / Constraints!R686 * Constraints!A686</f>
        <v>0.16763771084009579</v>
      </c>
    </row>
    <row r="687" spans="1:21" x14ac:dyDescent="0.3">
      <c r="A687" s="51">
        <v>342.5</v>
      </c>
      <c r="B687" s="50">
        <f>$V$4*Performance!$E$12*(1/A687)+Performance!$E$23*(1/Constraints!$V$4)*Constraints!A687</f>
        <v>9.6486142473308389E-2</v>
      </c>
      <c r="C687" s="50">
        <f>$V$5*Performance!$E$12*(1/A687)+Performance!$E$23*(1/Constraints!$V$5)*Constraints!A687</f>
        <v>0.13813492416943363</v>
      </c>
      <c r="D687" s="52">
        <f t="shared" si="42"/>
        <v>0.43509071291563384</v>
      </c>
      <c r="E687" s="52">
        <f>$V$4*Performance!$E$12*(1/A687)+Performance!$E$23*(1/Constraints!$V$9)*Constraints!A687</f>
        <v>9.4939357615380943E-2</v>
      </c>
      <c r="F687" s="52">
        <f xml:space="preserve"> 1.21 / (9.81 * Constraints!$N$7 * Performance!$E$15 * Constraints!$N$5 ) * Constraints!A687 + 0.605 /Performance!$E$15 * (Performance!$E$16  - Constraints!$N$6 * Performance!$E$14) + Constraints!$N$6</f>
        <v>0.43490058476791149</v>
      </c>
      <c r="G687" s="54" t="s">
        <v>198</v>
      </c>
      <c r="H687" s="55">
        <f>SQRT(2/$V$3 * A687 * SQRT(Performance!$E$23 / (3 * Performance!$E$12)))</f>
        <v>22.819733702455654</v>
      </c>
      <c r="I687" s="55">
        <f>SQRT(2/$V$3 * A687 * (SQRT(Performance!$E$23)/(SQRT(3*Performance!$E$12 + 4* Performance!$E$23 * Performance!$E$11^2) - SQRT(Performance!$E$23)*Performance!$E$11)))</f>
        <v>24.004877449760063</v>
      </c>
      <c r="J687" t="e">
        <f xml:space="preserve"> $AC$3/G687 + $AC$6/A687 * Performance!$E$12 + Performance!$E$23/Constraints!$AC$6 * Constraints!A687</f>
        <v>#VALUE!</v>
      </c>
      <c r="K687">
        <f xml:space="preserve"> $AC$3/H687 + $AC$6/A687 * Performance!$E$12 + Performance!$E$23/Constraints!$AC$6 * Constraints!A687</f>
        <v>1.3239997331101181</v>
      </c>
      <c r="L687">
        <f xml:space="preserve"> $AC$3/I687 + $AC$6/A687 * Performance!$E$12 + Performance!$E$23/Constraints!$AC$6 * Constraints!A687</f>
        <v>1.3130090502420639</v>
      </c>
      <c r="M687">
        <f>SIN($AC$9 * PI()/180) + 1/Performance!$AE$5</f>
        <v>0.24073077270730886</v>
      </c>
      <c r="N687">
        <f>SIN($AC$9 * PI()/180) + 1/Performance!$AE$8</f>
        <v>0.22738716112204788</v>
      </c>
      <c r="O687" s="60">
        <f>$AC$16 * (Performance!$E$12/Constraints!A687 + Performance!$E$23 * (Constraints!$AC$13/Constraints!$AC$17)^2 * Constraints!A687)</f>
        <v>2.2661515566126575E-4</v>
      </c>
      <c r="P687" t="e">
        <f t="shared" si="43"/>
        <v>#VALUE!</v>
      </c>
      <c r="Q687">
        <f t="shared" si="44"/>
        <v>136.73011138606617</v>
      </c>
      <c r="R687">
        <f t="shared" si="45"/>
        <v>151.30107362028804</v>
      </c>
      <c r="S687" t="e">
        <f xml:space="preserve"> 1.667/G687 + P687/A687 * Performance!$E$12 + Performance!$E$23 / Constraints!P687 * Constraints!A687</f>
        <v>#VALUE!</v>
      </c>
      <c r="T687">
        <f xml:space="preserve"> 1.667/H687 + Q687/A687 * Performance!$E$12 + Performance!$E$23 / Constraints!Q687 * Constraints!A687</f>
        <v>0.17896377620962059</v>
      </c>
      <c r="U687">
        <f xml:space="preserve"> 1.667/I687 + R687/A687 * Performance!$E$12 + Performance!$E$23 / Constraints!R687 * Constraints!A687</f>
        <v>0.16758696606139326</v>
      </c>
    </row>
    <row r="688" spans="1:21" x14ac:dyDescent="0.3">
      <c r="A688" s="51">
        <v>343</v>
      </c>
      <c r="B688" s="50">
        <f>$V$4*Performance!$E$12*(1/A688)+Performance!$E$23*(1/Constraints!$V$4)*Constraints!A688</f>
        <v>9.6385077225597263E-2</v>
      </c>
      <c r="C688" s="50">
        <f>$V$5*Performance!$E$12*(1/A688)+Performance!$E$23*(1/Constraints!$V$5)*Constraints!A688</f>
        <v>0.13795891851300238</v>
      </c>
      <c r="D688" s="52">
        <f t="shared" si="42"/>
        <v>0.43536299862791944</v>
      </c>
      <c r="E688" s="52">
        <f>$V$4*Performance!$E$12*(1/A688)+Performance!$E$23*(1/Constraints!$V$9)*Constraints!A688</f>
        <v>9.4836034287585247E-2</v>
      </c>
      <c r="F688" s="52">
        <f xml:space="preserve"> 1.21 / (9.81 * Constraints!$N$7 * Performance!$E$15 * Constraints!$N$5 ) * Constraints!A688 + 0.605 /Performance!$E$15 * (Performance!$E$16  - Constraints!$N$6 * Performance!$E$14) + Constraints!$N$6</f>
        <v>0.43517259292085742</v>
      </c>
      <c r="G688" s="54" t="s">
        <v>198</v>
      </c>
      <c r="H688" s="55">
        <f>SQRT(2/$V$3 * A688 * SQRT(Performance!$E$23 / (3 * Performance!$E$12)))</f>
        <v>22.836384367715549</v>
      </c>
      <c r="I688" s="55">
        <f>SQRT(2/$V$3 * A688 * (SQRT(Performance!$E$23)/(SQRT(3*Performance!$E$12 + 4* Performance!$E$23 * Performance!$E$11^2) - SQRT(Performance!$E$23)*Performance!$E$11)))</f>
        <v>24.02239286796048</v>
      </c>
      <c r="J688" t="e">
        <f xml:space="preserve"> $AC$3/G688 + $AC$6/A688 * Performance!$E$12 + Performance!$E$23/Constraints!$AC$6 * Constraints!A688</f>
        <v>#VALUE!</v>
      </c>
      <c r="K688">
        <f xml:space="preserve"> $AC$3/H688 + $AC$6/A688 * Performance!$E$12 + Performance!$E$23/Constraints!$AC$6 * Constraints!A688</f>
        <v>1.325442297516106</v>
      </c>
      <c r="L688">
        <f xml:space="preserve"> $AC$3/I688 + $AC$6/A688 * Performance!$E$12 + Performance!$E$23/Constraints!$AC$6 * Constraints!A688</f>
        <v>1.3144596282713321</v>
      </c>
      <c r="M688">
        <f>SIN($AC$9 * PI()/180) + 1/Performance!$AE$5</f>
        <v>0.24073077270730886</v>
      </c>
      <c r="N688">
        <f>SIN($AC$9 * PI()/180) + 1/Performance!$AE$8</f>
        <v>0.22738716112204788</v>
      </c>
      <c r="O688" s="60">
        <f>$AC$16 * (Performance!$E$12/Constraints!A688 + Performance!$E$23 * (Constraints!$AC$13/Constraints!$AC$17)^2 * Constraints!A688)</f>
        <v>2.2673665416215709E-4</v>
      </c>
      <c r="P688" t="e">
        <f t="shared" si="43"/>
        <v>#VALUE!</v>
      </c>
      <c r="Q688">
        <f t="shared" si="44"/>
        <v>136.92971738808964</v>
      </c>
      <c r="R688">
        <f t="shared" si="45"/>
        <v>151.52195110002566</v>
      </c>
      <c r="S688" t="e">
        <f xml:space="preserve"> 1.667/G688 + P688/A688 * Performance!$E$12 + Performance!$E$23 / Constraints!P688 * Constraints!A688</f>
        <v>#VALUE!</v>
      </c>
      <c r="T688">
        <f xml:space="preserve"> 1.667/H688 + Q688/A688 * Performance!$E$12 + Performance!$E$23 / Constraints!Q688 * Constraints!A688</f>
        <v>0.17891051276204034</v>
      </c>
      <c r="U688">
        <f xml:space="preserve"> 1.667/I688 + R688/A688 * Performance!$E$12 + Performance!$E$23 / Constraints!R688 * Constraints!A688</f>
        <v>0.16753633228113757</v>
      </c>
    </row>
    <row r="689" spans="1:21" x14ac:dyDescent="0.3">
      <c r="A689" s="51">
        <v>343.5</v>
      </c>
      <c r="B689" s="50">
        <f>$V$4*Performance!$E$12*(1/A689)+Performance!$E$23*(1/Constraints!$V$4)*Constraints!A689</f>
        <v>9.6284363862128242E-2</v>
      </c>
      <c r="C689" s="50">
        <f>$V$5*Performance!$E$12*(1/A689)+Performance!$E$23*(1/Constraints!$V$5)*Constraints!A689</f>
        <v>0.13778346218264839</v>
      </c>
      <c r="D689" s="52">
        <f t="shared" si="42"/>
        <v>0.43563528434020504</v>
      </c>
      <c r="E689" s="52">
        <f>$V$4*Performance!$E$12*(1/A689)+Performance!$E$23*(1/Constraints!$V$9)*Constraints!A689</f>
        <v>9.4733062844031657E-2</v>
      </c>
      <c r="F689" s="52">
        <f xml:space="preserve"> 1.21 / (9.81 * Constraints!$N$7 * Performance!$E$15 * Constraints!$N$5 ) * Constraints!A689 + 0.605 /Performance!$E$15 * (Performance!$E$16  - Constraints!$N$6 * Performance!$E$14) + Constraints!$N$6</f>
        <v>0.43544460107380323</v>
      </c>
      <c r="G689" s="54" t="s">
        <v>198</v>
      </c>
      <c r="H689" s="55">
        <f>SQRT(2/$V$3 * A689 * SQRT(Performance!$E$23 / (3 * Performance!$E$12)))</f>
        <v>22.853022901338363</v>
      </c>
      <c r="I689" s="55">
        <f>SQRT(2/$V$3 * A689 * (SQRT(Performance!$E$23)/(SQRT(3*Performance!$E$12 + 4* Performance!$E$23 * Performance!$E$11^2) - SQRT(Performance!$E$23)*Performance!$E$11)))</f>
        <v>24.039895524466779</v>
      </c>
      <c r="J689" t="e">
        <f xml:space="preserve"> $AC$3/G689 + $AC$6/A689 * Performance!$E$12 + Performance!$E$23/Constraints!$AC$6 * Constraints!A689</f>
        <v>#VALUE!</v>
      </c>
      <c r="K689">
        <f xml:space="preserve"> $AC$3/H689 + $AC$6/A689 * Performance!$E$12 + Performance!$E$23/Constraints!$AC$6 * Constraints!A689</f>
        <v>1.3268852207885447</v>
      </c>
      <c r="L689">
        <f xml:space="preserve"> $AC$3/I689 + $AC$6/A689 * Performance!$E$12 + Performance!$E$23/Constraints!$AC$6 * Constraints!A689</f>
        <v>1.3159105476636841</v>
      </c>
      <c r="M689">
        <f>SIN($AC$9 * PI()/180) + 1/Performance!$AE$5</f>
        <v>0.24073077270730886</v>
      </c>
      <c r="N689">
        <f>SIN($AC$9 * PI()/180) + 1/Performance!$AE$8</f>
        <v>0.22738716112204788</v>
      </c>
      <c r="O689" s="60">
        <f>$AC$16 * (Performance!$E$12/Constraints!A689 + Performance!$E$23 * (Constraints!$AC$13/Constraints!$AC$17)^2 * Constraints!A689)</f>
        <v>2.2685845713737478E-4</v>
      </c>
      <c r="P689" t="e">
        <f t="shared" si="43"/>
        <v>#VALUE!</v>
      </c>
      <c r="Q689">
        <f t="shared" si="44"/>
        <v>137.12932339011309</v>
      </c>
      <c r="R689">
        <f t="shared" si="45"/>
        <v>151.74282857976326</v>
      </c>
      <c r="S689" t="e">
        <f xml:space="preserve"> 1.667/G689 + P689/A689 * Performance!$E$12 + Performance!$E$23 / Constraints!P689 * Constraints!A689</f>
        <v>#VALUE!</v>
      </c>
      <c r="T689">
        <f xml:space="preserve"> 1.667/H689 + Q689/A689 * Performance!$E$12 + Performance!$E$23 / Constraints!Q689 * Constraints!A689</f>
        <v>0.17885736565255844</v>
      </c>
      <c r="U689">
        <f xml:space="preserve"> 1.667/I689 + R689/A689 * Performance!$E$12 + Performance!$E$23 / Constraints!R689 * Constraints!A689</f>
        <v>0.16748580909525712</v>
      </c>
    </row>
    <row r="690" spans="1:21" x14ac:dyDescent="0.3">
      <c r="A690" s="51">
        <v>344</v>
      </c>
      <c r="B690" s="50">
        <f>$V$4*Performance!$E$12*(1/A690)+Performance!$E$23*(1/Constraints!$V$4)*Constraints!A690</f>
        <v>9.6184000848522355E-2</v>
      </c>
      <c r="C690" s="50">
        <f>$V$5*Performance!$E$12*(1/A690)+Performance!$E$23*(1/Constraints!$V$5)*Constraints!A690</f>
        <v>0.13760855278305439</v>
      </c>
      <c r="D690" s="52">
        <f t="shared" si="42"/>
        <v>0.43590757005249064</v>
      </c>
      <c r="E690" s="52">
        <f>$V$4*Performance!$E$12*(1/A690)+Performance!$E$23*(1/Constraints!$V$9)*Constraints!A690</f>
        <v>9.4630441750341215E-2</v>
      </c>
      <c r="F690" s="52">
        <f xml:space="preserve"> 1.21 / (9.81 * Constraints!$N$7 * Performance!$E$15 * Constraints!$N$5 ) * Constraints!A690 + 0.605 /Performance!$E$15 * (Performance!$E$16  - Constraints!$N$6 * Performance!$E$14) + Constraints!$N$6</f>
        <v>0.4357166092267491</v>
      </c>
      <c r="G690" s="54" t="s">
        <v>198</v>
      </c>
      <c r="H690" s="55">
        <f>SQRT(2/$V$3 * A690 * SQRT(Performance!$E$23 / (3 * Performance!$E$12)))</f>
        <v>22.869649329802765</v>
      </c>
      <c r="I690" s="55">
        <f>SQRT(2/$V$3 * A690 * (SQRT(Performance!$E$23)/(SQRT(3*Performance!$E$12 + 4* Performance!$E$23 * Performance!$E$11^2) - SQRT(Performance!$E$23)*Performance!$E$11)))</f>
        <v>24.057385447132805</v>
      </c>
      <c r="J690" t="e">
        <f xml:space="preserve"> $AC$3/G690 + $AC$6/A690 * Performance!$E$12 + Performance!$E$23/Constraints!$AC$6 * Constraints!A690</f>
        <v>#VALUE!</v>
      </c>
      <c r="K690">
        <f xml:space="preserve"> $AC$3/H690 + $AC$6/A690 * Performance!$E$12 + Performance!$E$23/Constraints!$AC$6 * Constraints!A690</f>
        <v>1.3283285016197919</v>
      </c>
      <c r="L690">
        <f xml:space="preserve"> $AC$3/I690 + $AC$6/A690 * Performance!$E$12 + Performance!$E$23/Constraints!$AC$6 * Constraints!A690</f>
        <v>1.3173618071751023</v>
      </c>
      <c r="M690">
        <f>SIN($AC$9 * PI()/180) + 1/Performance!$AE$5</f>
        <v>0.24073077270730886</v>
      </c>
      <c r="N690">
        <f>SIN($AC$9 * PI()/180) + 1/Performance!$AE$8</f>
        <v>0.22738716112204788</v>
      </c>
      <c r="O690" s="60">
        <f>$AC$16 * (Performance!$E$12/Constraints!A690 + Performance!$E$23 * (Constraints!$AC$13/Constraints!$AC$17)^2 * Constraints!A690)</f>
        <v>2.2698056325926922E-4</v>
      </c>
      <c r="P690" t="e">
        <f t="shared" si="43"/>
        <v>#VALUE!</v>
      </c>
      <c r="Q690">
        <f t="shared" si="44"/>
        <v>137.3289293921365</v>
      </c>
      <c r="R690">
        <f t="shared" si="45"/>
        <v>151.96370605950094</v>
      </c>
      <c r="S690" t="e">
        <f xml:space="preserve"> 1.667/G690 + P690/A690 * Performance!$E$12 + Performance!$E$23 / Constraints!P690 * Constraints!A690</f>
        <v>#VALUE!</v>
      </c>
      <c r="T690">
        <f xml:space="preserve"> 1.667/H690 + Q690/A690 * Performance!$E$12 + Performance!$E$23 / Constraints!Q690 * Constraints!A690</f>
        <v>0.17880433445828095</v>
      </c>
      <c r="U690">
        <f xml:space="preserve"> 1.667/I690 + R690/A690 * Performance!$E$12 + Performance!$E$23 / Constraints!R690 * Constraints!A690</f>
        <v>0.16743539610173658</v>
      </c>
    </row>
    <row r="691" spans="1:21" x14ac:dyDescent="0.3">
      <c r="A691" s="51">
        <v>344.5</v>
      </c>
      <c r="B691" s="50">
        <f>$V$4*Performance!$E$12*(1/A691)+Performance!$E$23*(1/Constraints!$V$4)*Constraints!A691</f>
        <v>9.6083986659308548E-2</v>
      </c>
      <c r="C691" s="50">
        <f>$V$5*Performance!$E$12*(1/A691)+Performance!$E$23*(1/Constraints!$V$5)*Constraints!A691</f>
        <v>0.13743418793280934</v>
      </c>
      <c r="D691" s="52">
        <f t="shared" si="42"/>
        <v>0.43617985576477625</v>
      </c>
      <c r="E691" s="52">
        <f>$V$4*Performance!$E$12*(1/A691)+Performance!$E$23*(1/Constraints!$V$9)*Constraints!A691</f>
        <v>9.452816948104284E-2</v>
      </c>
      <c r="F691" s="52">
        <f xml:space="preserve"> 1.21 / (9.81 * Constraints!$N$7 * Performance!$E$15 * Constraints!$N$5 ) * Constraints!A691 + 0.605 /Performance!$E$15 * (Performance!$E$16  - Constraints!$N$6 * Performance!$E$14) + Constraints!$N$6</f>
        <v>0.43598861737969496</v>
      </c>
      <c r="G691" s="54" t="s">
        <v>198</v>
      </c>
      <c r="H691" s="55">
        <f>SQRT(2/$V$3 * A691 * SQRT(Performance!$E$23 / (3 * Performance!$E$12)))</f>
        <v>22.886263679491258</v>
      </c>
      <c r="I691" s="55">
        <f>SQRT(2/$V$3 * A691 * (SQRT(Performance!$E$23)/(SQRT(3*Performance!$E$12 + 4* Performance!$E$23 * Performance!$E$11^2) - SQRT(Performance!$E$23)*Performance!$E$11)))</f>
        <v>24.074862663711226</v>
      </c>
      <c r="J691" t="e">
        <f xml:space="preserve"> $AC$3/G691 + $AC$6/A691 * Performance!$E$12 + Performance!$E$23/Constraints!$AC$6 * Constraints!A691</f>
        <v>#VALUE!</v>
      </c>
      <c r="K691">
        <f xml:space="preserve"> $AC$3/H691 + $AC$6/A691 * Performance!$E$12 + Performance!$E$23/Constraints!$AC$6 * Constraints!A691</f>
        <v>1.3297721387088635</v>
      </c>
      <c r="L691">
        <f xml:space="preserve"> $AC$3/I691 + $AC$6/A691 * Performance!$E$12 + Performance!$E$23/Constraints!$AC$6 * Constraints!A691</f>
        <v>1.3188134055679055</v>
      </c>
      <c r="M691">
        <f>SIN($AC$9 * PI()/180) + 1/Performance!$AE$5</f>
        <v>0.24073077270730886</v>
      </c>
      <c r="N691">
        <f>SIN($AC$9 * PI()/180) + 1/Performance!$AE$8</f>
        <v>0.22738716112204788</v>
      </c>
      <c r="O691" s="60">
        <f>$AC$16 * (Performance!$E$12/Constraints!A691 + Performance!$E$23 * (Constraints!$AC$13/Constraints!$AC$17)^2 * Constraints!A691)</f>
        <v>2.2710297120789836E-4</v>
      </c>
      <c r="P691" t="e">
        <f t="shared" si="43"/>
        <v>#VALUE!</v>
      </c>
      <c r="Q691">
        <f t="shared" si="44"/>
        <v>137.52853539416</v>
      </c>
      <c r="R691">
        <f t="shared" si="45"/>
        <v>152.18458353923859</v>
      </c>
      <c r="S691" t="e">
        <f xml:space="preserve"> 1.667/G691 + P691/A691 * Performance!$E$12 + Performance!$E$23 / Constraints!P691 * Constraints!A691</f>
        <v>#VALUE!</v>
      </c>
      <c r="T691">
        <f xml:space="preserve"> 1.667/H691 + Q691/A691 * Performance!$E$12 + Performance!$E$23 / Constraints!Q691 * Constraints!A691</f>
        <v>0.17875141875846273</v>
      </c>
      <c r="U691">
        <f xml:space="preserve"> 1.667/I691 + R691/A691 * Performance!$E$12 + Performance!$E$23 / Constraints!R691 * Constraints!A691</f>
        <v>0.16738509290060352</v>
      </c>
    </row>
    <row r="692" spans="1:21" x14ac:dyDescent="0.3">
      <c r="A692" s="51">
        <v>345</v>
      </c>
      <c r="B692" s="50">
        <f>$V$4*Performance!$E$12*(1/A692)+Performance!$E$23*(1/Constraints!$V$4)*Constraints!A692</f>
        <v>9.598431977785897E-2</v>
      </c>
      <c r="C692" s="50">
        <f>$V$5*Performance!$E$12*(1/A692)+Performance!$E$23*(1/Constraints!$V$5)*Constraints!A692</f>
        <v>0.13726036526430729</v>
      </c>
      <c r="D692" s="52">
        <f t="shared" si="42"/>
        <v>0.43645214147706179</v>
      </c>
      <c r="E692" s="52">
        <f>$V$4*Performance!$E$12*(1/A692)+Performance!$E$23*(1/Constraints!$V$9)*Constraints!A692</f>
        <v>9.4426244519508706E-2</v>
      </c>
      <c r="F692" s="52">
        <f xml:space="preserve"> 1.21 / (9.81 * Constraints!$N$7 * Performance!$E$15 * Constraints!$N$5 ) * Constraints!A692 + 0.605 /Performance!$E$15 * (Performance!$E$16  - Constraints!$N$6 * Performance!$E$14) + Constraints!$N$6</f>
        <v>0.43626062553264078</v>
      </c>
      <c r="G692" s="54" t="s">
        <v>198</v>
      </c>
      <c r="H692" s="55">
        <f>SQRT(2/$V$3 * A692 * SQRT(Performance!$E$23 / (3 * Performance!$E$12)))</f>
        <v>22.902865976690631</v>
      </c>
      <c r="I692" s="55">
        <f>SQRT(2/$V$3 * A692 * (SQRT(Performance!$E$23)/(SQRT(3*Performance!$E$12 + 4* Performance!$E$23 * Performance!$E$11^2) - SQRT(Performance!$E$23)*Performance!$E$11)))</f>
        <v>24.09232720185404</v>
      </c>
      <c r="J692" t="e">
        <f xml:space="preserve"> $AC$3/G692 + $AC$6/A692 * Performance!$E$12 + Performance!$E$23/Constraints!$AC$6 * Constraints!A692</f>
        <v>#VALUE!</v>
      </c>
      <c r="K692">
        <f xml:space="preserve"> $AC$3/H692 + $AC$6/A692 * Performance!$E$12 + Performance!$E$23/Constraints!$AC$6 * Constraints!A692</f>
        <v>1.331216130761391</v>
      </c>
      <c r="L692">
        <f xml:space="preserve"> $AC$3/I692 + $AC$6/A692 * Performance!$E$12 + Performance!$E$23/Constraints!$AC$6 * Constraints!A692</f>
        <v>1.320265341610706</v>
      </c>
      <c r="M692">
        <f>SIN($AC$9 * PI()/180) + 1/Performance!$AE$5</f>
        <v>0.24073077270730886</v>
      </c>
      <c r="N692">
        <f>SIN($AC$9 * PI()/180) + 1/Performance!$AE$8</f>
        <v>0.22738716112204788</v>
      </c>
      <c r="O692" s="60">
        <f>$AC$16 * (Performance!$E$12/Constraints!A692 + Performance!$E$23 * (Constraints!$AC$13/Constraints!$AC$17)^2 * Constraints!A692)</f>
        <v>2.2722567967097199E-4</v>
      </c>
      <c r="P692" t="e">
        <f t="shared" si="43"/>
        <v>#VALUE!</v>
      </c>
      <c r="Q692">
        <f t="shared" si="44"/>
        <v>137.72814139618345</v>
      </c>
      <c r="R692">
        <f t="shared" si="45"/>
        <v>152.40546101897621</v>
      </c>
      <c r="S692" t="e">
        <f xml:space="preserve"> 1.667/G692 + P692/A692 * Performance!$E$12 + Performance!$E$23 / Constraints!P692 * Constraints!A692</f>
        <v>#VALUE!</v>
      </c>
      <c r="T692">
        <f xml:space="preserve"> 1.667/H692 + Q692/A692 * Performance!$E$12 + Performance!$E$23 / Constraints!Q692 * Constraints!A692</f>
        <v>0.178698618134494</v>
      </c>
      <c r="U692">
        <f xml:space="preserve"> 1.667/I692 + R692/A692 * Performance!$E$12 + Performance!$E$23 / Constraints!R692 * Constraints!A692</f>
        <v>0.16733489909391519</v>
      </c>
    </row>
    <row r="693" spans="1:21" x14ac:dyDescent="0.3">
      <c r="A693" s="51">
        <v>345.5</v>
      </c>
      <c r="B693" s="50">
        <f>$V$4*Performance!$E$12*(1/A693)+Performance!$E$23*(1/Constraints!$V$4)*Constraints!A693</f>
        <v>9.5884998696325191E-2</v>
      </c>
      <c r="C693" s="50">
        <f>$V$5*Performance!$E$12*(1/A693)+Performance!$E$23*(1/Constraints!$V$5)*Constraints!A693</f>
        <v>0.13708708242364778</v>
      </c>
      <c r="D693" s="52">
        <f t="shared" si="42"/>
        <v>0.43672442718934745</v>
      </c>
      <c r="E693" s="52">
        <f>$V$4*Performance!$E$12*(1/A693)+Performance!$E$23*(1/Constraints!$V$9)*Constraints!A693</f>
        <v>9.4324665357890344E-2</v>
      </c>
      <c r="F693" s="52">
        <f xml:space="preserve"> 1.21 / (9.81 * Constraints!$N$7 * Performance!$E$15 * Constraints!$N$5 ) * Constraints!A693 + 0.605 /Performance!$E$15 * (Performance!$E$16  - Constraints!$N$6 * Performance!$E$14) + Constraints!$N$6</f>
        <v>0.43653263368558665</v>
      </c>
      <c r="G693" s="54" t="s">
        <v>198</v>
      </c>
      <c r="H693" s="55">
        <f>SQRT(2/$V$3 * A693 * SQRT(Performance!$E$23 / (3 * Performance!$E$12)))</f>
        <v>22.919456247592478</v>
      </c>
      <c r="I693" s="55">
        <f>SQRT(2/$V$3 * A693 * (SQRT(Performance!$E$23)/(SQRT(3*Performance!$E$12 + 4* Performance!$E$23 * Performance!$E$11^2) - SQRT(Performance!$E$23)*Performance!$E$11)))</f>
        <v>24.109779089113108</v>
      </c>
      <c r="J693" t="e">
        <f xml:space="preserve"> $AC$3/G693 + $AC$6/A693 * Performance!$E$12 + Performance!$E$23/Constraints!$AC$6 * Constraints!A693</f>
        <v>#VALUE!</v>
      </c>
      <c r="K693">
        <f xml:space="preserve"> $AC$3/H693 + $AC$6/A693 * Performance!$E$12 + Performance!$E$23/Constraints!$AC$6 * Constraints!A693</f>
        <v>1.332660476489578</v>
      </c>
      <c r="L693">
        <f xml:space="preserve"> $AC$3/I693 + $AC$6/A693 * Performance!$E$12 + Performance!$E$23/Constraints!$AC$6 * Constraints!A693</f>
        <v>1.3217176140783684</v>
      </c>
      <c r="M693">
        <f>SIN($AC$9 * PI()/180) + 1/Performance!$AE$5</f>
        <v>0.24073077270730886</v>
      </c>
      <c r="N693">
        <f>SIN($AC$9 * PI()/180) + 1/Performance!$AE$8</f>
        <v>0.22738716112204788</v>
      </c>
      <c r="O693" s="60">
        <f>$AC$16 * (Performance!$E$12/Constraints!A693 + Performance!$E$23 * (Constraints!$AC$13/Constraints!$AC$17)^2 * Constraints!A693)</f>
        <v>2.2734868734379659E-4</v>
      </c>
      <c r="P693" t="e">
        <f t="shared" si="43"/>
        <v>#VALUE!</v>
      </c>
      <c r="Q693">
        <f t="shared" si="44"/>
        <v>137.92774739820692</v>
      </c>
      <c r="R693">
        <f t="shared" si="45"/>
        <v>152.62633849871389</v>
      </c>
      <c r="S693" t="e">
        <f xml:space="preserve"> 1.667/G693 + P693/A693 * Performance!$E$12 + Performance!$E$23 / Constraints!P693 * Constraints!A693</f>
        <v>#VALUE!</v>
      </c>
      <c r="T693">
        <f xml:space="preserve"> 1.667/H693 + Q693/A693 * Performance!$E$12 + Performance!$E$23 / Constraints!Q693 * Constraints!A693</f>
        <v>0.17864593216988572</v>
      </c>
      <c r="U693">
        <f xml:space="preserve"> 1.667/I693 + R693/A693 * Performance!$E$12 + Performance!$E$23 / Constraints!R693 * Constraints!A693</f>
        <v>0.1672848142857451</v>
      </c>
    </row>
    <row r="694" spans="1:21" x14ac:dyDescent="0.3">
      <c r="A694" s="51">
        <v>346</v>
      </c>
      <c r="B694" s="50">
        <f>$V$4*Performance!$E$12*(1/A694)+Performance!$E$23*(1/Constraints!$V$4)*Constraints!A694</f>
        <v>9.5786021915574629E-2</v>
      </c>
      <c r="C694" s="50">
        <f>$V$5*Performance!$E$12*(1/A694)+Performance!$E$23*(1/Constraints!$V$5)*Constraints!A694</f>
        <v>0.13691433707053674</v>
      </c>
      <c r="D694" s="52">
        <f t="shared" si="42"/>
        <v>0.436996712901633</v>
      </c>
      <c r="E694" s="52">
        <f>$V$4*Performance!$E$12*(1/A694)+Performance!$E$23*(1/Constraints!$V$9)*Constraints!A694</f>
        <v>9.4223430497055213E-2</v>
      </c>
      <c r="F694" s="52">
        <f xml:space="preserve"> 1.21 / (9.81 * Constraints!$N$7 * Performance!$E$15 * Constraints!$N$5 ) * Constraints!A694 + 0.605 /Performance!$E$15 * (Performance!$E$16  - Constraints!$N$6 * Performance!$E$14) + Constraints!$N$6</f>
        <v>0.43680464183853251</v>
      </c>
      <c r="G694" s="54" t="s">
        <v>198</v>
      </c>
      <c r="H694" s="55">
        <f>SQRT(2/$V$3 * A694 * SQRT(Performance!$E$23 / (3 * Performance!$E$12)))</f>
        <v>22.93603451829366</v>
      </c>
      <c r="I694" s="55">
        <f>SQRT(2/$V$3 * A694 * (SQRT(Performance!$E$23)/(SQRT(3*Performance!$E$12 + 4* Performance!$E$23 * Performance!$E$11^2) - SQRT(Performance!$E$23)*Performance!$E$11)))</f>
        <v>24.127218352940627</v>
      </c>
      <c r="J694" t="e">
        <f xml:space="preserve"> $AC$3/G694 + $AC$6/A694 * Performance!$E$12 + Performance!$E$23/Constraints!$AC$6 * Constraints!A694</f>
        <v>#VALUE!</v>
      </c>
      <c r="K694">
        <f xml:space="preserve"> $AC$3/H694 + $AC$6/A694 * Performance!$E$12 + Performance!$E$23/Constraints!$AC$6 * Constraints!A694</f>
        <v>1.3341051746121573</v>
      </c>
      <c r="L694">
        <f xml:space="preserve"> $AC$3/I694 + $AC$6/A694 * Performance!$E$12 + Performance!$E$23/Constraints!$AC$6 * Constraints!A694</f>
        <v>1.3231702217519712</v>
      </c>
      <c r="M694">
        <f>SIN($AC$9 * PI()/180) + 1/Performance!$AE$5</f>
        <v>0.24073077270730886</v>
      </c>
      <c r="N694">
        <f>SIN($AC$9 * PI()/180) + 1/Performance!$AE$8</f>
        <v>0.22738716112204788</v>
      </c>
      <c r="O694" s="60">
        <f>$AC$16 * (Performance!$E$12/Constraints!A694 + Performance!$E$23 * (Constraints!$AC$13/Constraints!$AC$17)^2 * Constraints!A694)</f>
        <v>2.2747199292921992E-4</v>
      </c>
      <c r="P694" t="e">
        <f t="shared" si="43"/>
        <v>#VALUE!</v>
      </c>
      <c r="Q694">
        <f t="shared" si="44"/>
        <v>138.12735340023036</v>
      </c>
      <c r="R694">
        <f t="shared" si="45"/>
        <v>152.84721597845152</v>
      </c>
      <c r="S694" t="e">
        <f xml:space="preserve"> 1.667/G694 + P694/A694 * Performance!$E$12 + Performance!$E$23 / Constraints!P694 * Constraints!A694</f>
        <v>#VALUE!</v>
      </c>
      <c r="T694">
        <f xml:space="preserve"> 1.667/H694 + Q694/A694 * Performance!$E$12 + Performance!$E$23 / Constraints!Q694 * Constraints!A694</f>
        <v>0.17859336045025637</v>
      </c>
      <c r="U694">
        <f xml:space="preserve"> 1.667/I694 + R694/A694 * Performance!$E$12 + Performance!$E$23 / Constraints!R694 * Constraints!A694</f>
        <v>0.1672348380821701</v>
      </c>
    </row>
    <row r="695" spans="1:21" x14ac:dyDescent="0.3">
      <c r="A695" s="51">
        <v>346.5</v>
      </c>
      <c r="B695" s="50">
        <f>$V$4*Performance!$E$12*(1/A695)+Performance!$E$23*(1/Constraints!$V$4)*Constraints!A695</f>
        <v>9.5687387945127683E-2</v>
      </c>
      <c r="C695" s="50">
        <f>$V$5*Performance!$E$12*(1/A695)+Performance!$E$23*(1/Constraints!$V$5)*Constraints!A695</f>
        <v>0.13674212687818818</v>
      </c>
      <c r="D695" s="52">
        <f t="shared" si="42"/>
        <v>0.43726899861391866</v>
      </c>
      <c r="E695" s="52">
        <f>$V$4*Performance!$E$12*(1/A695)+Performance!$E$23*(1/Constraints!$V$9)*Constraints!A695</f>
        <v>9.4122538446523712E-2</v>
      </c>
      <c r="F695" s="52">
        <f xml:space="preserve"> 1.21 / (9.81 * Constraints!$N$7 * Performance!$E$15 * Constraints!$N$5 ) * Constraints!A695 + 0.605 /Performance!$E$15 * (Performance!$E$16  - Constraints!$N$6 * Performance!$E$14) + Constraints!$N$6</f>
        <v>0.43707664999147833</v>
      </c>
      <c r="G695" s="54" t="s">
        <v>198</v>
      </c>
      <c r="H695" s="55">
        <f>SQRT(2/$V$3 * A695 * SQRT(Performance!$E$23 / (3 * Performance!$E$12)))</f>
        <v>22.952600814796803</v>
      </c>
      <c r="I695" s="55">
        <f>SQRT(2/$V$3 * A695 * (SQRT(Performance!$E$23)/(SQRT(3*Performance!$E$12 + 4* Performance!$E$23 * Performance!$E$11^2) - SQRT(Performance!$E$23)*Performance!$E$11)))</f>
        <v>24.144645020689669</v>
      </c>
      <c r="J695" t="e">
        <f xml:space="preserve"> $AC$3/G695 + $AC$6/A695 * Performance!$E$12 + Performance!$E$23/Constraints!$AC$6 * Constraints!A695</f>
        <v>#VALUE!</v>
      </c>
      <c r="K695">
        <f xml:space="preserve"> $AC$3/H695 + $AC$6/A695 * Performance!$E$12 + Performance!$E$23/Constraints!$AC$6 * Constraints!A695</f>
        <v>1.335550223854348</v>
      </c>
      <c r="L695">
        <f xml:space="preserve"> $AC$3/I695 + $AC$6/A695 * Performance!$E$12 + Performance!$E$23/Constraints!$AC$6 * Constraints!A695</f>
        <v>1.3246231634187631</v>
      </c>
      <c r="M695">
        <f>SIN($AC$9 * PI()/180) + 1/Performance!$AE$5</f>
        <v>0.24073077270730886</v>
      </c>
      <c r="N695">
        <f>SIN($AC$9 * PI()/180) + 1/Performance!$AE$8</f>
        <v>0.22738716112204788</v>
      </c>
      <c r="O695" s="60">
        <f>$AC$16 * (Performance!$E$12/Constraints!A695 + Performance!$E$23 * (Constraints!$AC$13/Constraints!$AC$17)^2 * Constraints!A695)</f>
        <v>2.2759559513757711E-4</v>
      </c>
      <c r="P695" t="e">
        <f t="shared" si="43"/>
        <v>#VALUE!</v>
      </c>
      <c r="Q695">
        <f t="shared" si="44"/>
        <v>138.32695940225381</v>
      </c>
      <c r="R695">
        <f t="shared" si="45"/>
        <v>153.0680934581892</v>
      </c>
      <c r="S695" t="e">
        <f xml:space="preserve"> 1.667/G695 + P695/A695 * Performance!$E$12 + Performance!$E$23 / Constraints!P695 * Constraints!A695</f>
        <v>#VALUE!</v>
      </c>
      <c r="T695">
        <f xml:space="preserve"> 1.667/H695 + Q695/A695 * Performance!$E$12 + Performance!$E$23 / Constraints!Q695 * Constraints!A695</f>
        <v>0.17854090256331784</v>
      </c>
      <c r="U695">
        <f xml:space="preserve"> 1.667/I695 + R695/A695 * Performance!$E$12 + Performance!$E$23 / Constraints!R695 * Constraints!A695</f>
        <v>0.16718497009125716</v>
      </c>
    </row>
    <row r="696" spans="1:21" x14ac:dyDescent="0.3">
      <c r="A696" s="51">
        <v>347</v>
      </c>
      <c r="B696" s="50">
        <f>$V$4*Performance!$E$12*(1/A696)+Performance!$E$23*(1/Constraints!$V$4)*Constraints!A696</f>
        <v>9.5589095303095437E-2</v>
      </c>
      <c r="C696" s="50">
        <f>$V$5*Performance!$E$12*(1/A696)+Performance!$E$23*(1/Constraints!$V$5)*Constraints!A696</f>
        <v>0.13657044953322711</v>
      </c>
      <c r="D696" s="52">
        <f t="shared" si="42"/>
        <v>0.43754128432620421</v>
      </c>
      <c r="E696" s="52">
        <f>$V$4*Performance!$E$12*(1/A696)+Performance!$E$23*(1/Constraints!$V$9)*Constraints!A696</f>
        <v>9.4021987724406897E-2</v>
      </c>
      <c r="F696" s="52">
        <f xml:space="preserve"> 1.21 / (9.81 * Constraints!$N$7 * Performance!$E$15 * Constraints!$N$5 ) * Constraints!A696 + 0.605 /Performance!$E$15 * (Performance!$E$16  - Constraints!$N$6 * Performance!$E$14) + Constraints!$N$6</f>
        <v>0.43734865814442425</v>
      </c>
      <c r="G696" s="54" t="s">
        <v>198</v>
      </c>
      <c r="H696" s="55">
        <f>SQRT(2/$V$3 * A696 * SQRT(Performance!$E$23 / (3 * Performance!$E$12)))</f>
        <v>22.969155163010754</v>
      </c>
      <c r="I696" s="55">
        <f>SQRT(2/$V$3 * A696 * (SQRT(Performance!$E$23)/(SQRT(3*Performance!$E$12 + 4* Performance!$E$23 * Performance!$E$11^2) - SQRT(Performance!$E$23)*Performance!$E$11)))</f>
        <v>24.162059119614657</v>
      </c>
      <c r="J696" t="e">
        <f xml:space="preserve"> $AC$3/G696 + $AC$6/A696 * Performance!$E$12 + Performance!$E$23/Constraints!$AC$6 * Constraints!A696</f>
        <v>#VALUE!</v>
      </c>
      <c r="K696">
        <f xml:space="preserve"> $AC$3/H696 + $AC$6/A696 * Performance!$E$12 + Performance!$E$23/Constraints!$AC$6 * Constraints!A696</f>
        <v>1.3369956229478139</v>
      </c>
      <c r="L696">
        <f xml:space="preserve"> $AC$3/I696 + $AC$6/A696 * Performance!$E$12 + Performance!$E$23/Constraints!$AC$6 * Constraints!A696</f>
        <v>1.3260764378721244</v>
      </c>
      <c r="M696">
        <f>SIN($AC$9 * PI()/180) + 1/Performance!$AE$5</f>
        <v>0.24073077270730886</v>
      </c>
      <c r="N696">
        <f>SIN($AC$9 * PI()/180) + 1/Performance!$AE$8</f>
        <v>0.22738716112204788</v>
      </c>
      <c r="O696" s="60">
        <f>$AC$16 * (Performance!$E$12/Constraints!A696 + Performance!$E$23 * (Constraints!$AC$13/Constraints!$AC$17)^2 * Constraints!A696)</f>
        <v>2.277194926866364E-4</v>
      </c>
      <c r="P696" t="e">
        <f t="shared" si="43"/>
        <v>#VALUE!</v>
      </c>
      <c r="Q696">
        <f t="shared" si="44"/>
        <v>138.52656540427733</v>
      </c>
      <c r="R696">
        <f t="shared" si="45"/>
        <v>153.28897093792682</v>
      </c>
      <c r="S696" t="e">
        <f xml:space="preserve"> 1.667/G696 + P696/A696 * Performance!$E$12 + Performance!$E$23 / Constraints!P696 * Constraints!A696</f>
        <v>#VALUE!</v>
      </c>
      <c r="T696">
        <f xml:space="preserve"> 1.667/H696 + Q696/A696 * Performance!$E$12 + Performance!$E$23 / Constraints!Q696 * Constraints!A696</f>
        <v>0.17848855809886208</v>
      </c>
      <c r="U696">
        <f xml:space="preserve"> 1.667/I696 + R696/A696 * Performance!$E$12 + Performance!$E$23 / Constraints!R696 * Constraints!A696</f>
        <v>0.16713520992305061</v>
      </c>
    </row>
    <row r="697" spans="1:21" x14ac:dyDescent="0.3">
      <c r="A697" s="51">
        <v>347.5</v>
      </c>
      <c r="B697" s="50">
        <f>$V$4*Performance!$E$12*(1/A697)+Performance!$E$23*(1/Constraints!$V$4)*Constraints!A697</f>
        <v>9.5491142516117844E-2</v>
      </c>
      <c r="C697" s="50">
        <f>$V$5*Performance!$E$12*(1/A697)+Performance!$E$23*(1/Constraints!$V$5)*Constraints!A697</f>
        <v>0.13639930273559284</v>
      </c>
      <c r="D697" s="52">
        <f t="shared" si="42"/>
        <v>0.43781357003848981</v>
      </c>
      <c r="E697" s="52">
        <f>$V$4*Performance!$E$12*(1/A697)+Performance!$E$23*(1/Constraints!$V$9)*Constraints!A697</f>
        <v>9.3921776857344749E-2</v>
      </c>
      <c r="F697" s="52">
        <f xml:space="preserve"> 1.21 / (9.81 * Constraints!$N$7 * Performance!$E$15 * Constraints!$N$5 ) * Constraints!A697 + 0.605 /Performance!$E$15 * (Performance!$E$16  - Constraints!$N$6 * Performance!$E$14) + Constraints!$N$6</f>
        <v>0.43762066629737006</v>
      </c>
      <c r="G697" s="54" t="s">
        <v>198</v>
      </c>
      <c r="H697" s="55">
        <f>SQRT(2/$V$3 * A697 * SQRT(Performance!$E$23 / (3 * Performance!$E$12)))</f>
        <v>22.985697588751055</v>
      </c>
      <c r="I697" s="55">
        <f>SQRT(2/$V$3 * A697 * (SQRT(Performance!$E$23)/(SQRT(3*Performance!$E$12 + 4* Performance!$E$23 * Performance!$E$11^2) - SQRT(Performance!$E$23)*Performance!$E$11)))</f>
        <v>24.179460676871877</v>
      </c>
      <c r="J697" t="e">
        <f xml:space="preserve"> $AC$3/G697 + $AC$6/A697 * Performance!$E$12 + Performance!$E$23/Constraints!$AC$6 * Constraints!A697</f>
        <v>#VALUE!</v>
      </c>
      <c r="K697">
        <f xml:space="preserve"> $AC$3/H697 + $AC$6/A697 * Performance!$E$12 + Performance!$E$23/Constraints!$AC$6 * Constraints!A697</f>
        <v>1.3384413706306217</v>
      </c>
      <c r="L697">
        <f xml:space="preserve"> $AC$3/I697 + $AC$6/A697 * Performance!$E$12 + Performance!$E$23/Constraints!$AC$6 * Constraints!A697</f>
        <v>1.3275300439115283</v>
      </c>
      <c r="M697">
        <f>SIN($AC$9 * PI()/180) + 1/Performance!$AE$5</f>
        <v>0.24073077270730886</v>
      </c>
      <c r="N697">
        <f>SIN($AC$9 * PI()/180) + 1/Performance!$AE$8</f>
        <v>0.22738716112204788</v>
      </c>
      <c r="O697" s="60">
        <f>$AC$16 * (Performance!$E$12/Constraints!A697 + Performance!$E$23 * (Constraints!$AC$13/Constraints!$AC$17)^2 * Constraints!A697)</f>
        <v>2.2784368430154588E-4</v>
      </c>
      <c r="P697" t="e">
        <f t="shared" si="43"/>
        <v>#VALUE!</v>
      </c>
      <c r="Q697">
        <f t="shared" si="44"/>
        <v>138.72617140630075</v>
      </c>
      <c r="R697">
        <f t="shared" si="45"/>
        <v>153.5098484176645</v>
      </c>
      <c r="S697" t="e">
        <f xml:space="preserve"> 1.667/G697 + P697/A697 * Performance!$E$12 + Performance!$E$23 / Constraints!P697 * Constraints!A697</f>
        <v>#VALUE!</v>
      </c>
      <c r="T697">
        <f xml:space="preserve"> 1.667/H697 + Q697/A697 * Performance!$E$12 + Performance!$E$23 / Constraints!Q697 * Constraints!A697</f>
        <v>0.17843632664874776</v>
      </c>
      <c r="U697">
        <f xml:space="preserve"> 1.667/I697 + R697/A697 * Performance!$E$12 + Performance!$E$23 / Constraints!R697 * Constraints!A697</f>
        <v>0.16708555718955936</v>
      </c>
    </row>
    <row r="698" spans="1:21" x14ac:dyDescent="0.3">
      <c r="A698" s="51">
        <v>348</v>
      </c>
      <c r="B698" s="50">
        <f>$V$4*Performance!$E$12*(1/A698)+Performance!$E$23*(1/Constraints!$V$4)*Constraints!A698</f>
        <v>9.5393528119302406E-2</v>
      </c>
      <c r="C698" s="50">
        <f>$V$5*Performance!$E$12*(1/A698)+Performance!$E$23*(1/Constraints!$V$5)*Constraints!A698</f>
        <v>0.13622868419844339</v>
      </c>
      <c r="D698" s="52">
        <f t="shared" si="42"/>
        <v>0.43808585575077541</v>
      </c>
      <c r="E698" s="52">
        <f>$V$4*Performance!$E$12*(1/A698)+Performance!$E$23*(1/Constraints!$V$9)*Constraints!A698</f>
        <v>9.3821904380444743E-2</v>
      </c>
      <c r="F698" s="52">
        <f xml:space="preserve"> 1.21 / (9.81 * Constraints!$N$7 * Performance!$E$15 * Constraints!$N$5 ) * Constraints!A698 + 0.605 /Performance!$E$15 * (Performance!$E$16  - Constraints!$N$6 * Performance!$E$14) + Constraints!$N$6</f>
        <v>0.43789267445031593</v>
      </c>
      <c r="G698" s="54" t="s">
        <v>198</v>
      </c>
      <c r="H698" s="55">
        <f>SQRT(2/$V$3 * A698 * SQRT(Performance!$E$23 / (3 * Performance!$E$12)))</f>
        <v>23.00222811774043</v>
      </c>
      <c r="I698" s="55">
        <f>SQRT(2/$V$3 * A698 * (SQRT(Performance!$E$23)/(SQRT(3*Performance!$E$12 + 4* Performance!$E$23 * Performance!$E$11^2) - SQRT(Performance!$E$23)*Performance!$E$11)))</f>
        <v>24.19684971951995</v>
      </c>
      <c r="J698" t="e">
        <f xml:space="preserve"> $AC$3/G698 + $AC$6/A698 * Performance!$E$12 + Performance!$E$23/Constraints!$AC$6 * Constraints!A698</f>
        <v>#VALUE!</v>
      </c>
      <c r="K698">
        <f xml:space="preserve"> $AC$3/H698 + $AC$6/A698 * Performance!$E$12 + Performance!$E$23/Constraints!$AC$6 * Constraints!A698</f>
        <v>1.3398874656471995</v>
      </c>
      <c r="L698">
        <f xml:space="preserve"> $AC$3/I698 + $AC$6/A698 * Performance!$E$12 + Performance!$E$23/Constraints!$AC$6 * Constraints!A698</f>
        <v>1.3289839803424994</v>
      </c>
      <c r="M698">
        <f>SIN($AC$9 * PI()/180) + 1/Performance!$AE$5</f>
        <v>0.24073077270730886</v>
      </c>
      <c r="N698">
        <f>SIN($AC$9 * PI()/180) + 1/Performance!$AE$8</f>
        <v>0.22738716112204788</v>
      </c>
      <c r="O698" s="60">
        <f>$AC$16 * (Performance!$E$12/Constraints!A698 + Performance!$E$23 * (Constraints!$AC$13/Constraints!$AC$17)^2 * Constraints!A698)</f>
        <v>2.2796816871478037E-4</v>
      </c>
      <c r="P698" t="e">
        <f t="shared" si="43"/>
        <v>#VALUE!</v>
      </c>
      <c r="Q698">
        <f t="shared" si="44"/>
        <v>138.92577740832417</v>
      </c>
      <c r="R698">
        <f t="shared" si="45"/>
        <v>153.73072589740212</v>
      </c>
      <c r="S698" t="e">
        <f xml:space="preserve"> 1.667/G698 + P698/A698 * Performance!$E$12 + Performance!$E$23 / Constraints!P698 * Constraints!A698</f>
        <v>#VALUE!</v>
      </c>
      <c r="T698">
        <f xml:space="preserve"> 1.667/H698 + Q698/A698 * Performance!$E$12 + Performance!$E$23 / Constraints!Q698 * Constraints!A698</f>
        <v>0.17838420780688641</v>
      </c>
      <c r="U698">
        <f xml:space="preserve"> 1.667/I698 + R698/A698 * Performance!$E$12 + Performance!$E$23 / Constraints!R698 * Constraints!A698</f>
        <v>0.16703601150474404</v>
      </c>
    </row>
    <row r="699" spans="1:21" x14ac:dyDescent="0.3">
      <c r="A699" s="51">
        <v>348.5</v>
      </c>
      <c r="B699" s="50">
        <f>$V$4*Performance!$E$12*(1/A699)+Performance!$E$23*(1/Constraints!$V$4)*Constraints!A699</f>
        <v>9.5296250656163511E-2</v>
      </c>
      <c r="C699" s="50">
        <f>$V$5*Performance!$E$12*(1/A699)+Performance!$E$23*(1/Constraints!$V$5)*Constraints!A699</f>
        <v>0.13605859164806083</v>
      </c>
      <c r="D699" s="52">
        <f t="shared" si="42"/>
        <v>0.43835814146306101</v>
      </c>
      <c r="E699" s="52">
        <f>$V$4*Performance!$E$12*(1/A699)+Performance!$E$23*(1/Constraints!$V$9)*Constraints!A699</f>
        <v>9.3722368837221265E-2</v>
      </c>
      <c r="F699" s="52">
        <f xml:space="preserve"> 1.21 / (9.81 * Constraints!$N$7 * Performance!$E$15 * Constraints!$N$5 ) * Constraints!A699 + 0.605 /Performance!$E$15 * (Performance!$E$16  - Constraints!$N$6 * Performance!$E$14) + Constraints!$N$6</f>
        <v>0.4381646826032618</v>
      </c>
      <c r="G699" s="54" t="s">
        <v>198</v>
      </c>
      <c r="H699" s="55">
        <f>SQRT(2/$V$3 * A699 * SQRT(Performance!$E$23 / (3 * Performance!$E$12)))</f>
        <v>23.018746775609245</v>
      </c>
      <c r="I699" s="55">
        <f>SQRT(2/$V$3 * A699 * (SQRT(Performance!$E$23)/(SQRT(3*Performance!$E$12 + 4* Performance!$E$23 * Performance!$E$11^2) - SQRT(Performance!$E$23)*Performance!$E$11)))</f>
        <v>24.21422627452036</v>
      </c>
      <c r="J699" t="e">
        <f xml:space="preserve"> $AC$3/G699 + $AC$6/A699 * Performance!$E$12 + Performance!$E$23/Constraints!$AC$6 * Constraints!A699</f>
        <v>#VALUE!</v>
      </c>
      <c r="K699">
        <f xml:space="preserve"> $AC$3/H699 + $AC$6/A699 * Performance!$E$12 + Performance!$E$23/Constraints!$AC$6 * Constraints!A699</f>
        <v>1.3413339067482946</v>
      </c>
      <c r="L699">
        <f xml:space="preserve"> $AC$3/I699 + $AC$6/A699 * Performance!$E$12 + Performance!$E$23/Constraints!$AC$6 * Constraints!A699</f>
        <v>1.3304382459765756</v>
      </c>
      <c r="M699">
        <f>SIN($AC$9 * PI()/180) + 1/Performance!$AE$5</f>
        <v>0.24073077270730886</v>
      </c>
      <c r="N699">
        <f>SIN($AC$9 * PI()/180) + 1/Performance!$AE$8</f>
        <v>0.22738716112204788</v>
      </c>
      <c r="O699" s="60">
        <f>$AC$16 * (Performance!$E$12/Constraints!A699 + Performance!$E$23 * (Constraints!$AC$13/Constraints!$AC$17)^2 * Constraints!A699)</f>
        <v>2.2809294466608881E-4</v>
      </c>
      <c r="P699" t="e">
        <f t="shared" si="43"/>
        <v>#VALUE!</v>
      </c>
      <c r="Q699">
        <f t="shared" si="44"/>
        <v>139.12538341034761</v>
      </c>
      <c r="R699">
        <f t="shared" si="45"/>
        <v>153.95160337713978</v>
      </c>
      <c r="S699" t="e">
        <f xml:space="preserve"> 1.667/G699 + P699/A699 * Performance!$E$12 + Performance!$E$23 / Constraints!P699 * Constraints!A699</f>
        <v>#VALUE!</v>
      </c>
      <c r="T699">
        <f xml:space="preserve"> 1.667/H699 + Q699/A699 * Performance!$E$12 + Performance!$E$23 / Constraints!Q699 * Constraints!A699</f>
        <v>0.17833220116922971</v>
      </c>
      <c r="U699">
        <f xml:space="preserve"> 1.667/I699 + R699/A699 * Performance!$E$12 + Performance!$E$23 / Constraints!R699 * Constraints!A699</f>
        <v>0.16698657248450449</v>
      </c>
    </row>
    <row r="700" spans="1:21" x14ac:dyDescent="0.3">
      <c r="A700" s="51">
        <v>349</v>
      </c>
      <c r="B700" s="50">
        <f>$V$4*Performance!$E$12*(1/A700)+Performance!$E$23*(1/Constraints!$V$4)*Constraints!A700</f>
        <v>9.519930867856212E-2</v>
      </c>
      <c r="C700" s="50">
        <f>$V$5*Performance!$E$12*(1/A700)+Performance!$E$23*(1/Constraints!$V$5)*Constraints!A700</f>
        <v>0.13588902282375698</v>
      </c>
      <c r="D700" s="52">
        <f t="shared" si="42"/>
        <v>0.43863042717534662</v>
      </c>
      <c r="E700" s="52">
        <f>$V$4*Performance!$E$12*(1/A700)+Performance!$E$23*(1/Constraints!$V$9)*Constraints!A700</f>
        <v>9.3623168779535318E-2</v>
      </c>
      <c r="F700" s="52">
        <f xml:space="preserve"> 1.21 / (9.81 * Constraints!$N$7 * Performance!$E$15 * Constraints!$N$5 ) * Constraints!A700 + 0.605 /Performance!$E$15 * (Performance!$E$16  - Constraints!$N$6 * Performance!$E$14) + Constraints!$N$6</f>
        <v>0.43843669075620761</v>
      </c>
      <c r="G700" s="54" t="s">
        <v>198</v>
      </c>
      <c r="H700" s="55">
        <f>SQRT(2/$V$3 * A700 * SQRT(Performance!$E$23 / (3 * Performance!$E$12)))</f>
        <v>23.035253587895959</v>
      </c>
      <c r="I700" s="55">
        <f>SQRT(2/$V$3 * A700 * (SQRT(Performance!$E$23)/(SQRT(3*Performance!$E$12 + 4* Performance!$E$23 * Performance!$E$11^2) - SQRT(Performance!$E$23)*Performance!$E$11)))</f>
        <v>24.231590368737905</v>
      </c>
      <c r="J700" t="e">
        <f xml:space="preserve"> $AC$3/G700 + $AC$6/A700 * Performance!$E$12 + Performance!$E$23/Constraints!$AC$6 * Constraints!A700</f>
        <v>#VALUE!</v>
      </c>
      <c r="K700">
        <f xml:space="preserve"> $AC$3/H700 + $AC$6/A700 * Performance!$E$12 + Performance!$E$23/Constraints!$AC$6 * Constraints!A700</f>
        <v>1.3427806926909345</v>
      </c>
      <c r="L700">
        <f xml:space="preserve"> $AC$3/I700 + $AC$6/A700 * Performance!$E$12 + Performance!$E$23/Constraints!$AC$6 * Constraints!A700</f>
        <v>1.331892839631269</v>
      </c>
      <c r="M700">
        <f>SIN($AC$9 * PI()/180) + 1/Performance!$AE$5</f>
        <v>0.24073077270730886</v>
      </c>
      <c r="N700">
        <f>SIN($AC$9 * PI()/180) + 1/Performance!$AE$8</f>
        <v>0.22738716112204788</v>
      </c>
      <c r="O700" s="60">
        <f>$AC$16 * (Performance!$E$12/Constraints!A700 + Performance!$E$23 * (Constraints!$AC$13/Constraints!$AC$17)^2 * Constraints!A700)</f>
        <v>2.2821801090244215E-4</v>
      </c>
      <c r="P700" t="e">
        <f t="shared" si="43"/>
        <v>#VALUE!</v>
      </c>
      <c r="Q700">
        <f t="shared" si="44"/>
        <v>139.32498941237111</v>
      </c>
      <c r="R700">
        <f t="shared" si="45"/>
        <v>154.17248085687743</v>
      </c>
      <c r="S700" t="e">
        <f xml:space="preserve"> 1.667/G700 + P700/A700 * Performance!$E$12 + Performance!$E$23 / Constraints!P700 * Constraints!A700</f>
        <v>#VALUE!</v>
      </c>
      <c r="T700">
        <f xml:space="preserve"> 1.667/H700 + Q700/A700 * Performance!$E$12 + Performance!$E$23 / Constraints!Q700 * Constraints!A700</f>
        <v>0.17828030633375602</v>
      </c>
      <c r="U700">
        <f xml:space="preserve"> 1.667/I700 + R700/A700 * Performance!$E$12 + Performance!$E$23 / Constraints!R700 * Constraints!A700</f>
        <v>0.16693723974666735</v>
      </c>
    </row>
    <row r="701" spans="1:21" x14ac:dyDescent="0.3">
      <c r="A701" s="51">
        <v>349.5</v>
      </c>
      <c r="B701" s="50">
        <f>$V$4*Performance!$E$12*(1/A701)+Performance!$E$23*(1/Constraints!$V$4)*Constraints!A701</f>
        <v>9.510270074664616E-2</v>
      </c>
      <c r="C701" s="50">
        <f>$V$5*Performance!$E$12*(1/A701)+Performance!$E$23*(1/Constraints!$V$5)*Constraints!A701</f>
        <v>0.1357199754777805</v>
      </c>
      <c r="D701" s="52">
        <f t="shared" si="42"/>
        <v>0.43890271288763216</v>
      </c>
      <c r="E701" s="52">
        <f>$V$4*Performance!$E$12*(1/A701)+Performance!$E$23*(1/Constraints!$V$9)*Constraints!A701</f>
        <v>9.3524302767534789E-2</v>
      </c>
      <c r="F701" s="52">
        <f xml:space="preserve"> 1.21 / (9.81 * Constraints!$N$7 * Performance!$E$15 * Constraints!$N$5 ) * Constraints!A701 + 0.605 /Performance!$E$15 * (Performance!$E$16  - Constraints!$N$6 * Performance!$E$14) + Constraints!$N$6</f>
        <v>0.43870869890915354</v>
      </c>
      <c r="G701" s="54" t="s">
        <v>198</v>
      </c>
      <c r="H701" s="55">
        <f>SQRT(2/$V$3 * A701 * SQRT(Performance!$E$23 / (3 * Performance!$E$12)))</f>
        <v>23.05174858004759</v>
      </c>
      <c r="I701" s="55">
        <f>SQRT(2/$V$3 * A701 * (SQRT(Performance!$E$23)/(SQRT(3*Performance!$E$12 + 4* Performance!$E$23 * Performance!$E$11^2) - SQRT(Performance!$E$23)*Performance!$E$11)))</f>
        <v>24.248942028941197</v>
      </c>
      <c r="J701" t="e">
        <f xml:space="preserve"> $AC$3/G701 + $AC$6/A701 * Performance!$E$12 + Performance!$E$23/Constraints!$AC$6 * Constraints!A701</f>
        <v>#VALUE!</v>
      </c>
      <c r="K701">
        <f xml:space="preserve"> $AC$3/H701 + $AC$6/A701 * Performance!$E$12 + Performance!$E$23/Constraints!$AC$6 * Constraints!A701</f>
        <v>1.3442278222383846</v>
      </c>
      <c r="L701">
        <f xml:space="preserve"> $AC$3/I701 + $AC$6/A701 * Performance!$E$12 + Performance!$E$23/Constraints!$AC$6 * Constraints!A701</f>
        <v>1.3333477601300281</v>
      </c>
      <c r="M701">
        <f>SIN($AC$9 * PI()/180) + 1/Performance!$AE$5</f>
        <v>0.24073077270730886</v>
      </c>
      <c r="N701">
        <f>SIN($AC$9 * PI()/180) + 1/Performance!$AE$8</f>
        <v>0.22738716112204788</v>
      </c>
      <c r="O701" s="60">
        <f>$AC$16 * (Performance!$E$12/Constraints!A701 + Performance!$E$23 * (Constraints!$AC$13/Constraints!$AC$17)^2 * Constraints!A701)</f>
        <v>2.2834336617798194E-4</v>
      </c>
      <c r="P701" t="e">
        <f t="shared" si="43"/>
        <v>#VALUE!</v>
      </c>
      <c r="Q701">
        <f t="shared" si="44"/>
        <v>139.52459541439453</v>
      </c>
      <c r="R701">
        <f t="shared" si="45"/>
        <v>154.39335833661505</v>
      </c>
      <c r="S701" t="e">
        <f xml:space="preserve"> 1.667/G701 + P701/A701 * Performance!$E$12 + Performance!$E$23 / Constraints!P701 * Constraints!A701</f>
        <v>#VALUE!</v>
      </c>
      <c r="T701">
        <f xml:space="preserve"> 1.667/H701 + Q701/A701 * Performance!$E$12 + Performance!$E$23 / Constraints!Q701 * Constraints!A701</f>
        <v>0.1782285229004574</v>
      </c>
      <c r="U701">
        <f xml:space="preserve"> 1.667/I701 + R701/A701 * Performance!$E$12 + Performance!$E$23 / Constraints!R701 * Constraints!A701</f>
        <v>0.16688801291097338</v>
      </c>
    </row>
    <row r="702" spans="1:21" x14ac:dyDescent="0.3">
      <c r="A702" s="51">
        <v>350</v>
      </c>
      <c r="B702" s="50">
        <f>$V$4*Performance!$E$12*(1/A702)+Performance!$E$23*(1/Constraints!$V$4)*Constraints!A702</f>
        <v>9.5006425428791258E-2</v>
      </c>
      <c r="C702" s="50">
        <f>$V$5*Performance!$E$12*(1/A702)+Performance!$E$23*(1/Constraints!$V$5)*Constraints!A702</f>
        <v>0.13555144737522426</v>
      </c>
      <c r="D702" s="52">
        <f t="shared" si="42"/>
        <v>0.43917499859991782</v>
      </c>
      <c r="E702" s="52">
        <f>$V$4*Performance!$E$12*(1/A702)+Performance!$E$23*(1/Constraints!$V$9)*Constraints!A702</f>
        <v>9.3425769369595332E-2</v>
      </c>
      <c r="F702" s="52">
        <f xml:space="preserve"> 1.21 / (9.81 * Constraints!$N$7 * Performance!$E$15 * Constraints!$N$5 ) * Constraints!A702 + 0.605 /Performance!$E$15 * (Performance!$E$16  - Constraints!$N$6 * Performance!$E$14) + Constraints!$N$6</f>
        <v>0.43898070706209935</v>
      </c>
      <c r="G702" s="54" t="s">
        <v>198</v>
      </c>
      <c r="H702" s="55">
        <f>SQRT(2/$V$3 * A702 * SQRT(Performance!$E$23 / (3 * Performance!$E$12)))</f>
        <v>23.068231777420191</v>
      </c>
      <c r="I702" s="55">
        <f>SQRT(2/$V$3 * A702 * (SQRT(Performance!$E$23)/(SQRT(3*Performance!$E$12 + 4* Performance!$E$23 * Performance!$E$11^2) - SQRT(Performance!$E$23)*Performance!$E$11)))</f>
        <v>24.26628128180316</v>
      </c>
      <c r="J702" t="e">
        <f xml:space="preserve"> $AC$3/G702 + $AC$6/A702 * Performance!$E$12 + Performance!$E$23/Constraints!$AC$6 * Constraints!A702</f>
        <v>#VALUE!</v>
      </c>
      <c r="K702">
        <f xml:space="preserve"> $AC$3/H702 + $AC$6/A702 * Performance!$E$12 + Performance!$E$23/Constraints!$AC$6 * Constraints!A702</f>
        <v>1.34567529416011</v>
      </c>
      <c r="L702">
        <f xml:space="preserve"> $AC$3/I702 + $AC$6/A702 * Performance!$E$12 + Performance!$E$23/Constraints!$AC$6 * Constraints!A702</f>
        <v>1.3348030063021981</v>
      </c>
      <c r="M702">
        <f>SIN($AC$9 * PI()/180) + 1/Performance!$AE$5</f>
        <v>0.24073077270730886</v>
      </c>
      <c r="N702">
        <f>SIN($AC$9 * PI()/180) + 1/Performance!$AE$8</f>
        <v>0.22738716112204788</v>
      </c>
      <c r="O702" s="60">
        <f>$AC$16 * (Performance!$E$12/Constraints!A702 + Performance!$E$23 * (Constraints!$AC$13/Constraints!$AC$17)^2 * Constraints!A702)</f>
        <v>2.2846900925396876E-4</v>
      </c>
      <c r="P702" t="e">
        <f t="shared" si="43"/>
        <v>#VALUE!</v>
      </c>
      <c r="Q702">
        <f t="shared" si="44"/>
        <v>139.72420141641803</v>
      </c>
      <c r="R702">
        <f t="shared" si="45"/>
        <v>154.6142358163527</v>
      </c>
      <c r="S702" t="e">
        <f xml:space="preserve"> 1.667/G702 + P702/A702 * Performance!$E$12 + Performance!$E$23 / Constraints!P702 * Constraints!A702</f>
        <v>#VALUE!</v>
      </c>
      <c r="T702">
        <f xml:space="preserve"> 1.667/H702 + Q702/A702 * Performance!$E$12 + Performance!$E$23 / Constraints!Q702 * Constraints!A702</f>
        <v>0.1781768504713267</v>
      </c>
      <c r="U702">
        <f xml:space="preserve"> 1.667/I702 + R702/A702 * Performance!$E$12 + Performance!$E$23 / Constraints!R702 * Constraints!A702</f>
        <v>0.16683889159906545</v>
      </c>
    </row>
    <row r="703" spans="1:21" x14ac:dyDescent="0.3">
      <c r="A703" s="51">
        <v>350.5</v>
      </c>
      <c r="B703" s="50">
        <f>$V$4*Performance!$E$12*(1/A703)+Performance!$E$23*(1/Constraints!$V$4)*Constraints!A703</f>
        <v>9.4910481301542102E-2</v>
      </c>
      <c r="C703" s="50">
        <f>$V$5*Performance!$E$12*(1/A703)+Performance!$E$23*(1/Constraints!$V$5)*Constraints!A703</f>
        <v>0.13538343629393373</v>
      </c>
      <c r="D703" s="52">
        <f t="shared" si="42"/>
        <v>0.43944728431220337</v>
      </c>
      <c r="E703" s="52">
        <f>$V$4*Performance!$E$12*(1/A703)+Performance!$E$23*(1/Constraints!$V$9)*Constraints!A703</f>
        <v>9.3327567162261607E-2</v>
      </c>
      <c r="F703" s="52">
        <f xml:space="preserve"> 1.21 / (9.81 * Constraints!$N$7 * Performance!$E$15 * Constraints!$N$5 ) * Constraints!A703 + 0.605 /Performance!$E$15 * (Performance!$E$16  - Constraints!$N$6 * Performance!$E$14) + Constraints!$N$6</f>
        <v>0.43925271521504522</v>
      </c>
      <c r="G703" s="54" t="s">
        <v>198</v>
      </c>
      <c r="H703" s="55">
        <f>SQRT(2/$V$3 * A703 * SQRT(Performance!$E$23 / (3 * Performance!$E$12)))</f>
        <v>23.084703205279276</v>
      </c>
      <c r="I703" s="55">
        <f>SQRT(2/$V$3 * A703 * (SQRT(Performance!$E$23)/(SQRT(3*Performance!$E$12 + 4* Performance!$E$23 * Performance!$E$11^2) - SQRT(Performance!$E$23)*Performance!$E$11)))</f>
        <v>24.283608153901465</v>
      </c>
      <c r="J703" t="e">
        <f xml:space="preserve"> $AC$3/G703 + $AC$6/A703 * Performance!$E$12 + Performance!$E$23/Constraints!$AC$6 * Constraints!A703</f>
        <v>#VALUE!</v>
      </c>
      <c r="K703">
        <f xml:space="preserve"> $AC$3/H703 + $AC$6/A703 * Performance!$E$12 + Performance!$E$23/Constraints!$AC$6 * Constraints!A703</f>
        <v>1.3471231072317331</v>
      </c>
      <c r="L703">
        <f xml:space="preserve"> $AC$3/I703 + $AC$6/A703 * Performance!$E$12 + Performance!$E$23/Constraints!$AC$6 * Constraints!A703</f>
        <v>1.3362585769829844</v>
      </c>
      <c r="M703">
        <f>SIN($AC$9 * PI()/180) + 1/Performance!$AE$5</f>
        <v>0.24073077270730886</v>
      </c>
      <c r="N703">
        <f>SIN($AC$9 * PI()/180) + 1/Performance!$AE$8</f>
        <v>0.22738716112204788</v>
      </c>
      <c r="O703" s="60">
        <f>$AC$16 * (Performance!$E$12/Constraints!A703 + Performance!$E$23 * (Constraints!$AC$13/Constraints!$AC$17)^2 * Constraints!A703)</f>
        <v>2.2859493889873167E-4</v>
      </c>
      <c r="P703" t="e">
        <f t="shared" si="43"/>
        <v>#VALUE!</v>
      </c>
      <c r="Q703">
        <f t="shared" si="44"/>
        <v>139.92380741844144</v>
      </c>
      <c r="R703">
        <f t="shared" si="45"/>
        <v>154.83511329609033</v>
      </c>
      <c r="S703" t="e">
        <f xml:space="preserve"> 1.667/G703 + P703/A703 * Performance!$E$12 + Performance!$E$23 / Constraints!P703 * Constraints!A703</f>
        <v>#VALUE!</v>
      </c>
      <c r="T703">
        <f xml:space="preserve"> 1.667/H703 + Q703/A703 * Performance!$E$12 + Performance!$E$23 / Constraints!Q703 * Constraints!A703</f>
        <v>0.1781252886503446</v>
      </c>
      <c r="U703">
        <f xml:space="preserve"> 1.667/I703 + R703/A703 * Performance!$E$12 + Performance!$E$23 / Constraints!R703 * Constraints!A703</f>
        <v>0.1667898754344761</v>
      </c>
    </row>
    <row r="704" spans="1:21" x14ac:dyDescent="0.3">
      <c r="A704" s="51">
        <v>351</v>
      </c>
      <c r="B704" s="50">
        <f>$V$4*Performance!$E$12*(1/A704)+Performance!$E$23*(1/Constraints!$V$4)*Constraints!A704</f>
        <v>9.4814866949554225E-2</v>
      </c>
      <c r="C704" s="50">
        <f>$V$5*Performance!$E$12*(1/A704)+Performance!$E$23*(1/Constraints!$V$5)*Constraints!A704</f>
        <v>0.13521594002441645</v>
      </c>
      <c r="D704" s="52">
        <f t="shared" si="42"/>
        <v>0.43971957002448903</v>
      </c>
      <c r="E704" s="52">
        <f>$V$4*Performance!$E$12*(1/A704)+Performance!$E$23*(1/Constraints!$V$9)*Constraints!A704</f>
        <v>9.3229694730189161E-2</v>
      </c>
      <c r="F704" s="52">
        <f xml:space="preserve"> 1.21 / (9.81 * Constraints!$N$7 * Performance!$E$15 * Constraints!$N$5 ) * Constraints!A704 + 0.605 /Performance!$E$15 * (Performance!$E$16  - Constraints!$N$6 * Performance!$E$14) + Constraints!$N$6</f>
        <v>0.43952472336799109</v>
      </c>
      <c r="G704" s="54" t="s">
        <v>198</v>
      </c>
      <c r="H704" s="55">
        <f>SQRT(2/$V$3 * A704 * SQRT(Performance!$E$23 / (3 * Performance!$E$12)))</f>
        <v>23.101162888800289</v>
      </c>
      <c r="I704" s="55">
        <f>SQRT(2/$V$3 * A704 * (SQRT(Performance!$E$23)/(SQRT(3*Performance!$E$12 + 4* Performance!$E$23 * Performance!$E$11^2) - SQRT(Performance!$E$23)*Performance!$E$11)))</f>
        <v>24.300922671719054</v>
      </c>
      <c r="J704" t="e">
        <f xml:space="preserve"> $AC$3/G704 + $AC$6/A704 * Performance!$E$12 + Performance!$E$23/Constraints!$AC$6 * Constraints!A704</f>
        <v>#VALUE!</v>
      </c>
      <c r="K704">
        <f xml:space="preserve"> $AC$3/H704 + $AC$6/A704 * Performance!$E$12 + Performance!$E$23/Constraints!$AC$6 * Constraints!A704</f>
        <v>1.3485712602349962</v>
      </c>
      <c r="L704">
        <f xml:space="preserve"> $AC$3/I704 + $AC$6/A704 * Performance!$E$12 + Performance!$E$23/Constraints!$AC$6 * Constraints!A704</f>
        <v>1.3377144710134141</v>
      </c>
      <c r="M704">
        <f>SIN($AC$9 * PI()/180) + 1/Performance!$AE$5</f>
        <v>0.24073077270730886</v>
      </c>
      <c r="N704">
        <f>SIN($AC$9 * PI()/180) + 1/Performance!$AE$8</f>
        <v>0.22738716112204788</v>
      </c>
      <c r="O704" s="60">
        <f>$AC$16 * (Performance!$E$12/Constraints!A704 + Performance!$E$23 * (Constraints!$AC$13/Constraints!$AC$17)^2 * Constraints!A704)</f>
        <v>2.2872115388761774E-4</v>
      </c>
      <c r="P704" t="e">
        <f t="shared" si="43"/>
        <v>#VALUE!</v>
      </c>
      <c r="Q704">
        <f t="shared" si="44"/>
        <v>140.12341342046489</v>
      </c>
      <c r="R704">
        <f t="shared" si="45"/>
        <v>155.05599077582798</v>
      </c>
      <c r="S704" t="e">
        <f xml:space="preserve"> 1.667/G704 + P704/A704 * Performance!$E$12 + Performance!$E$23 / Constraints!P704 * Constraints!A704</f>
        <v>#VALUE!</v>
      </c>
      <c r="T704">
        <f xml:space="preserve"> 1.667/H704 + Q704/A704 * Performance!$E$12 + Performance!$E$23 / Constraints!Q704 * Constraints!A704</f>
        <v>0.17807383704346708</v>
      </c>
      <c r="U704">
        <f xml:space="preserve"> 1.667/I704 + R704/A704 * Performance!$E$12 + Performance!$E$23 / Constraints!R704 * Constraints!A704</f>
        <v>0.16674096404261557</v>
      </c>
    </row>
    <row r="705" spans="1:21" x14ac:dyDescent="0.3">
      <c r="A705" s="51">
        <v>351.5</v>
      </c>
      <c r="B705" s="50">
        <f>$V$4*Performance!$E$12*(1/A705)+Performance!$E$23*(1/Constraints!$V$4)*Constraints!A705</f>
        <v>9.4719580965536287E-2</v>
      </c>
      <c r="C705" s="50">
        <f>$V$5*Performance!$E$12*(1/A705)+Performance!$E$23*(1/Constraints!$V$5)*Constraints!A705</f>
        <v>0.13504895636975156</v>
      </c>
      <c r="D705" s="52">
        <f t="shared" si="42"/>
        <v>0.43999185573677457</v>
      </c>
      <c r="E705" s="52">
        <f>$V$4*Performance!$E$12*(1/A705)+Performance!$E$23*(1/Constraints!$V$9)*Constraints!A705</f>
        <v>9.3132150666086655E-2</v>
      </c>
      <c r="F705" s="52">
        <f xml:space="preserve"> 1.21 / (9.81 * Constraints!$N$7 * Performance!$E$15 * Constraints!$N$5 ) * Constraints!A705 + 0.605 /Performance!$E$15 * (Performance!$E$16  - Constraints!$N$6 * Performance!$E$14) + Constraints!$N$6</f>
        <v>0.4397967315209369</v>
      </c>
      <c r="G705" s="54" t="s">
        <v>198</v>
      </c>
      <c r="H705" s="55">
        <f>SQRT(2/$V$3 * A705 * SQRT(Performance!$E$23 / (3 * Performance!$E$12)))</f>
        <v>23.11761085306906</v>
      </c>
      <c r="I705" s="55">
        <f>SQRT(2/$V$3 * A705 * (SQRT(Performance!$E$23)/(SQRT(3*Performance!$E$12 + 4* Performance!$E$23 * Performance!$E$11^2) - SQRT(Performance!$E$23)*Performance!$E$11)))</f>
        <v>24.31822486164458</v>
      </c>
      <c r="J705" t="e">
        <f xml:space="preserve"> $AC$3/G705 + $AC$6/A705 * Performance!$E$12 + Performance!$E$23/Constraints!$AC$6 * Constraints!A705</f>
        <v>#VALUE!</v>
      </c>
      <c r="K705">
        <f xml:space="preserve"> $AC$3/H705 + $AC$6/A705 * Performance!$E$12 + Performance!$E$23/Constraints!$AC$6 * Constraints!A705</f>
        <v>1.3500197519577215</v>
      </c>
      <c r="L705">
        <f xml:space="preserve"> $AC$3/I705 + $AC$6/A705 * Performance!$E$12 + Performance!$E$23/Constraints!$AC$6 * Constraints!A705</f>
        <v>1.3391706872402986</v>
      </c>
      <c r="M705">
        <f>SIN($AC$9 * PI()/180) + 1/Performance!$AE$5</f>
        <v>0.24073077270730886</v>
      </c>
      <c r="N705">
        <f>SIN($AC$9 * PI()/180) + 1/Performance!$AE$8</f>
        <v>0.22738716112204788</v>
      </c>
      <c r="O705" s="60">
        <f>$AC$16 * (Performance!$E$12/Constraints!A705 + Performance!$E$23 * (Constraints!$AC$13/Constraints!$AC$17)^2 * Constraints!A705)</f>
        <v>2.2884765300294223E-4</v>
      </c>
      <c r="P705" t="e">
        <f t="shared" si="43"/>
        <v>#VALUE!</v>
      </c>
      <c r="Q705">
        <f t="shared" si="44"/>
        <v>140.32301942248839</v>
      </c>
      <c r="R705">
        <f t="shared" si="45"/>
        <v>155.27686825556563</v>
      </c>
      <c r="S705" t="e">
        <f xml:space="preserve"> 1.667/G705 + P705/A705 * Performance!$E$12 + Performance!$E$23 / Constraints!P705 * Constraints!A705</f>
        <v>#VALUE!</v>
      </c>
      <c r="T705">
        <f xml:space="preserve"> 1.667/H705 + Q705/A705 * Performance!$E$12 + Performance!$E$23 / Constraints!Q705 * Constraints!A705</f>
        <v>0.17802249525861247</v>
      </c>
      <c r="U705">
        <f xml:space="preserve"> 1.667/I705 + R705/A705 * Performance!$E$12 + Performance!$E$23 / Constraints!R705 * Constraints!A705</f>
        <v>0.16669215705075971</v>
      </c>
    </row>
    <row r="706" spans="1:21" x14ac:dyDescent="0.3">
      <c r="A706" s="51">
        <v>352</v>
      </c>
      <c r="B706" s="50">
        <f>$V$4*Performance!$E$12*(1/A706)+Performance!$E$23*(1/Constraints!$V$4)*Constraints!A706</f>
        <v>9.4624621950193E-2</v>
      </c>
      <c r="C706" s="50">
        <f>$V$5*Performance!$E$12*(1/A706)+Performance!$E$23*(1/Constraints!$V$5)*Constraints!A706</f>
        <v>0.13488248314550075</v>
      </c>
      <c r="D706" s="52">
        <f t="shared" si="42"/>
        <v>0.44026414144906018</v>
      </c>
      <c r="E706" s="52">
        <f>$V$4*Performance!$E$12*(1/A706)+Performance!$E$23*(1/Constraints!$V$9)*Constraints!A706</f>
        <v>9.3034933570658798E-2</v>
      </c>
      <c r="F706" s="52">
        <f xml:space="preserve"> 1.21 / (9.81 * Constraints!$N$7 * Performance!$E$15 * Constraints!$N$5 ) * Constraints!A706 + 0.605 /Performance!$E$15 * (Performance!$E$16  - Constraints!$N$6 * Performance!$E$14) + Constraints!$N$6</f>
        <v>0.44006873967388282</v>
      </c>
      <c r="G706" s="54" t="s">
        <v>198</v>
      </c>
      <c r="H706" s="55">
        <f>SQRT(2/$V$3 * A706 * SQRT(Performance!$E$23 / (3 * Performance!$E$12)))</f>
        <v>23.134047123082222</v>
      </c>
      <c r="I706" s="55">
        <f>SQRT(2/$V$3 * A706 * (SQRT(Performance!$E$23)/(SQRT(3*Performance!$E$12 + 4* Performance!$E$23 * Performance!$E$11^2) - SQRT(Performance!$E$23)*Performance!$E$11)))</f>
        <v>24.335514749972887</v>
      </c>
      <c r="J706" t="e">
        <f xml:space="preserve"> $AC$3/G706 + $AC$6/A706 * Performance!$E$12 + Performance!$E$23/Constraints!$AC$6 * Constraints!A706</f>
        <v>#VALUE!</v>
      </c>
      <c r="K706">
        <f xml:space="preserve"> $AC$3/H706 + $AC$6/A706 * Performance!$E$12 + Performance!$E$23/Constraints!$AC$6 * Constraints!A706</f>
        <v>1.3514685811937714</v>
      </c>
      <c r="L706">
        <f xml:space="preserve"> $AC$3/I706 + $AC$6/A706 * Performance!$E$12 + Performance!$E$23/Constraints!$AC$6 * Constraints!A706</f>
        <v>1.3406272245161974</v>
      </c>
      <c r="M706">
        <f>SIN($AC$9 * PI()/180) + 1/Performance!$AE$5</f>
        <v>0.24073077270730886</v>
      </c>
      <c r="N706">
        <f>SIN($AC$9 * PI()/180) + 1/Performance!$AE$8</f>
        <v>0.22738716112204788</v>
      </c>
      <c r="O706" s="60">
        <f>$AC$16 * (Performance!$E$12/Constraints!A706 + Performance!$E$23 * (Constraints!$AC$13/Constraints!$AC$17)^2 * Constraints!A706)</f>
        <v>2.2897443503393911E-4</v>
      </c>
      <c r="P706" t="e">
        <f t="shared" si="43"/>
        <v>#VALUE!</v>
      </c>
      <c r="Q706">
        <f t="shared" si="44"/>
        <v>140.5226254245118</v>
      </c>
      <c r="R706">
        <f t="shared" si="45"/>
        <v>155.49774573530328</v>
      </c>
      <c r="S706" t="e">
        <f xml:space="preserve"> 1.667/G706 + P706/A706 * Performance!$E$12 + Performance!$E$23 / Constraints!P706 * Constraints!A706</f>
        <v>#VALUE!</v>
      </c>
      <c r="T706">
        <f xml:space="preserve"> 1.667/H706 + Q706/A706 * Performance!$E$12 + Performance!$E$23 / Constraints!Q706 * Constraints!A706</f>
        <v>0.17797126290564913</v>
      </c>
      <c r="U706">
        <f xml:space="preserve"> 1.667/I706 + R706/A706 * Performance!$E$12 + Performance!$E$23 / Constraints!R706 * Constraints!A706</f>
        <v>0.16664345408803805</v>
      </c>
    </row>
    <row r="707" spans="1:21" x14ac:dyDescent="0.3">
      <c r="A707" s="51">
        <v>352.5</v>
      </c>
      <c r="B707" s="50">
        <f>$V$4*Performance!$E$12*(1/A707)+Performance!$E$23*(1/Constraints!$V$4)*Constraints!A707</f>
        <v>9.4529988512168289E-2</v>
      </c>
      <c r="C707" s="50">
        <f>$V$5*Performance!$E$12*(1/A707)+Performance!$E$23*(1/Constraints!$V$5)*Constraints!A707</f>
        <v>0.13471651817961974</v>
      </c>
      <c r="D707" s="52">
        <f t="shared" si="42"/>
        <v>0.44053642716134578</v>
      </c>
      <c r="E707" s="52">
        <f>$V$4*Performance!$E$12*(1/A707)+Performance!$E$23*(1/Constraints!$V$9)*Constraints!A707</f>
        <v>9.2938042052549533E-2</v>
      </c>
      <c r="F707" s="52">
        <f xml:space="preserve"> 1.21 / (9.81 * Constraints!$N$7 * Performance!$E$15 * Constraints!$N$5 ) * Constraints!A707 + 0.605 /Performance!$E$15 * (Performance!$E$16  - Constraints!$N$6 * Performance!$E$14) + Constraints!$N$6</f>
        <v>0.44034074782682864</v>
      </c>
      <c r="G707" s="54" t="s">
        <v>198</v>
      </c>
      <c r="H707" s="55">
        <f>SQRT(2/$V$3 * A707 * SQRT(Performance!$E$23 / (3 * Performance!$E$12)))</f>
        <v>23.150471723747692</v>
      </c>
      <c r="I707" s="55">
        <f>SQRT(2/$V$3 * A707 * (SQRT(Performance!$E$23)/(SQRT(3*Performance!$E$12 + 4* Performance!$E$23 * Performance!$E$11^2) - SQRT(Performance!$E$23)*Performance!$E$11)))</f>
        <v>24.352792362905479</v>
      </c>
      <c r="J707" t="e">
        <f xml:space="preserve"> $AC$3/G707 + $AC$6/A707 * Performance!$E$12 + Performance!$E$23/Constraints!$AC$6 * Constraints!A707</f>
        <v>#VALUE!</v>
      </c>
      <c r="K707">
        <f xml:space="preserve"> $AC$3/H707 + $AC$6/A707 * Performance!$E$12 + Performance!$E$23/Constraints!$AC$6 * Constraints!A707</f>
        <v>1.3529177467430116</v>
      </c>
      <c r="L707">
        <f xml:space="preserve"> $AC$3/I707 + $AC$6/A707 * Performance!$E$12 + Performance!$E$23/Constraints!$AC$6 * Constraints!A707</f>
        <v>1.3420840816993802</v>
      </c>
      <c r="M707">
        <f>SIN($AC$9 * PI()/180) + 1/Performance!$AE$5</f>
        <v>0.24073077270730886</v>
      </c>
      <c r="N707">
        <f>SIN($AC$9 * PI()/180) + 1/Performance!$AE$8</f>
        <v>0.22738716112204788</v>
      </c>
      <c r="O707" s="60">
        <f>$AC$16 * (Performance!$E$12/Constraints!A707 + Performance!$E$23 * (Constraints!$AC$13/Constraints!$AC$17)^2 * Constraints!A707)</f>
        <v>2.2910149877671191E-4</v>
      </c>
      <c r="P707" t="e">
        <f t="shared" si="43"/>
        <v>#VALUE!</v>
      </c>
      <c r="Q707">
        <f t="shared" si="44"/>
        <v>140.7222314265353</v>
      </c>
      <c r="R707">
        <f t="shared" si="45"/>
        <v>155.71862321504094</v>
      </c>
      <c r="S707" t="e">
        <f xml:space="preserve"> 1.667/G707 + P707/A707 * Performance!$E$12 + Performance!$E$23 / Constraints!P707 * Constraints!A707</f>
        <v>#VALUE!</v>
      </c>
      <c r="T707">
        <f xml:space="preserve"> 1.667/H707 + Q707/A707 * Performance!$E$12 + Performance!$E$23 / Constraints!Q707 * Constraints!A707</f>
        <v>0.17792013959638295</v>
      </c>
      <c r="U707">
        <f xml:space="preserve"> 1.667/I707 + R707/A707 * Performance!$E$12 + Performance!$E$23 / Constraints!R707 * Constraints!A707</f>
        <v>0.16659485478542202</v>
      </c>
    </row>
    <row r="708" spans="1:21" x14ac:dyDescent="0.3">
      <c r="A708" s="51">
        <v>353</v>
      </c>
      <c r="B708" s="50">
        <f>$V$4*Performance!$E$12*(1/A708)+Performance!$E$23*(1/Constraints!$V$4)*Constraints!A708</f>
        <v>9.4435679267989139E-2</v>
      </c>
      <c r="C708" s="50">
        <f>$V$5*Performance!$E$12*(1/A708)+Performance!$E$23*(1/Constraints!$V$5)*Constraints!A708</f>
        <v>0.13455105931237038</v>
      </c>
      <c r="D708" s="52">
        <f t="shared" si="42"/>
        <v>0.44080871287363138</v>
      </c>
      <c r="E708" s="52">
        <f>$V$4*Performance!$E$12*(1/A708)+Performance!$E$23*(1/Constraints!$V$9)*Constraints!A708</f>
        <v>9.2841474728285814E-2</v>
      </c>
      <c r="F708" s="52">
        <f xml:space="preserve"> 1.21 / (9.81 * Constraints!$N$7 * Performance!$E$15 * Constraints!$N$5 ) * Constraints!A708 + 0.605 /Performance!$E$15 * (Performance!$E$16  - Constraints!$N$6 * Performance!$E$14) + Constraints!$N$6</f>
        <v>0.44061275597977451</v>
      </c>
      <c r="G708" s="54" t="s">
        <v>198</v>
      </c>
      <c r="H708" s="55">
        <f>SQRT(2/$V$3 * A708 * SQRT(Performance!$E$23 / (3 * Performance!$E$12)))</f>
        <v>23.166884679885079</v>
      </c>
      <c r="I708" s="55">
        <f>SQRT(2/$V$3 * A708 * (SQRT(Performance!$E$23)/(SQRT(3*Performance!$E$12 + 4* Performance!$E$23 * Performance!$E$11^2) - SQRT(Performance!$E$23)*Performance!$E$11)))</f>
        <v>24.370057726550975</v>
      </c>
      <c r="J708" t="e">
        <f xml:space="preserve"> $AC$3/G708 + $AC$6/A708 * Performance!$E$12 + Performance!$E$23/Constraints!$AC$6 * Constraints!A708</f>
        <v>#VALUE!</v>
      </c>
      <c r="K708">
        <f xml:space="preserve"> $AC$3/H708 + $AC$6/A708 * Performance!$E$12 + Performance!$E$23/Constraints!$AC$6 * Constraints!A708</f>
        <v>1.3543672474112705</v>
      </c>
      <c r="L708">
        <f xml:space="preserve"> $AC$3/I708 + $AC$6/A708 * Performance!$E$12 + Performance!$E$23/Constraints!$AC$6 * Constraints!A708</f>
        <v>1.3435412576537911</v>
      </c>
      <c r="M708">
        <f>SIN($AC$9 * PI()/180) + 1/Performance!$AE$5</f>
        <v>0.24073077270730886</v>
      </c>
      <c r="N708">
        <f>SIN($AC$9 * PI()/180) + 1/Performance!$AE$8</f>
        <v>0.22738716112204788</v>
      </c>
      <c r="O708" s="60">
        <f>$AC$16 * (Performance!$E$12/Constraints!A708 + Performance!$E$23 * (Constraints!$AC$13/Constraints!$AC$17)^2 * Constraints!A708)</f>
        <v>2.2922884303418504E-4</v>
      </c>
      <c r="P708" t="e">
        <f t="shared" si="43"/>
        <v>#VALUE!</v>
      </c>
      <c r="Q708">
        <f t="shared" si="44"/>
        <v>140.92183742855875</v>
      </c>
      <c r="R708">
        <f t="shared" si="45"/>
        <v>155.93950069477859</v>
      </c>
      <c r="S708" t="e">
        <f xml:space="preserve"> 1.667/G708 + P708/A708 * Performance!$E$12 + Performance!$E$23 / Constraints!P708 * Constraints!A708</f>
        <v>#VALUE!</v>
      </c>
      <c r="T708">
        <f xml:space="preserve"> 1.667/H708 + Q708/A708 * Performance!$E$12 + Performance!$E$23 / Constraints!Q708 * Constraints!A708</f>
        <v>0.17786912494454499</v>
      </c>
      <c r="U708">
        <f xml:space="preserve"> 1.667/I708 + R708/A708 * Performance!$E$12 + Performance!$E$23 / Constraints!R708 * Constraints!A708</f>
        <v>0.16654635877571305</v>
      </c>
    </row>
    <row r="709" spans="1:21" x14ac:dyDescent="0.3">
      <c r="A709" s="51">
        <v>353.5</v>
      </c>
      <c r="B709" s="50">
        <f>$V$4*Performance!$E$12*(1/A709)+Performance!$E$23*(1/Constraints!$V$4)*Constraints!A709</f>
        <v>9.43416928420098E-2</v>
      </c>
      <c r="C709" s="50">
        <f>$V$5*Performance!$E$12*(1/A709)+Performance!$E$23*(1/Constraints!$V$5)*Constraints!A709</f>
        <v>0.13438610439623377</v>
      </c>
      <c r="D709" s="52">
        <f t="shared" si="42"/>
        <v>0.44108099858591698</v>
      </c>
      <c r="E709" s="52">
        <f>$V$4*Performance!$E$12*(1/A709)+Performance!$E$23*(1/Constraints!$V$9)*Constraints!A709</f>
        <v>9.2745230222221905E-2</v>
      </c>
      <c r="F709" s="52">
        <f xml:space="preserve"> 1.21 / (9.81 * Constraints!$N$7 * Performance!$E$15 * Constraints!$N$5 ) * Constraints!A709 + 0.605 /Performance!$E$15 * (Performance!$E$16  - Constraints!$N$6 * Performance!$E$14) + Constraints!$N$6</f>
        <v>0.44088476413272037</v>
      </c>
      <c r="G709" s="54" t="s">
        <v>198</v>
      </c>
      <c r="H709" s="55">
        <f>SQRT(2/$V$3 * A709 * SQRT(Performance!$E$23 / (3 * Performance!$E$12)))</f>
        <v>23.183286016226141</v>
      </c>
      <c r="I709" s="55">
        <f>SQRT(2/$V$3 * A709 * (SQRT(Performance!$E$23)/(SQRT(3*Performance!$E$12 + 4* Performance!$E$23 * Performance!$E$11^2) - SQRT(Performance!$E$23)*Performance!$E$11)))</f>
        <v>24.387310866925574</v>
      </c>
      <c r="J709" t="e">
        <f xml:space="preserve"> $AC$3/G709 + $AC$6/A709 * Performance!$E$12 + Performance!$E$23/Constraints!$AC$6 * Constraints!A709</f>
        <v>#VALUE!</v>
      </c>
      <c r="K709">
        <f xml:space="preserve"> $AC$3/H709 + $AC$6/A709 * Performance!$E$12 + Performance!$E$23/Constraints!$AC$6 * Constraints!A709</f>
        <v>1.355817082010303</v>
      </c>
      <c r="L709">
        <f xml:space="preserve"> $AC$3/I709 + $AC$6/A709 * Performance!$E$12 + Performance!$E$23/Constraints!$AC$6 * Constraints!A709</f>
        <v>1.3449987512490122</v>
      </c>
      <c r="M709">
        <f>SIN($AC$9 * PI()/180) + 1/Performance!$AE$5</f>
        <v>0.24073077270730886</v>
      </c>
      <c r="N709">
        <f>SIN($AC$9 * PI()/180) + 1/Performance!$AE$8</f>
        <v>0.22738716112204788</v>
      </c>
      <c r="O709" s="60">
        <f>$AC$16 * (Performance!$E$12/Constraints!A709 + Performance!$E$23 * (Constraints!$AC$13/Constraints!$AC$17)^2 * Constraints!A709)</f>
        <v>2.2935646661605578E-4</v>
      </c>
      <c r="P709" t="e">
        <f t="shared" si="43"/>
        <v>#VALUE!</v>
      </c>
      <c r="Q709">
        <f t="shared" si="44"/>
        <v>141.12144343058222</v>
      </c>
      <c r="R709">
        <f t="shared" si="45"/>
        <v>156.16037817451624</v>
      </c>
      <c r="S709" t="e">
        <f xml:space="preserve"> 1.667/G709 + P709/A709 * Performance!$E$12 + Performance!$E$23 / Constraints!P709 * Constraints!A709</f>
        <v>#VALUE!</v>
      </c>
      <c r="T709">
        <f xml:space="preserve"> 1.667/H709 + Q709/A709 * Performance!$E$12 + Performance!$E$23 / Constraints!Q709 * Constraints!A709</f>
        <v>0.17781821856577915</v>
      </c>
      <c r="U709">
        <f xml:space="preserve"> 1.667/I709 + R709/A709 * Performance!$E$12 + Performance!$E$23 / Constraints!R709 * Constraints!A709</f>
        <v>0.16649796569353117</v>
      </c>
    </row>
    <row r="710" spans="1:21" x14ac:dyDescent="0.3">
      <c r="A710" s="51">
        <v>354</v>
      </c>
      <c r="B710" s="50">
        <f>$V$4*Performance!$E$12*(1/A710)+Performance!$E$23*(1/Constraints!$V$4)*Constraints!A710</f>
        <v>9.4248027866356526E-2</v>
      </c>
      <c r="C710" s="50">
        <f>$V$5*Performance!$E$12*(1/A710)+Performance!$E$23*(1/Constraints!$V$5)*Constraints!A710</f>
        <v>0.13422165129582384</v>
      </c>
      <c r="D710" s="52">
        <f t="shared" si="42"/>
        <v>0.44135328429820253</v>
      </c>
      <c r="E710" s="52">
        <f>$V$4*Performance!$E$12*(1/A710)+Performance!$E$23*(1/Constraints!$V$9)*Constraints!A710</f>
        <v>9.2649307166484077E-2</v>
      </c>
      <c r="F710" s="52">
        <f xml:space="preserve"> 1.21 / (9.81 * Constraints!$N$7 * Performance!$E$15 * Constraints!$N$5 ) * Constraints!A710 + 0.605 /Performance!$E$15 * (Performance!$E$16  - Constraints!$N$6 * Performance!$E$14) + Constraints!$N$6</f>
        <v>0.44115677228566619</v>
      </c>
      <c r="G710" s="54" t="s">
        <v>198</v>
      </c>
      <c r="H710" s="55">
        <f>SQRT(2/$V$3 * A710 * SQRT(Performance!$E$23 / (3 * Performance!$E$12)))</f>
        <v>23.199675757415211</v>
      </c>
      <c r="I710" s="55">
        <f>SQRT(2/$V$3 * A710 * (SQRT(Performance!$E$23)/(SQRT(3*Performance!$E$12 + 4* Performance!$E$23 * Performance!$E$11^2) - SQRT(Performance!$E$23)*Performance!$E$11)))</f>
        <v>24.404551809953521</v>
      </c>
      <c r="J710" t="e">
        <f xml:space="preserve"> $AC$3/G710 + $AC$6/A710 * Performance!$E$12 + Performance!$E$23/Constraints!$AC$6 * Constraints!A710</f>
        <v>#VALUE!</v>
      </c>
      <c r="K710">
        <f xml:space="preserve"> $AC$3/H710 + $AC$6/A710 * Performance!$E$12 + Performance!$E$23/Constraints!$AC$6 * Constraints!A710</f>
        <v>1.3572672493577524</v>
      </c>
      <c r="L710">
        <f xml:space="preserve"> $AC$3/I710 + $AC$6/A710 * Performance!$E$12 + Performance!$E$23/Constraints!$AC$6 * Constraints!A710</f>
        <v>1.3464565613602284</v>
      </c>
      <c r="M710">
        <f>SIN($AC$9 * PI()/180) + 1/Performance!$AE$5</f>
        <v>0.24073077270730886</v>
      </c>
      <c r="N710">
        <f>SIN($AC$9 * PI()/180) + 1/Performance!$AE$8</f>
        <v>0.22738716112204788</v>
      </c>
      <c r="O710" s="60">
        <f>$AC$16 * (Performance!$E$12/Constraints!A710 + Performance!$E$23 * (Constraints!$AC$13/Constraints!$AC$17)^2 * Constraints!A710)</f>
        <v>2.2948436833874599E-4</v>
      </c>
      <c r="P710" t="e">
        <f t="shared" si="43"/>
        <v>#VALUE!</v>
      </c>
      <c r="Q710">
        <f t="shared" si="44"/>
        <v>141.32104943260563</v>
      </c>
      <c r="R710">
        <f t="shared" si="45"/>
        <v>156.38125565425389</v>
      </c>
      <c r="S710" t="e">
        <f xml:space="preserve"> 1.667/G710 + P710/A710 * Performance!$E$12 + Performance!$E$23 / Constraints!P710 * Constraints!A710</f>
        <v>#VALUE!</v>
      </c>
      <c r="T710">
        <f xml:space="preserve"> 1.667/H710 + Q710/A710 * Performance!$E$12 + Performance!$E$23 / Constraints!Q710 * Constraints!A710</f>
        <v>0.17776742007763013</v>
      </c>
      <c r="U710">
        <f xml:space="preserve"> 1.667/I710 + R710/A710 * Performance!$E$12 + Performance!$E$23 / Constraints!R710 * Constraints!A710</f>
        <v>0.16644967517530318</v>
      </c>
    </row>
    <row r="711" spans="1:21" x14ac:dyDescent="0.3">
      <c r="A711" s="51">
        <v>354.5</v>
      </c>
      <c r="B711" s="50">
        <f>$V$4*Performance!$E$12*(1/A711)+Performance!$E$23*(1/Constraints!$V$4)*Constraints!A711</f>
        <v>9.4154682980872845E-2</v>
      </c>
      <c r="C711" s="50">
        <f>$V$5*Performance!$E$12*(1/A711)+Performance!$E$23*(1/Constraints!$V$5)*Constraints!A711</f>
        <v>0.13405769788780175</v>
      </c>
      <c r="D711" s="52">
        <f t="shared" si="42"/>
        <v>0.44162557001048819</v>
      </c>
      <c r="E711" s="52">
        <f>$V$4*Performance!$E$12*(1/A711)+Performance!$E$23*(1/Constraints!$V$9)*Constraints!A711</f>
        <v>9.2553704200915826E-2</v>
      </c>
      <c r="F711" s="52">
        <f xml:space="preserve"> 1.21 / (9.81 * Constraints!$N$7 * Performance!$E$15 * Constraints!$N$5 ) * Constraints!A711 + 0.605 /Performance!$E$15 * (Performance!$E$16  - Constraints!$N$6 * Performance!$E$14) + Constraints!$N$6</f>
        <v>0.44142878043861206</v>
      </c>
      <c r="G711" s="54" t="s">
        <v>198</v>
      </c>
      <c r="H711" s="55">
        <f>SQRT(2/$V$3 * A711 * SQRT(Performance!$E$23 / (3 * Performance!$E$12)))</f>
        <v>23.216053928009632</v>
      </c>
      <c r="I711" s="55">
        <f>SQRT(2/$V$3 * A711 * (SQRT(Performance!$E$23)/(SQRT(3*Performance!$E$12 + 4* Performance!$E$23 * Performance!$E$11^2) - SQRT(Performance!$E$23)*Performance!$E$11)))</f>
        <v>24.421780581467541</v>
      </c>
      <c r="J711" t="e">
        <f xml:space="preserve"> $AC$3/G711 + $AC$6/A711 * Performance!$E$12 + Performance!$E$23/Constraints!$AC$6 * Constraints!A711</f>
        <v>#VALUE!</v>
      </c>
      <c r="K711">
        <f xml:space="preserve"> $AC$3/H711 + $AC$6/A711 * Performance!$E$12 + Performance!$E$23/Constraints!$AC$6 * Constraints!A711</f>
        <v>1.3587177482771124</v>
      </c>
      <c r="L711">
        <f xml:space="preserve"> $AC$3/I711 + $AC$6/A711 * Performance!$E$12 + Performance!$E$23/Constraints!$AC$6 * Constraints!A711</f>
        <v>1.3479146868681902</v>
      </c>
      <c r="M711">
        <f>SIN($AC$9 * PI()/180) + 1/Performance!$AE$5</f>
        <v>0.24073077270730886</v>
      </c>
      <c r="N711">
        <f>SIN($AC$9 * PI()/180) + 1/Performance!$AE$8</f>
        <v>0.22738716112204788</v>
      </c>
      <c r="O711" s="60">
        <f>$AC$16 * (Performance!$E$12/Constraints!A711 + Performance!$E$23 * (Constraints!$AC$13/Constraints!$AC$17)^2 * Constraints!A711)</f>
        <v>2.2961254702535532E-4</v>
      </c>
      <c r="P711" t="e">
        <f t="shared" si="43"/>
        <v>#VALUE!</v>
      </c>
      <c r="Q711">
        <f t="shared" si="44"/>
        <v>141.52065543462905</v>
      </c>
      <c r="R711">
        <f t="shared" si="45"/>
        <v>156.60213313399152</v>
      </c>
      <c r="S711" t="e">
        <f xml:space="preserve"> 1.667/G711 + P711/A711 * Performance!$E$12 + Performance!$E$23 / Constraints!P711 * Constraints!A711</f>
        <v>#VALUE!</v>
      </c>
      <c r="T711">
        <f xml:space="preserve"> 1.667/H711 + Q711/A711 * Performance!$E$12 + Performance!$E$23 / Constraints!Q711 * Constraints!A711</f>
        <v>0.17771672909953132</v>
      </c>
      <c r="U711">
        <f xml:space="preserve"> 1.667/I711 + R711/A711 * Performance!$E$12 + Performance!$E$23 / Constraints!R711 * Constraints!A711</f>
        <v>0.16640148685925144</v>
      </c>
    </row>
    <row r="712" spans="1:21" x14ac:dyDescent="0.3">
      <c r="A712" s="51">
        <v>355</v>
      </c>
      <c r="B712" s="50">
        <f>$V$4*Performance!$E$12*(1/A712)+Performance!$E$23*(1/Constraints!$V$4)*Constraints!A712</f>
        <v>9.4061656833065027E-2</v>
      </c>
      <c r="C712" s="50">
        <f>$V$5*Performance!$E$12*(1/A712)+Performance!$E$23*(1/Constraints!$V$5)*Constraints!A712</f>
        <v>0.13389424206079131</v>
      </c>
      <c r="D712" s="52">
        <f t="shared" si="42"/>
        <v>0.44189785572277374</v>
      </c>
      <c r="E712" s="52">
        <f>$V$4*Performance!$E$12*(1/A712)+Performance!$E$23*(1/Constraints!$V$9)*Constraints!A712</f>
        <v>9.245841997302344E-2</v>
      </c>
      <c r="F712" s="52">
        <f xml:space="preserve"> 1.21 / (9.81 * Constraints!$N$7 * Performance!$E$15 * Constraints!$N$5 ) * Constraints!A712 + 0.605 /Performance!$E$15 * (Performance!$E$16  - Constraints!$N$6 * Performance!$E$14) + Constraints!$N$6</f>
        <v>0.44170078859155792</v>
      </c>
      <c r="G712" s="54" t="s">
        <v>198</v>
      </c>
      <c r="H712" s="55">
        <f>SQRT(2/$V$3 * A712 * SQRT(Performance!$E$23 / (3 * Performance!$E$12)))</f>
        <v>23.232420552480193</v>
      </c>
      <c r="I712" s="55">
        <f>SQRT(2/$V$3 * A712 * (SQRT(Performance!$E$23)/(SQRT(3*Performance!$E$12 + 4* Performance!$E$23 * Performance!$E$11^2) - SQRT(Performance!$E$23)*Performance!$E$11)))</f>
        <v>24.438997207209312</v>
      </c>
      <c r="J712" t="e">
        <f xml:space="preserve"> $AC$3/G712 + $AC$6/A712 * Performance!$E$12 + Performance!$E$23/Constraints!$AC$6 * Constraints!A712</f>
        <v>#VALUE!</v>
      </c>
      <c r="K712">
        <f xml:space="preserve"> $AC$3/H712 + $AC$6/A712 * Performance!$E$12 + Performance!$E$23/Constraints!$AC$6 * Constraints!A712</f>
        <v>1.3601685775976897</v>
      </c>
      <c r="L712">
        <f xml:space="preserve"> $AC$3/I712 + $AC$6/A712 * Performance!$E$12 + Performance!$E$23/Constraints!$AC$6 * Constraints!A712</f>
        <v>1.3493731266591793</v>
      </c>
      <c r="M712">
        <f>SIN($AC$9 * PI()/180) + 1/Performance!$AE$5</f>
        <v>0.24073077270730886</v>
      </c>
      <c r="N712">
        <f>SIN($AC$9 * PI()/180) + 1/Performance!$AE$8</f>
        <v>0.22738716112204788</v>
      </c>
      <c r="O712" s="60">
        <f>$AC$16 * (Performance!$E$12/Constraints!A712 + Performance!$E$23 * (Constraints!$AC$13/Constraints!$AC$17)^2 * Constraints!A712)</f>
        <v>2.2974100150561366E-4</v>
      </c>
      <c r="P712" t="e">
        <f t="shared" si="43"/>
        <v>#VALUE!</v>
      </c>
      <c r="Q712">
        <f t="shared" si="44"/>
        <v>141.72026143665252</v>
      </c>
      <c r="R712">
        <f t="shared" si="45"/>
        <v>156.8230106137292</v>
      </c>
      <c r="S712" t="e">
        <f xml:space="preserve"> 1.667/G712 + P712/A712 * Performance!$E$12 + Performance!$E$23 / Constraints!P712 * Constraints!A712</f>
        <v>#VALUE!</v>
      </c>
      <c r="T712">
        <f xml:space="preserve"> 1.667/H712 + Q712/A712 * Performance!$E$12 + Performance!$E$23 / Constraints!Q712 * Constraints!A712</f>
        <v>0.17766614525279262</v>
      </c>
      <c r="U712">
        <f xml:space="preserve"> 1.667/I712 + R712/A712 * Performance!$E$12 + Performance!$E$23 / Constraints!R712 * Constraints!A712</f>
        <v>0.16635340038538216</v>
      </c>
    </row>
    <row r="713" spans="1:21" x14ac:dyDescent="0.3">
      <c r="A713" s="51">
        <v>355.5</v>
      </c>
      <c r="B713" s="50">
        <f>$V$4*Performance!$E$12*(1/A713)+Performance!$E$23*(1/Constraints!$V$4)*Constraints!A713</f>
        <v>9.3968948078048398E-2</v>
      </c>
      <c r="C713" s="50">
        <f>$V$5*Performance!$E$12*(1/A713)+Performance!$E$23*(1/Constraints!$V$5)*Constraints!A713</f>
        <v>0.13373128171529453</v>
      </c>
      <c r="D713" s="52">
        <f t="shared" si="42"/>
        <v>0.44217014143505939</v>
      </c>
      <c r="E713" s="52">
        <f>$V$4*Performance!$E$12*(1/A713)+Performance!$E$23*(1/Constraints!$V$9)*Constraints!A713</f>
        <v>9.2363453137922241E-2</v>
      </c>
      <c r="F713" s="52">
        <f xml:space="preserve"> 1.21 / (9.81 * Constraints!$N$7 * Performance!$E$15 * Constraints!$N$5 ) * Constraints!A713 + 0.605 /Performance!$E$15 * (Performance!$E$16  - Constraints!$N$6 * Performance!$E$14) + Constraints!$N$6</f>
        <v>0.44197279674450379</v>
      </c>
      <c r="G713" s="54" t="s">
        <v>198</v>
      </c>
      <c r="H713" s="55">
        <f>SQRT(2/$V$3 * A713 * SQRT(Performance!$E$23 / (3 * Performance!$E$12)))</f>
        <v>23.248775655211539</v>
      </c>
      <c r="I713" s="55">
        <f>SQRT(2/$V$3 * A713 * (SQRT(Performance!$E$23)/(SQRT(3*Performance!$E$12 + 4* Performance!$E$23 * Performance!$E$11^2) - SQRT(Performance!$E$23)*Performance!$E$11)))</f>
        <v>24.456201712829895</v>
      </c>
      <c r="J713" t="e">
        <f xml:space="preserve"> $AC$3/G713 + $AC$6/A713 * Performance!$E$12 + Performance!$E$23/Constraints!$AC$6 * Constraints!A713</f>
        <v>#VALUE!</v>
      </c>
      <c r="K713">
        <f xml:space="preserve"> $AC$3/H713 + $AC$6/A713 * Performance!$E$12 + Performance!$E$23/Constraints!$AC$6 * Constraints!A713</f>
        <v>1.3616197361545685</v>
      </c>
      <c r="L713">
        <f xml:space="preserve"> $AC$3/I713 + $AC$6/A713 * Performance!$E$12 + Performance!$E$23/Constraints!$AC$6 * Constraints!A713</f>
        <v>1.3508318796249745</v>
      </c>
      <c r="M713">
        <f>SIN($AC$9 * PI()/180) + 1/Performance!$AE$5</f>
        <v>0.24073077270730886</v>
      </c>
      <c r="N713">
        <f>SIN($AC$9 * PI()/180) + 1/Performance!$AE$8</f>
        <v>0.22738716112204788</v>
      </c>
      <c r="O713" s="60">
        <f>$AC$16 * (Performance!$E$12/Constraints!A713 + Performance!$E$23 * (Constraints!$AC$13/Constraints!$AC$17)^2 * Constraints!A713)</f>
        <v>2.2986973061583471E-4</v>
      </c>
      <c r="P713" t="e">
        <f t="shared" si="43"/>
        <v>#VALUE!</v>
      </c>
      <c r="Q713">
        <f t="shared" si="44"/>
        <v>141.91986743867602</v>
      </c>
      <c r="R713">
        <f t="shared" si="45"/>
        <v>157.04388809346682</v>
      </c>
      <c r="S713" t="e">
        <f xml:space="preserve"> 1.667/G713 + P713/A713 * Performance!$E$12 + Performance!$E$23 / Constraints!P713 * Constraints!A713</f>
        <v>#VALUE!</v>
      </c>
      <c r="T713">
        <f xml:space="preserve"> 1.667/H713 + Q713/A713 * Performance!$E$12 + Performance!$E$23 / Constraints!Q713 * Constraints!A713</f>
        <v>0.17761566816058894</v>
      </c>
      <c r="U713">
        <f xml:space="preserve"> 1.667/I713 + R713/A713 * Performance!$E$12 + Performance!$E$23 / Constraints!R713 * Constraints!A713</f>
        <v>0.16630541539547447</v>
      </c>
    </row>
    <row r="714" spans="1:21" x14ac:dyDescent="0.3">
      <c r="A714" s="51">
        <v>356</v>
      </c>
      <c r="B714" s="50">
        <f>$V$4*Performance!$E$12*(1/A714)+Performance!$E$23*(1/Constraints!$V$4)*Constraints!A714</f>
        <v>9.3876555378493765E-2</v>
      </c>
      <c r="C714" s="50">
        <f>$V$5*Performance!$E$12*(1/A714)+Performance!$E$23*(1/Constraints!$V$5)*Constraints!A714</f>
        <v>0.13356881476360841</v>
      </c>
      <c r="D714" s="52">
        <f t="shared" si="42"/>
        <v>0.44244242714734494</v>
      </c>
      <c r="E714" s="52">
        <f>$V$4*Performance!$E$12*(1/A714)+Performance!$E$23*(1/Constraints!$V$9)*Constraints!A714</f>
        <v>9.2268802358283039E-2</v>
      </c>
      <c r="F714" s="52">
        <f xml:space="preserve"> 1.21 / (9.81 * Constraints!$N$7 * Performance!$E$15 * Constraints!$N$5 ) * Constraints!A714 + 0.605 /Performance!$E$15 * (Performance!$E$16  - Constraints!$N$6 * Performance!$E$14) + Constraints!$N$6</f>
        <v>0.44224480489744966</v>
      </c>
      <c r="G714" s="54" t="s">
        <v>198</v>
      </c>
      <c r="H714" s="55">
        <f>SQRT(2/$V$3 * A714 * SQRT(Performance!$E$23 / (3 * Performance!$E$12)))</f>
        <v>23.265119260502605</v>
      </c>
      <c r="I714" s="55">
        <f>SQRT(2/$V$3 * A714 * (SQRT(Performance!$E$23)/(SQRT(3*Performance!$E$12 + 4* Performance!$E$23 * Performance!$E$11^2) - SQRT(Performance!$E$23)*Performance!$E$11)))</f>
        <v>24.473394123890198</v>
      </c>
      <c r="J714" t="e">
        <f xml:space="preserve"> $AC$3/G714 + $AC$6/A714 * Performance!$E$12 + Performance!$E$23/Constraints!$AC$6 * Constraints!A714</f>
        <v>#VALUE!</v>
      </c>
      <c r="K714">
        <f xml:space="preserve"> $AC$3/H714 + $AC$6/A714 * Performance!$E$12 + Performance!$E$23/Constraints!$AC$6 * Constraints!A714</f>
        <v>1.3630712227885728</v>
      </c>
      <c r="L714">
        <f xml:space="preserve"> $AC$3/I714 + $AC$6/A714 * Performance!$E$12 + Performance!$E$23/Constraints!$AC$6 * Constraints!A714</f>
        <v>1.3522909446628151</v>
      </c>
      <c r="M714">
        <f>SIN($AC$9 * PI()/180) + 1/Performance!$AE$5</f>
        <v>0.24073077270730886</v>
      </c>
      <c r="N714">
        <f>SIN($AC$9 * PI()/180) + 1/Performance!$AE$8</f>
        <v>0.22738716112204788</v>
      </c>
      <c r="O714" s="60">
        <f>$AC$16 * (Performance!$E$12/Constraints!A714 + Performance!$E$23 * (Constraints!$AC$13/Constraints!$AC$17)^2 * Constraints!A714)</f>
        <v>2.299987331988697E-4</v>
      </c>
      <c r="P714" t="e">
        <f t="shared" si="43"/>
        <v>#VALUE!</v>
      </c>
      <c r="Q714">
        <f t="shared" si="44"/>
        <v>142.11947344069947</v>
      </c>
      <c r="R714">
        <f t="shared" si="45"/>
        <v>157.26476557320444</v>
      </c>
      <c r="S714" t="e">
        <f xml:space="preserve"> 1.667/G714 + P714/A714 * Performance!$E$12 + Performance!$E$23 / Constraints!P714 * Constraints!A714</f>
        <v>#VALUE!</v>
      </c>
      <c r="T714">
        <f xml:space="preserve"> 1.667/H714 + Q714/A714 * Performance!$E$12 + Performance!$E$23 / Constraints!Q714 * Constraints!A714</f>
        <v>0.17756529744794813</v>
      </c>
      <c r="U714">
        <f xml:space="preserve"> 1.667/I714 + R714/A714 * Performance!$E$12 + Performance!$E$23 / Constraints!R714 * Constraints!A714</f>
        <v>0.16625753153306899</v>
      </c>
    </row>
    <row r="715" spans="1:21" x14ac:dyDescent="0.3">
      <c r="A715" s="51">
        <v>356.5</v>
      </c>
      <c r="B715" s="50">
        <f>$V$4*Performance!$E$12*(1/A715)+Performance!$E$23*(1/Constraints!$V$4)*Constraints!A715</f>
        <v>9.3784477404574504E-2</v>
      </c>
      <c r="C715" s="50">
        <f>$V$5*Performance!$E$12*(1/A715)+Performance!$E$23*(1/Constraints!$V$5)*Constraints!A715</f>
        <v>0.13340683912974219</v>
      </c>
      <c r="D715" s="52">
        <f t="shared" si="42"/>
        <v>0.44271471285963054</v>
      </c>
      <c r="E715" s="52">
        <f>$V$4*Performance!$E$12*(1/A715)+Performance!$E$23*(1/Constraints!$V$9)*Constraints!A715</f>
        <v>9.2174466304279223E-2</v>
      </c>
      <c r="F715" s="52">
        <f xml:space="preserve"> 1.21 / (9.81 * Constraints!$N$7 * Performance!$E$15 * Constraints!$N$5 ) * Constraints!A715 + 0.605 /Performance!$E$15 * (Performance!$E$16  - Constraints!$N$6 * Performance!$E$14) + Constraints!$N$6</f>
        <v>0.44251681305039547</v>
      </c>
      <c r="G715" s="54" t="s">
        <v>198</v>
      </c>
      <c r="H715" s="55">
        <f>SQRT(2/$V$3 * A715 * SQRT(Performance!$E$23 / (3 * Performance!$E$12)))</f>
        <v>23.281451392567039</v>
      </c>
      <c r="I715" s="55">
        <f>SQRT(2/$V$3 * A715 * (SQRT(Performance!$E$23)/(SQRT(3*Performance!$E$12 + 4* Performance!$E$23 * Performance!$E$11^2) - SQRT(Performance!$E$23)*Performance!$E$11)))</f>
        <v>24.490574465861407</v>
      </c>
      <c r="J715" t="e">
        <f xml:space="preserve"> $AC$3/G715 + $AC$6/A715 * Performance!$E$12 + Performance!$E$23/Constraints!$AC$6 * Constraints!A715</f>
        <v>#VALUE!</v>
      </c>
      <c r="K715">
        <f xml:space="preserve"> $AC$3/H715 + $AC$6/A715 * Performance!$E$12 + Performance!$E$23/Constraints!$AC$6 * Constraints!A715</f>
        <v>1.3645230363462297</v>
      </c>
      <c r="L715">
        <f xml:space="preserve"> $AC$3/I715 + $AC$6/A715 * Performance!$E$12 + Performance!$E$23/Constraints!$AC$6 * Constraints!A715</f>
        <v>1.3537503206753667</v>
      </c>
      <c r="M715">
        <f>SIN($AC$9 * PI()/180) + 1/Performance!$AE$5</f>
        <v>0.24073077270730886</v>
      </c>
      <c r="N715">
        <f>SIN($AC$9 * PI()/180) + 1/Performance!$AE$8</f>
        <v>0.22738716112204788</v>
      </c>
      <c r="O715" s="60">
        <f>$AC$16 * (Performance!$E$12/Constraints!A715 + Performance!$E$23 * (Constraints!$AC$13/Constraints!$AC$17)^2 * Constraints!A715)</f>
        <v>2.3012800810406168E-4</v>
      </c>
      <c r="P715" t="e">
        <f t="shared" si="43"/>
        <v>#VALUE!</v>
      </c>
      <c r="Q715">
        <f t="shared" si="44"/>
        <v>142.31907944272291</v>
      </c>
      <c r="R715">
        <f t="shared" si="45"/>
        <v>157.48564305294212</v>
      </c>
      <c r="S715" t="e">
        <f xml:space="preserve"> 1.667/G715 + P715/A715 * Performance!$E$12 + Performance!$E$23 / Constraints!P715 * Constraints!A715</f>
        <v>#VALUE!</v>
      </c>
      <c r="T715">
        <f xml:space="preserve"> 1.667/H715 + Q715/A715 * Performance!$E$12 + Performance!$E$23 / Constraints!Q715 * Constraints!A715</f>
        <v>0.17751503274173949</v>
      </c>
      <c r="U715">
        <f xml:space="preserve"> 1.667/I715 + R715/A715 * Performance!$E$12 + Performance!$E$23 / Constraints!R715 * Constraints!A715</f>
        <v>0.16620974844345665</v>
      </c>
    </row>
    <row r="716" spans="1:21" x14ac:dyDescent="0.3">
      <c r="A716" s="51">
        <v>357</v>
      </c>
      <c r="B716" s="50">
        <f>$V$4*Performance!$E$12*(1/A716)+Performance!$E$23*(1/Constraints!$V$4)*Constraints!A716</f>
        <v>9.3692712833914005E-2</v>
      </c>
      <c r="C716" s="50">
        <f>$V$5*Performance!$E$12*(1/A716)+Performance!$E$23*(1/Constraints!$V$5)*Constraints!A716</f>
        <v>0.13324535274933522</v>
      </c>
      <c r="D716" s="52">
        <f t="shared" si="42"/>
        <v>0.44298699857191615</v>
      </c>
      <c r="E716" s="52">
        <f>$V$4*Performance!$E$12*(1/A716)+Performance!$E$23*(1/Constraints!$V$9)*Constraints!A716</f>
        <v>9.2080443653534155E-2</v>
      </c>
      <c r="F716" s="52">
        <f xml:space="preserve"> 1.21 / (9.81 * Constraints!$N$7 * Performance!$E$15 * Constraints!$N$5 ) * Constraints!A716 + 0.605 /Performance!$E$15 * (Performance!$E$16  - Constraints!$N$6 * Performance!$E$14) + Constraints!$N$6</f>
        <v>0.44278882120334134</v>
      </c>
      <c r="G716" s="54" t="s">
        <v>198</v>
      </c>
      <c r="H716" s="55">
        <f>SQRT(2/$V$3 * A716 * SQRT(Performance!$E$23 / (3 * Performance!$E$12)))</f>
        <v>23.297772075533622</v>
      </c>
      <c r="I716" s="55">
        <f>SQRT(2/$V$3 * A716 * (SQRT(Performance!$E$23)/(SQRT(3*Performance!$E$12 + 4* Performance!$E$23 * Performance!$E$11^2) - SQRT(Performance!$E$23)*Performance!$E$11)))</f>
        <v>24.507742764125425</v>
      </c>
      <c r="J716" t="e">
        <f xml:space="preserve"> $AC$3/G716 + $AC$6/A716 * Performance!$E$12 + Performance!$E$23/Constraints!$AC$6 * Constraints!A716</f>
        <v>#VALUE!</v>
      </c>
      <c r="K716">
        <f xml:space="preserve"> $AC$3/H716 + $AC$6/A716 * Performance!$E$12 + Performance!$E$23/Constraints!$AC$6 * Constraints!A716</f>
        <v>1.3659751756797345</v>
      </c>
      <c r="L716">
        <f xml:space="preserve"> $AC$3/I716 + $AC$6/A716 * Performance!$E$12 + Performance!$E$23/Constraints!$AC$6 * Constraints!A716</f>
        <v>1.355210006570688</v>
      </c>
      <c r="M716">
        <f>SIN($AC$9 * PI()/180) + 1/Performance!$AE$5</f>
        <v>0.24073077270730886</v>
      </c>
      <c r="N716">
        <f>SIN($AC$9 * PI()/180) + 1/Performance!$AE$8</f>
        <v>0.22738716112204788</v>
      </c>
      <c r="O716" s="60">
        <f>$AC$16 * (Performance!$E$12/Constraints!A716 + Performance!$E$23 * (Constraints!$AC$13/Constraints!$AC$17)^2 * Constraints!A716)</f>
        <v>2.3025755418719992E-4</v>
      </c>
      <c r="P716" t="e">
        <f t="shared" si="43"/>
        <v>#VALUE!</v>
      </c>
      <c r="Q716">
        <f t="shared" si="44"/>
        <v>142.51868544474635</v>
      </c>
      <c r="R716">
        <f t="shared" si="45"/>
        <v>157.70652053267975</v>
      </c>
      <c r="S716" t="e">
        <f xml:space="preserve"> 1.667/G716 + P716/A716 * Performance!$E$12 + Performance!$E$23 / Constraints!P716 * Constraints!A716</f>
        <v>#VALUE!</v>
      </c>
      <c r="T716">
        <f xml:space="preserve"> 1.667/H716 + Q716/A716 * Performance!$E$12 + Performance!$E$23 / Constraints!Q716 * Constraints!A716</f>
        <v>0.17746487367066183</v>
      </c>
      <c r="U716">
        <f xml:space="preserve"> 1.667/I716 + R716/A716 * Performance!$E$12 + Performance!$E$23 / Constraints!R716 * Constraints!A716</f>
        <v>0.16616206577366796</v>
      </c>
    </row>
    <row r="717" spans="1:21" x14ac:dyDescent="0.3">
      <c r="A717" s="51">
        <v>357.5</v>
      </c>
      <c r="B717" s="50">
        <f>$V$4*Performance!$E$12*(1/A717)+Performance!$E$23*(1/Constraints!$V$4)*Constraints!A717</f>
        <v>9.360126035153353E-2</v>
      </c>
      <c r="C717" s="50">
        <f>$V$5*Performance!$E$12*(1/A717)+Performance!$E$23*(1/Constraints!$V$5)*Constraints!A717</f>
        <v>0.13308435356957585</v>
      </c>
      <c r="D717" s="52">
        <f t="shared" si="42"/>
        <v>0.44325928428420175</v>
      </c>
      <c r="E717" s="52">
        <f>$V$4*Performance!$E$12*(1/A717)+Performance!$E$23*(1/Constraints!$V$9)*Constraints!A717</f>
        <v>9.1986733091069112E-2</v>
      </c>
      <c r="F717" s="52">
        <f xml:space="preserve"> 1.21 / (9.81 * Constraints!$N$7 * Performance!$E$15 * Constraints!$N$5 ) * Constraints!A717 + 0.605 /Performance!$E$15 * (Performance!$E$16  - Constraints!$N$6 * Performance!$E$14) + Constraints!$N$6</f>
        <v>0.44306082935628721</v>
      </c>
      <c r="G717" s="54" t="s">
        <v>198</v>
      </c>
      <c r="H717" s="55">
        <f>SQRT(2/$V$3 * A717 * SQRT(Performance!$E$23 / (3 * Performance!$E$12)))</f>
        <v>23.314081333446676</v>
      </c>
      <c r="I717" s="55">
        <f>SQRT(2/$V$3 * A717 * (SQRT(Performance!$E$23)/(SQRT(3*Performance!$E$12 + 4* Performance!$E$23 * Performance!$E$11^2) - SQRT(Performance!$E$23)*Performance!$E$11)))</f>
        <v>24.524899043975321</v>
      </c>
      <c r="J717" t="e">
        <f xml:space="preserve"> $AC$3/G717 + $AC$6/A717 * Performance!$E$12 + Performance!$E$23/Constraints!$AC$6 * Constraints!A717</f>
        <v>#VALUE!</v>
      </c>
      <c r="K717">
        <f xml:space="preserve"> $AC$3/H717 + $AC$6/A717 * Performance!$E$12 + Performance!$E$23/Constraints!$AC$6 * Constraints!A717</f>
        <v>1.3674276396469147</v>
      </c>
      <c r="L717">
        <f xml:space="preserve"> $AC$3/I717 + $AC$6/A717 * Performance!$E$12 + Performance!$E$23/Constraints!$AC$6 * Constraints!A717</f>
        <v>1.3566700012621959</v>
      </c>
      <c r="M717">
        <f>SIN($AC$9 * PI()/180) + 1/Performance!$AE$5</f>
        <v>0.24073077270730886</v>
      </c>
      <c r="N717">
        <f>SIN($AC$9 * PI()/180) + 1/Performance!$AE$8</f>
        <v>0.22738716112204788</v>
      </c>
      <c r="O717" s="60">
        <f>$AC$16 * (Performance!$E$12/Constraints!A717 + Performance!$E$23 * (Constraints!$AC$13/Constraints!$AC$17)^2 * Constraints!A717)</f>
        <v>2.3038737031047483E-4</v>
      </c>
      <c r="P717" t="e">
        <f t="shared" si="43"/>
        <v>#VALUE!</v>
      </c>
      <c r="Q717">
        <f t="shared" si="44"/>
        <v>142.7182914467698</v>
      </c>
      <c r="R717">
        <f t="shared" si="45"/>
        <v>157.92739801241743</v>
      </c>
      <c r="S717" t="e">
        <f xml:space="preserve"> 1.667/G717 + P717/A717 * Performance!$E$12 + Performance!$E$23 / Constraints!P717 * Constraints!A717</f>
        <v>#VALUE!</v>
      </c>
      <c r="T717">
        <f xml:space="preserve"> 1.667/H717 + Q717/A717 * Performance!$E$12 + Performance!$E$23 / Constraints!Q717 * Constraints!A717</f>
        <v>0.17741481986523219</v>
      </c>
      <c r="U717">
        <f xml:space="preserve"> 1.667/I717 + R717/A717 * Performance!$E$12 + Performance!$E$23 / Constraints!R717 * Constraints!A717</f>
        <v>0.16611448317246164</v>
      </c>
    </row>
    <row r="718" spans="1:21" x14ac:dyDescent="0.3">
      <c r="A718" s="51">
        <v>358</v>
      </c>
      <c r="B718" s="50">
        <f>$V$4*Performance!$E$12*(1/A718)+Performance!$E$23*(1/Constraints!$V$4)*Constraints!A718</f>
        <v>9.3510118649800661E-2</v>
      </c>
      <c r="C718" s="50">
        <f>$V$5*Performance!$E$12*(1/A718)+Performance!$E$23*(1/Constraints!$V$5)*Constraints!A718</f>
        <v>0.13292383954912054</v>
      </c>
      <c r="D718" s="52">
        <f t="shared" si="42"/>
        <v>0.44353156999648735</v>
      </c>
      <c r="E718" s="52">
        <f>$V$4*Performance!$E$12*(1/A718)+Performance!$E$23*(1/Constraints!$V$9)*Constraints!A718</f>
        <v>9.1893333309251674E-2</v>
      </c>
      <c r="F718" s="52">
        <f xml:space="preserve"> 1.21 / (9.81 * Constraints!$N$7 * Performance!$E$15 * Constraints!$N$5 ) * Constraints!A718 + 0.605 /Performance!$E$15 * (Performance!$E$16  - Constraints!$N$6 * Performance!$E$14) + Constraints!$N$6</f>
        <v>0.44333283750923302</v>
      </c>
      <c r="G718" s="54" t="s">
        <v>198</v>
      </c>
      <c r="H718" s="55">
        <f>SQRT(2/$V$3 * A718 * SQRT(Performance!$E$23 / (3 * Performance!$E$12)))</f>
        <v>23.330379190266481</v>
      </c>
      <c r="I718" s="55">
        <f>SQRT(2/$V$3 * A718 * (SQRT(Performance!$E$23)/(SQRT(3*Performance!$E$12 + 4* Performance!$E$23 * Performance!$E$11^2) - SQRT(Performance!$E$23)*Performance!$E$11)))</f>
        <v>24.542043330615748</v>
      </c>
      <c r="J718" t="e">
        <f xml:space="preserve"> $AC$3/G718 + $AC$6/A718 * Performance!$E$12 + Performance!$E$23/Constraints!$AC$6 * Constraints!A718</f>
        <v>#VALUE!</v>
      </c>
      <c r="K718">
        <f xml:space="preserve"> $AC$3/H718 + $AC$6/A718 * Performance!$E$12 + Performance!$E$23/Constraints!$AC$6 * Constraints!A718</f>
        <v>1.3688804271111938</v>
      </c>
      <c r="L718">
        <f xml:space="preserve"> $AC$3/I718 + $AC$6/A718 * Performance!$E$12 + Performance!$E$23/Constraints!$AC$6 * Constraints!A718</f>
        <v>1.3581303036686321</v>
      </c>
      <c r="M718">
        <f>SIN($AC$9 * PI()/180) + 1/Performance!$AE$5</f>
        <v>0.24073077270730886</v>
      </c>
      <c r="N718">
        <f>SIN($AC$9 * PI()/180) + 1/Performance!$AE$8</f>
        <v>0.22738716112204788</v>
      </c>
      <c r="O718" s="60">
        <f>$AC$16 * (Performance!$E$12/Constraints!A718 + Performance!$E$23 * (Constraints!$AC$13/Constraints!$AC$17)^2 * Constraints!A718)</f>
        <v>2.3051745534243334E-4</v>
      </c>
      <c r="P718" t="e">
        <f t="shared" si="43"/>
        <v>#VALUE!</v>
      </c>
      <c r="Q718">
        <f t="shared" si="44"/>
        <v>142.91789744879324</v>
      </c>
      <c r="R718">
        <f t="shared" si="45"/>
        <v>158.14827549215502</v>
      </c>
      <c r="S718" t="e">
        <f xml:space="preserve"> 1.667/G718 + P718/A718 * Performance!$E$12 + Performance!$E$23 / Constraints!P718 * Constraints!A718</f>
        <v>#VALUE!</v>
      </c>
      <c r="T718">
        <f xml:space="preserve"> 1.667/H718 + Q718/A718 * Performance!$E$12 + Performance!$E$23 / Constraints!Q718 * Constraints!A718</f>
        <v>0.17736487095777459</v>
      </c>
      <c r="U718">
        <f xml:space="preserve"> 1.667/I718 + R718/A718 * Performance!$E$12 + Performance!$E$23 / Constraints!R718 * Constraints!A718</f>
        <v>0.16606700029031418</v>
      </c>
    </row>
    <row r="719" spans="1:21" x14ac:dyDescent="0.3">
      <c r="A719" s="51">
        <v>358.5</v>
      </c>
      <c r="B719" s="50">
        <f>$V$4*Performance!$E$12*(1/A719)+Performance!$E$23*(1/Constraints!$V$4)*Constraints!A719</f>
        <v>9.3419286428377935E-2</v>
      </c>
      <c r="C719" s="50">
        <f>$V$5*Performance!$E$12*(1/A719)+Performance!$E$23*(1/Constraints!$V$5)*Constraints!A719</f>
        <v>0.13276380865801407</v>
      </c>
      <c r="D719" s="52">
        <f t="shared" si="42"/>
        <v>0.44380385570877295</v>
      </c>
      <c r="E719" s="52">
        <f>$V$4*Performance!$E$12*(1/A719)+Performance!$E$23*(1/Constraints!$V$9)*Constraints!A719</f>
        <v>9.1800243007744378E-2</v>
      </c>
      <c r="F719" s="52">
        <f xml:space="preserve"> 1.21 / (9.81 * Constraints!$N$7 * Performance!$E$15 * Constraints!$N$5 ) * Constraints!A719 + 0.605 /Performance!$E$15 * (Performance!$E$16  - Constraints!$N$6 * Performance!$E$14) + Constraints!$N$6</f>
        <v>0.44360484566217895</v>
      </c>
      <c r="G719" s="54" t="s">
        <v>198</v>
      </c>
      <c r="H719" s="55">
        <f>SQRT(2/$V$3 * A719 * SQRT(Performance!$E$23 / (3 * Performance!$E$12)))</f>
        <v>23.34666566986969</v>
      </c>
      <c r="I719" s="55">
        <f>SQRT(2/$V$3 * A719 * (SQRT(Performance!$E$23)/(SQRT(3*Performance!$E$12 + 4* Performance!$E$23 * Performance!$E$11^2) - SQRT(Performance!$E$23)*Performance!$E$11)))</f>
        <v>24.559175649163397</v>
      </c>
      <c r="J719" t="e">
        <f xml:space="preserve"> $AC$3/G719 + $AC$6/A719 * Performance!$E$12 + Performance!$E$23/Constraints!$AC$6 * Constraints!A719</f>
        <v>#VALUE!</v>
      </c>
      <c r="K719">
        <f xml:space="preserve"> $AC$3/H719 + $AC$6/A719 * Performance!$E$12 + Performance!$E$23/Constraints!$AC$6 * Constraints!A719</f>
        <v>1.3703335369415572</v>
      </c>
      <c r="L719">
        <f xml:space="preserve"> $AC$3/I719 + $AC$6/A719 * Performance!$E$12 + Performance!$E$23/Constraints!$AC$6 * Constraints!A719</f>
        <v>1.3595909127140291</v>
      </c>
      <c r="M719">
        <f>SIN($AC$9 * PI()/180) + 1/Performance!$AE$5</f>
        <v>0.24073077270730886</v>
      </c>
      <c r="N719">
        <f>SIN($AC$9 * PI()/180) + 1/Performance!$AE$8</f>
        <v>0.22738716112204788</v>
      </c>
      <c r="O719" s="60">
        <f>$AC$16 * (Performance!$E$12/Constraints!A719 + Performance!$E$23 * (Constraints!$AC$13/Constraints!$AC$17)^2 * Constraints!A719)</f>
        <v>2.3064780815793448E-4</v>
      </c>
      <c r="P719" t="e">
        <f t="shared" si="43"/>
        <v>#VALUE!</v>
      </c>
      <c r="Q719">
        <f t="shared" si="44"/>
        <v>143.11750345081674</v>
      </c>
      <c r="R719">
        <f t="shared" si="45"/>
        <v>158.36915297189267</v>
      </c>
      <c r="S719" t="e">
        <f xml:space="preserve"> 1.667/G719 + P719/A719 * Performance!$E$12 + Performance!$E$23 / Constraints!P719 * Constraints!A719</f>
        <v>#VALUE!</v>
      </c>
      <c r="T719">
        <f xml:space="preserve"> 1.667/H719 + Q719/A719 * Performance!$E$12 + Performance!$E$23 / Constraints!Q719 * Constraints!A719</f>
        <v>0.17731502658240816</v>
      </c>
      <c r="U719">
        <f xml:space="preserve"> 1.667/I719 + R719/A719 * Performance!$E$12 + Performance!$E$23 / Constraints!R719 * Constraints!A719</f>
        <v>0.16601961677940866</v>
      </c>
    </row>
    <row r="720" spans="1:21" x14ac:dyDescent="0.3">
      <c r="A720" s="51">
        <v>359</v>
      </c>
      <c r="B720" s="50">
        <f>$V$4*Performance!$E$12*(1/A720)+Performance!$E$23*(1/Constraints!$V$4)*Constraints!A720</f>
        <v>9.3328762394172135E-2</v>
      </c>
      <c r="C720" s="50">
        <f>$V$5*Performance!$E$12*(1/A720)+Performance!$E$23*(1/Constraints!$V$5)*Constraints!A720</f>
        <v>0.13260425887761013</v>
      </c>
      <c r="D720" s="52">
        <f t="shared" si="42"/>
        <v>0.44407614142105856</v>
      </c>
      <c r="E720" s="52">
        <f>$V$4*Performance!$E$12*(1/A720)+Performance!$E$23*(1/Constraints!$V$9)*Constraints!A720</f>
        <v>9.1707460893454024E-2</v>
      </c>
      <c r="F720" s="52">
        <f xml:space="preserve"> 1.21 / (9.81 * Constraints!$N$7 * Performance!$E$15 * Constraints!$N$5 ) * Constraints!A720 + 0.605 /Performance!$E$15 * (Performance!$E$16  - Constraints!$N$6 * Performance!$E$14) + Constraints!$N$6</f>
        <v>0.44387685381512476</v>
      </c>
      <c r="G720" s="54" t="s">
        <v>198</v>
      </c>
      <c r="H720" s="55">
        <f>SQRT(2/$V$3 * A720 * SQRT(Performance!$E$23 / (3 * Performance!$E$12)))</f>
        <v>23.362940796049724</v>
      </c>
      <c r="I720" s="55">
        <f>SQRT(2/$V$3 * A720 * (SQRT(Performance!$E$23)/(SQRT(3*Performance!$E$12 + 4* Performance!$E$23 * Performance!$E$11^2) - SQRT(Performance!$E$23)*Performance!$E$11)))</f>
        <v>24.576296024647405</v>
      </c>
      <c r="J720" t="e">
        <f xml:space="preserve"> $AC$3/G720 + $AC$6/A720 * Performance!$E$12 + Performance!$E$23/Constraints!$AC$6 * Constraints!A720</f>
        <v>#VALUE!</v>
      </c>
      <c r="K720">
        <f xml:space="preserve"> $AC$3/H720 + $AC$6/A720 * Performance!$E$12 + Performance!$E$23/Constraints!$AC$6 * Constraints!A720</f>
        <v>1.3717869680125161</v>
      </c>
      <c r="L720">
        <f xml:space="preserve"> $AC$3/I720 + $AC$6/A720 * Performance!$E$12 + Performance!$E$23/Constraints!$AC$6 * Constraints!A720</f>
        <v>1.3610518273276777</v>
      </c>
      <c r="M720">
        <f>SIN($AC$9 * PI()/180) + 1/Performance!$AE$5</f>
        <v>0.24073077270730886</v>
      </c>
      <c r="N720">
        <f>SIN($AC$9 * PI()/180) + 1/Performance!$AE$8</f>
        <v>0.22738716112204788</v>
      </c>
      <c r="O720" s="60">
        <f>$AC$16 * (Performance!$E$12/Constraints!A720 + Performance!$E$23 * (Constraints!$AC$13/Constraints!$AC$17)^2 * Constraints!A720)</f>
        <v>2.3077842763810557E-4</v>
      </c>
      <c r="P720" t="e">
        <f t="shared" si="43"/>
        <v>#VALUE!</v>
      </c>
      <c r="Q720">
        <f t="shared" si="44"/>
        <v>143.31710945284019</v>
      </c>
      <c r="R720">
        <f t="shared" si="45"/>
        <v>158.59003045163035</v>
      </c>
      <c r="S720" t="e">
        <f xml:space="preserve"> 1.667/G720 + P720/A720 * Performance!$E$12 + Performance!$E$23 / Constraints!P720 * Constraints!A720</f>
        <v>#VALUE!</v>
      </c>
      <c r="T720">
        <f xml:space="preserve"> 1.667/H720 + Q720/A720 * Performance!$E$12 + Performance!$E$23 / Constraints!Q720 * Constraints!A720</f>
        <v>0.17726528637503641</v>
      </c>
      <c r="U720">
        <f xml:space="preserve"> 1.667/I720 + R720/A720 * Performance!$E$12 + Performance!$E$23 / Constraints!R720 * Constraints!A720</f>
        <v>0.16597233229362429</v>
      </c>
    </row>
    <row r="721" spans="1:21" x14ac:dyDescent="0.3">
      <c r="A721" s="51">
        <v>359.5</v>
      </c>
      <c r="B721" s="50">
        <f>$V$4*Performance!$E$12*(1/A721)+Performance!$E$23*(1/Constraints!$V$4)*Constraints!A721</f>
        <v>9.3238545261283889E-2</v>
      </c>
      <c r="C721" s="50">
        <f>$V$5*Performance!$E$12*(1/A721)+Performance!$E$23*(1/Constraints!$V$5)*Constraints!A721</f>
        <v>0.13244518820049267</v>
      </c>
      <c r="D721" s="52">
        <f t="shared" si="42"/>
        <v>0.4443484271333441</v>
      </c>
      <c r="E721" s="52">
        <f>$V$4*Performance!$E$12*(1/A721)+Performance!$E$23*(1/Constraints!$V$9)*Constraints!A721</f>
        <v>9.1614985680481209E-2</v>
      </c>
      <c r="F721" s="52">
        <f xml:space="preserve"> 1.21 / (9.81 * Constraints!$N$7 * Performance!$E$15 * Constraints!$N$5 ) * Constraints!A721 + 0.605 /Performance!$E$15 * (Performance!$E$16  - Constraints!$N$6 * Performance!$E$14) + Constraints!$N$6</f>
        <v>0.44414886196807063</v>
      </c>
      <c r="G721" s="54" t="s">
        <v>198</v>
      </c>
      <c r="H721" s="55">
        <f>SQRT(2/$V$3 * A721 * SQRT(Performance!$E$23 / (3 * Performance!$E$12)))</f>
        <v>23.379204592517191</v>
      </c>
      <c r="I721" s="55">
        <f>SQRT(2/$V$3 * A721 * (SQRT(Performance!$E$23)/(SQRT(3*Performance!$E$12 + 4* Performance!$E$23 * Performance!$E$11^2) - SQRT(Performance!$E$23)*Performance!$E$11)))</f>
        <v>24.593404482009788</v>
      </c>
      <c r="J721" t="e">
        <f xml:space="preserve"> $AC$3/G721 + $AC$6/A721 * Performance!$E$12 + Performance!$E$23/Constraints!$AC$6 * Constraints!A721</f>
        <v>#VALUE!</v>
      </c>
      <c r="K721">
        <f xml:space="preserve"> $AC$3/H721 + $AC$6/A721 * Performance!$E$12 + Performance!$E$23/Constraints!$AC$6 * Constraints!A721</f>
        <v>1.3732407192040734</v>
      </c>
      <c r="L721">
        <f xml:space="preserve"> $AC$3/I721 + $AC$6/A721 * Performance!$E$12 + Performance!$E$23/Constraints!$AC$6 * Constraints!A721</f>
        <v>1.3625130464440938</v>
      </c>
      <c r="M721">
        <f>SIN($AC$9 * PI()/180) + 1/Performance!$AE$5</f>
        <v>0.24073077270730886</v>
      </c>
      <c r="N721">
        <f>SIN($AC$9 * PI()/180) + 1/Performance!$AE$8</f>
        <v>0.22738716112204788</v>
      </c>
      <c r="O721" s="60">
        <f>$AC$16 * (Performance!$E$12/Constraints!A721 + Performance!$E$23 * (Constraints!$AC$13/Constraints!$AC$17)^2 * Constraints!A721)</f>
        <v>2.3090931267029843E-4</v>
      </c>
      <c r="P721" t="e">
        <f t="shared" si="43"/>
        <v>#VALUE!</v>
      </c>
      <c r="Q721">
        <f t="shared" si="44"/>
        <v>143.5167154548636</v>
      </c>
      <c r="R721">
        <f t="shared" si="45"/>
        <v>158.81090793136798</v>
      </c>
      <c r="S721" t="e">
        <f xml:space="preserve"> 1.667/G721 + P721/A721 * Performance!$E$12 + Performance!$E$23 / Constraints!P721 * Constraints!A721</f>
        <v>#VALUE!</v>
      </c>
      <c r="T721">
        <f xml:space="preserve"> 1.667/H721 + Q721/A721 * Performance!$E$12 + Performance!$E$23 / Constraints!Q721 * Constraints!A721</f>
        <v>0.17721564997333583</v>
      </c>
      <c r="U721">
        <f xml:space="preserve"> 1.667/I721 + R721/A721 * Performance!$E$12 + Performance!$E$23 / Constraints!R721 * Constraints!A721</f>
        <v>0.16592514648852591</v>
      </c>
    </row>
    <row r="722" spans="1:21" x14ac:dyDescent="0.3">
      <c r="A722" s="51">
        <v>360</v>
      </c>
      <c r="B722" s="50">
        <f>$V$4*Performance!$E$12*(1/A722)+Performance!$E$23*(1/Constraints!$V$4)*Constraints!A722</f>
        <v>9.3148633750957721E-2</v>
      </c>
      <c r="C722" s="50">
        <f>$V$5*Performance!$E$12*(1/A722)+Performance!$E$23*(1/Constraints!$V$5)*Constraints!A722</f>
        <v>0.13228659463039807</v>
      </c>
      <c r="D722" s="52">
        <f t="shared" si="42"/>
        <v>0.44462071284562976</v>
      </c>
      <c r="E722" s="52">
        <f>$V$4*Performance!$E$12*(1/A722)+Performance!$E$23*(1/Constraints!$V$9)*Constraints!A722</f>
        <v>9.1522816090070486E-2</v>
      </c>
      <c r="F722" s="52">
        <f xml:space="preserve"> 1.21 / (9.81 * Constraints!$N$7 * Performance!$E$15 * Constraints!$N$5 ) * Constraints!A722 + 0.605 /Performance!$E$15 * (Performance!$E$16  - Constraints!$N$6 * Performance!$E$14) + Constraints!$N$6</f>
        <v>0.4444208701210165</v>
      </c>
      <c r="G722" s="54" t="s">
        <v>198</v>
      </c>
      <c r="H722" s="55">
        <f>SQRT(2/$V$3 * A722 * SQRT(Performance!$E$23 / (3 * Performance!$E$12)))</f>
        <v>23.395457082900293</v>
      </c>
      <c r="I722" s="55">
        <f>SQRT(2/$V$3 * A722 * (SQRT(Performance!$E$23)/(SQRT(3*Performance!$E$12 + 4* Performance!$E$23 * Performance!$E$11^2) - SQRT(Performance!$E$23)*Performance!$E$11)))</f>
        <v>24.610501046105881</v>
      </c>
      <c r="J722" t="e">
        <f xml:space="preserve"> $AC$3/G722 + $AC$6/A722 * Performance!$E$12 + Performance!$E$23/Constraints!$AC$6 * Constraints!A722</f>
        <v>#VALUE!</v>
      </c>
      <c r="K722">
        <f xml:space="preserve"> $AC$3/H722 + $AC$6/A722 * Performance!$E$12 + Performance!$E$23/Constraints!$AC$6 * Constraints!A722</f>
        <v>1.3746947894016901</v>
      </c>
      <c r="L722">
        <f xml:space="preserve"> $AC$3/I722 + $AC$6/A722 * Performance!$E$12 + Performance!$E$23/Constraints!$AC$6 * Constraints!A722</f>
        <v>1.3639745690029847</v>
      </c>
      <c r="M722">
        <f>SIN($AC$9 * PI()/180) + 1/Performance!$AE$5</f>
        <v>0.24073077270730886</v>
      </c>
      <c r="N722">
        <f>SIN($AC$9 * PI()/180) + 1/Performance!$AE$8</f>
        <v>0.22738716112204788</v>
      </c>
      <c r="O722" s="60">
        <f>$AC$16 * (Performance!$E$12/Constraints!A722 + Performance!$E$23 * (Constraints!$AC$13/Constraints!$AC$17)^2 * Constraints!A722)</f>
        <v>2.3104046214804632E-4</v>
      </c>
      <c r="P722" t="e">
        <f t="shared" si="43"/>
        <v>#VALUE!</v>
      </c>
      <c r="Q722">
        <f t="shared" si="44"/>
        <v>143.7163214568871</v>
      </c>
      <c r="R722">
        <f t="shared" si="45"/>
        <v>159.03178541110563</v>
      </c>
      <c r="S722" t="e">
        <f xml:space="preserve"> 1.667/G722 + P722/A722 * Performance!$E$12 + Performance!$E$23 / Constraints!P722 * Constraints!A722</f>
        <v>#VALUE!</v>
      </c>
      <c r="T722">
        <f xml:space="preserve"> 1.667/H722 + Q722/A722 * Performance!$E$12 + Performance!$E$23 / Constraints!Q722 * Constraints!A722</f>
        <v>0.17716611701674467</v>
      </c>
      <c r="U722">
        <f xml:space="preserve"> 1.667/I722 + R722/A722 * Performance!$E$12 + Performance!$E$23 / Constraints!R722 * Constraints!A722</f>
        <v>0.165878059021353</v>
      </c>
    </row>
    <row r="723" spans="1:21" x14ac:dyDescent="0.3">
      <c r="A723" s="51">
        <v>360.5</v>
      </c>
      <c r="B723" s="50">
        <f>$V$4*Performance!$E$12*(1/A723)+Performance!$E$23*(1/Constraints!$V$4)*Constraints!A723</f>
        <v>9.3059026591532465E-2</v>
      </c>
      <c r="C723" s="50">
        <f>$V$5*Performance!$E$12*(1/A723)+Performance!$E$23*(1/Constraints!$V$5)*Constraints!A723</f>
        <v>0.13212847618213758</v>
      </c>
      <c r="D723" s="52">
        <f t="shared" si="42"/>
        <v>0.44489299855791531</v>
      </c>
      <c r="E723" s="52">
        <f>$V$4*Performance!$E$12*(1/A723)+Performance!$E$23*(1/Constraints!$V$9)*Constraints!A723</f>
        <v>9.1430950850560661E-2</v>
      </c>
      <c r="F723" s="52">
        <f xml:space="preserve"> 1.21 / (9.81 * Constraints!$N$7 * Performance!$E$15 * Constraints!$N$5 ) * Constraints!A723 + 0.605 /Performance!$E$15 * (Performance!$E$16  - Constraints!$N$6 * Performance!$E$14) + Constraints!$N$6</f>
        <v>0.44469287827396231</v>
      </c>
      <c r="G723" s="54" t="s">
        <v>198</v>
      </c>
      <c r="H723" s="55">
        <f>SQRT(2/$V$3 * A723 * SQRT(Performance!$E$23 / (3 * Performance!$E$12)))</f>
        <v>23.411698290745207</v>
      </c>
      <c r="I723" s="55">
        <f>SQRT(2/$V$3 * A723 * (SQRT(Performance!$E$23)/(SQRT(3*Performance!$E$12 + 4* Performance!$E$23 * Performance!$E$11^2) - SQRT(Performance!$E$23)*Performance!$E$11)))</f>
        <v>24.627585741704728</v>
      </c>
      <c r="J723" t="e">
        <f xml:space="preserve"> $AC$3/G723 + $AC$6/A723 * Performance!$E$12 + Performance!$E$23/Constraints!$AC$6 * Constraints!A723</f>
        <v>#VALUE!</v>
      </c>
      <c r="K723">
        <f xml:space="preserve"> $AC$3/H723 + $AC$6/A723 * Performance!$E$12 + Performance!$E$23/Constraints!$AC$6 * Constraints!A723</f>
        <v>1.3761491774962491</v>
      </c>
      <c r="L723">
        <f xml:space="preserve"> $AC$3/I723 + $AC$6/A723 * Performance!$E$12 + Performance!$E$23/Constraints!$AC$6 * Constraints!A723</f>
        <v>1.3654363939492185</v>
      </c>
      <c r="M723">
        <f>SIN($AC$9 * PI()/180) + 1/Performance!$AE$5</f>
        <v>0.24073077270730886</v>
      </c>
      <c r="N723">
        <f>SIN($AC$9 * PI()/180) + 1/Performance!$AE$8</f>
        <v>0.22738716112204788</v>
      </c>
      <c r="O723" s="60">
        <f>$AC$16 * (Performance!$E$12/Constraints!A723 + Performance!$E$23 * (Constraints!$AC$13/Constraints!$AC$17)^2 * Constraints!A723)</f>
        <v>2.3117187497102094E-4</v>
      </c>
      <c r="P723" t="e">
        <f t="shared" si="43"/>
        <v>#VALUE!</v>
      </c>
      <c r="Q723">
        <f t="shared" si="44"/>
        <v>143.91592745891055</v>
      </c>
      <c r="R723">
        <f t="shared" si="45"/>
        <v>159.25266289084328</v>
      </c>
      <c r="S723" t="e">
        <f xml:space="preserve"> 1.667/G723 + P723/A723 * Performance!$E$12 + Performance!$E$23 / Constraints!P723 * Constraints!A723</f>
        <v>#VALUE!</v>
      </c>
      <c r="T723">
        <f xml:space="preserve"> 1.667/H723 + Q723/A723 * Performance!$E$12 + Performance!$E$23 / Constraints!Q723 * Constraints!A723</f>
        <v>0.17711668714645229</v>
      </c>
      <c r="U723">
        <f xml:space="preserve"> 1.667/I723 + R723/A723 * Performance!$E$12 + Performance!$E$23 / Constraints!R723 * Constraints!A723</f>
        <v>0.16583106955100971</v>
      </c>
    </row>
    <row r="724" spans="1:21" x14ac:dyDescent="0.3">
      <c r="A724" s="51">
        <v>361</v>
      </c>
      <c r="B724" s="50">
        <f>$V$4*Performance!$E$12*(1/A724)+Performance!$E$23*(1/Constraints!$V$4)*Constraints!A724</f>
        <v>9.2969722518392195E-2</v>
      </c>
      <c r="C724" s="50">
        <f>$V$5*Performance!$E$12*(1/A724)+Performance!$E$23*(1/Constraints!$V$5)*Constraints!A724</f>
        <v>0.13197083088152073</v>
      </c>
      <c r="D724" s="52">
        <f t="shared" si="42"/>
        <v>0.44516528427020097</v>
      </c>
      <c r="E724" s="52">
        <f>$V$4*Performance!$E$12*(1/A724)+Performance!$E$23*(1/Constraints!$V$9)*Constraints!A724</f>
        <v>9.1339388697335808E-2</v>
      </c>
      <c r="F724" s="52">
        <f xml:space="preserve"> 1.21 / (9.81 * Constraints!$N$7 * Performance!$E$15 * Constraints!$N$5 ) * Constraints!A724 + 0.605 /Performance!$E$15 * (Performance!$E$16  - Constraints!$N$6 * Performance!$E$14) + Constraints!$N$6</f>
        <v>0.44496488642690823</v>
      </c>
      <c r="G724" s="54" t="s">
        <v>198</v>
      </c>
      <c r="H724" s="55">
        <f>SQRT(2/$V$3 * A724 * SQRT(Performance!$E$23 / (3 * Performance!$E$12)))</f>
        <v>23.427928239516497</v>
      </c>
      <c r="I724" s="55">
        <f>SQRT(2/$V$3 * A724 * (SQRT(Performance!$E$23)/(SQRT(3*Performance!$E$12 + 4* Performance!$E$23 * Performance!$E$11^2) - SQRT(Performance!$E$23)*Performance!$E$11)))</f>
        <v>24.644658593489531</v>
      </c>
      <c r="J724" t="e">
        <f xml:space="preserve"> $AC$3/G724 + $AC$6/A724 * Performance!$E$12 + Performance!$E$23/Constraints!$AC$6 * Constraints!A724</f>
        <v>#VALUE!</v>
      </c>
      <c r="K724">
        <f xml:space="preserve"> $AC$3/H724 + $AC$6/A724 * Performance!$E$12 + Performance!$E$23/Constraints!$AC$6 * Constraints!A724</f>
        <v>1.3776038823840238</v>
      </c>
      <c r="L724">
        <f xml:space="preserve"> $AC$3/I724 + $AC$6/A724 * Performance!$E$12 + Performance!$E$23/Constraints!$AC$6 * Constraints!A724</f>
        <v>1.3668985202327901</v>
      </c>
      <c r="M724">
        <f>SIN($AC$9 * PI()/180) + 1/Performance!$AE$5</f>
        <v>0.24073077270730886</v>
      </c>
      <c r="N724">
        <f>SIN($AC$9 * PI()/180) + 1/Performance!$AE$8</f>
        <v>0.22738716112204788</v>
      </c>
      <c r="O724" s="60">
        <f>$AC$16 * (Performance!$E$12/Constraints!A724 + Performance!$E$23 * (Constraints!$AC$13/Constraints!$AC$17)^2 * Constraints!A724)</f>
        <v>2.3130355004499014E-4</v>
      </c>
      <c r="P724" t="e">
        <f t="shared" si="43"/>
        <v>#VALUE!</v>
      </c>
      <c r="Q724">
        <f t="shared" si="44"/>
        <v>144.11553346093396</v>
      </c>
      <c r="R724">
        <f t="shared" si="45"/>
        <v>159.47354037058091</v>
      </c>
      <c r="S724" t="e">
        <f xml:space="preserve"> 1.667/G724 + P724/A724 * Performance!$E$12 + Performance!$E$23 / Constraints!P724 * Constraints!A724</f>
        <v>#VALUE!</v>
      </c>
      <c r="T724">
        <f xml:space="preserve"> 1.667/H724 + Q724/A724 * Performance!$E$12 + Performance!$E$23 / Constraints!Q724 * Constraints!A724</f>
        <v>0.17706736000538784</v>
      </c>
      <c r="U724">
        <f xml:space="preserve"> 1.667/I724 + R724/A724 * Performance!$E$12 + Performance!$E$23 / Constraints!R724 * Constraints!A724</f>
        <v>0.16578417773805421</v>
      </c>
    </row>
    <row r="725" spans="1:21" x14ac:dyDescent="0.3">
      <c r="A725" s="51">
        <v>361.5</v>
      </c>
      <c r="B725" s="50">
        <f>$V$4*Performance!$E$12*(1/A725)+Performance!$E$23*(1/Constraints!$V$4)*Constraints!A725</f>
        <v>9.2880720273917472E-2</v>
      </c>
      <c r="C725" s="50">
        <f>$V$5*Performance!$E$12*(1/A725)+Performance!$E$23*(1/Constraints!$V$5)*Constraints!A725</f>
        <v>0.13181365676527931</v>
      </c>
      <c r="D725" s="52">
        <f t="shared" si="42"/>
        <v>0.44543756998248651</v>
      </c>
      <c r="E725" s="52">
        <f>$V$4*Performance!$E$12*(1/A725)+Performance!$E$23*(1/Constraints!$V$9)*Constraints!A725</f>
        <v>9.124812837277653E-2</v>
      </c>
      <c r="F725" s="52">
        <f xml:space="preserve"> 1.21 / (9.81 * Constraints!$N$7 * Performance!$E$15 * Constraints!$N$5 ) * Constraints!A725 + 0.605 /Performance!$E$15 * (Performance!$E$16  - Constraints!$N$6 * Performance!$E$14) + Constraints!$N$6</f>
        <v>0.44523689457985405</v>
      </c>
      <c r="G725" s="54" t="s">
        <v>198</v>
      </c>
      <c r="H725" s="55">
        <f>SQRT(2/$V$3 * A725 * SQRT(Performance!$E$23 / (3 * Performance!$E$12)))</f>
        <v>23.44414695259751</v>
      </c>
      <c r="I725" s="55">
        <f>SQRT(2/$V$3 * A725 * (SQRT(Performance!$E$23)/(SQRT(3*Performance!$E$12 + 4* Performance!$E$23 * Performance!$E$11^2) - SQRT(Performance!$E$23)*Performance!$E$11)))</f>
        <v>24.661719626058051</v>
      </c>
      <c r="J725" t="e">
        <f xml:space="preserve"> $AC$3/G725 + $AC$6/A725 * Performance!$E$12 + Performance!$E$23/Constraints!$AC$6 * Constraints!A725</f>
        <v>#VALUE!</v>
      </c>
      <c r="K725">
        <f xml:space="preserve"> $AC$3/H725 + $AC$6/A725 * Performance!$E$12 + Performance!$E$23/Constraints!$AC$6 * Constraints!A725</f>
        <v>1.3790589029666422</v>
      </c>
      <c r="L725">
        <f xml:space="preserve"> $AC$3/I725 + $AC$6/A725 * Performance!$E$12 + Performance!$E$23/Constraints!$AC$6 * Constraints!A725</f>
        <v>1.3683609468087896</v>
      </c>
      <c r="M725">
        <f>SIN($AC$9 * PI()/180) + 1/Performance!$AE$5</f>
        <v>0.24073077270730886</v>
      </c>
      <c r="N725">
        <f>SIN($AC$9 * PI()/180) + 1/Performance!$AE$8</f>
        <v>0.22738716112204788</v>
      </c>
      <c r="O725" s="60">
        <f>$AC$16 * (Performance!$E$12/Constraints!A725 + Performance!$E$23 * (Constraints!$AC$13/Constraints!$AC$17)^2 * Constraints!A725)</f>
        <v>2.3143548628177548E-4</v>
      </c>
      <c r="P725" t="e">
        <f t="shared" si="43"/>
        <v>#VALUE!</v>
      </c>
      <c r="Q725">
        <f t="shared" si="44"/>
        <v>144.31513946295743</v>
      </c>
      <c r="R725">
        <f t="shared" si="45"/>
        <v>159.69441785031859</v>
      </c>
      <c r="S725" t="e">
        <f xml:space="preserve"> 1.667/G725 + P725/A725 * Performance!$E$12 + Performance!$E$23 / Constraints!P725 * Constraints!A725</f>
        <v>#VALUE!</v>
      </c>
      <c r="T725">
        <f xml:space="preserve"> 1.667/H725 + Q725/A725 * Performance!$E$12 + Performance!$E$23 / Constraints!Q725 * Constraints!A725</f>
        <v>0.17701813523820975</v>
      </c>
      <c r="U725">
        <f xml:space="preserve"> 1.667/I725 + R725/A725 * Performance!$E$12 + Performance!$E$23 / Constraints!R725 * Constraints!A725</f>
        <v>0.1657373832446884</v>
      </c>
    </row>
    <row r="726" spans="1:21" x14ac:dyDescent="0.3">
      <c r="A726" s="51">
        <v>362</v>
      </c>
      <c r="B726" s="50">
        <f>$V$4*Performance!$E$12*(1/A726)+Performance!$E$23*(1/Constraints!$V$4)*Constraints!A726</f>
        <v>9.2792018607437035E-2</v>
      </c>
      <c r="C726" s="50">
        <f>$V$5*Performance!$E$12*(1/A726)+Performance!$E$23*(1/Constraints!$V$5)*Constraints!A726</f>
        <v>0.13165695188099186</v>
      </c>
      <c r="D726" s="52">
        <f t="shared" si="42"/>
        <v>0.44570985569477212</v>
      </c>
      <c r="E726" s="52">
        <f>$V$4*Performance!$E$12*(1/A726)+Performance!$E$23*(1/Constraints!$V$9)*Constraints!A726</f>
        <v>9.1157168626211524E-2</v>
      </c>
      <c r="F726" s="52">
        <f xml:space="preserve"> 1.21 / (9.81 * Constraints!$N$7 * Performance!$E$15 * Constraints!$N$5 ) * Constraints!A726 + 0.605 /Performance!$E$15 * (Performance!$E$16  - Constraints!$N$6 * Performance!$E$14) + Constraints!$N$6</f>
        <v>0.44550890273279992</v>
      </c>
      <c r="G726" s="54" t="s">
        <v>198</v>
      </c>
      <c r="H726" s="55">
        <f>SQRT(2/$V$3 * A726 * SQRT(Performance!$E$23 / (3 * Performance!$E$12)))</f>
        <v>23.460354453290762</v>
      </c>
      <c r="I726" s="55">
        <f>SQRT(2/$V$3 * A726 * (SQRT(Performance!$E$23)/(SQRT(3*Performance!$E$12 + 4* Performance!$E$23 * Performance!$E$11^2) - SQRT(Performance!$E$23)*Performance!$E$11)))</f>
        <v>24.678768863923022</v>
      </c>
      <c r="J726" t="e">
        <f xml:space="preserve"> $AC$3/G726 + $AC$6/A726 * Performance!$E$12 + Performance!$E$23/Constraints!$AC$6 * Constraints!A726</f>
        <v>#VALUE!</v>
      </c>
      <c r="K726">
        <f xml:space="preserve"> $AC$3/H726 + $AC$6/A726 * Performance!$E$12 + Performance!$E$23/Constraints!$AC$6 * Constraints!A726</f>
        <v>1.3805142381510558</v>
      </c>
      <c r="L726">
        <f xml:space="preserve"> $AC$3/I726 + $AC$6/A726 * Performance!$E$12 + Performance!$E$23/Constraints!$AC$6 * Constraints!A726</f>
        <v>1.3698236726373723</v>
      </c>
      <c r="M726">
        <f>SIN($AC$9 * PI()/180) + 1/Performance!$AE$5</f>
        <v>0.24073077270730886</v>
      </c>
      <c r="N726">
        <f>SIN($AC$9 * PI()/180) + 1/Performance!$AE$8</f>
        <v>0.22738716112204788</v>
      </c>
      <c r="O726" s="60">
        <f>$AC$16 * (Performance!$E$12/Constraints!A726 + Performance!$E$23 * (Constraints!$AC$13/Constraints!$AC$17)^2 * Constraints!A726)</f>
        <v>2.3156768259921057E-4</v>
      </c>
      <c r="P726" t="e">
        <f t="shared" si="43"/>
        <v>#VALUE!</v>
      </c>
      <c r="Q726">
        <f t="shared" si="44"/>
        <v>144.5147454649809</v>
      </c>
      <c r="R726">
        <f t="shared" si="45"/>
        <v>159.91529533005627</v>
      </c>
      <c r="S726" t="e">
        <f xml:space="preserve"> 1.667/G726 + P726/A726 * Performance!$E$12 + Performance!$E$23 / Constraints!P726 * Constraints!A726</f>
        <v>#VALUE!</v>
      </c>
      <c r="T726">
        <f xml:space="preserve"> 1.667/H726 + Q726/A726 * Performance!$E$12 + Performance!$E$23 / Constraints!Q726 * Constraints!A726</f>
        <v>0.17696901249129479</v>
      </c>
      <c r="U726">
        <f xml:space="preserve"> 1.667/I726 + R726/A726 * Performance!$E$12 + Performance!$E$23 / Constraints!R726 * Constraints!A726</f>
        <v>0.16569068573474782</v>
      </c>
    </row>
    <row r="727" spans="1:21" x14ac:dyDescent="0.3">
      <c r="A727" s="51">
        <v>362.5</v>
      </c>
      <c r="B727" s="50">
        <f>$V$4*Performance!$E$12*(1/A727)+Performance!$E$23*(1/Constraints!$V$4)*Constraints!A727</f>
        <v>9.2703616275179868E-2</v>
      </c>
      <c r="C727" s="50">
        <f>$V$5*Performance!$E$12*(1/A727)+Performance!$E$23*(1/Constraints!$V$5)*Constraints!A727</f>
        <v>0.13150071428700894</v>
      </c>
      <c r="D727" s="52">
        <f t="shared" ref="D727:D789" si="46">1.21/(9.8*$N$7*$N$8*$N$5)*A727+0.605/$N$8*($N$11-$N$6*$N$10)+$N$6</f>
        <v>0.44598214140705772</v>
      </c>
      <c r="E727" s="52">
        <f>$V$4*Performance!$E$12*(1/A727)+Performance!$E$23*(1/Constraints!$V$9)*Constraints!A727</f>
        <v>9.1066508213869801E-2</v>
      </c>
      <c r="F727" s="52">
        <f xml:space="preserve"> 1.21 / (9.81 * Constraints!$N$7 * Performance!$E$15 * Constraints!$N$5 ) * Constraints!A727 + 0.605 /Performance!$E$15 * (Performance!$E$16  - Constraints!$N$6 * Performance!$E$14) + Constraints!$N$6</f>
        <v>0.44578091088574578</v>
      </c>
      <c r="G727" s="54" t="s">
        <v>198</v>
      </c>
      <c r="H727" s="55">
        <f>SQRT(2/$V$3 * A727 * SQRT(Performance!$E$23 / (3 * Performance!$E$12)))</f>
        <v>23.476550764818331</v>
      </c>
      <c r="I727" s="55">
        <f>SQRT(2/$V$3 * A727 * (SQRT(Performance!$E$23)/(SQRT(3*Performance!$E$12 + 4* Performance!$E$23 * Performance!$E$11^2) - SQRT(Performance!$E$23)*Performance!$E$11)))</f>
        <v>24.695806331512557</v>
      </c>
      <c r="J727" t="e">
        <f xml:space="preserve"> $AC$3/G727 + $AC$6/A727 * Performance!$E$12 + Performance!$E$23/Constraints!$AC$6 * Constraints!A727</f>
        <v>#VALUE!</v>
      </c>
      <c r="K727">
        <f xml:space="preserve"> $AC$3/H727 + $AC$6/A727 * Performance!$E$12 + Performance!$E$23/Constraints!$AC$6 * Constraints!A727</f>
        <v>1.3819698868495045</v>
      </c>
      <c r="L727">
        <f xml:space="preserve"> $AC$3/I727 + $AC$6/A727 * Performance!$E$12 + Performance!$E$23/Constraints!$AC$6 * Constraints!A727</f>
        <v>1.3712866966837247</v>
      </c>
      <c r="M727">
        <f>SIN($AC$9 * PI()/180) + 1/Performance!$AE$5</f>
        <v>0.24073077270730886</v>
      </c>
      <c r="N727">
        <f>SIN($AC$9 * PI()/180) + 1/Performance!$AE$8</f>
        <v>0.22738716112204788</v>
      </c>
      <c r="O727" s="60">
        <f>$AC$16 * (Performance!$E$12/Constraints!A727 + Performance!$E$23 * (Constraints!$AC$13/Constraints!$AC$17)^2 * Constraints!A727)</f>
        <v>2.3170013792109958E-4</v>
      </c>
      <c r="P727" t="e">
        <f t="shared" ref="P727:P789" si="47" xml:space="preserve"> 0.5 * $AJ$4 * G727^2</f>
        <v>#VALUE!</v>
      </c>
      <c r="Q727">
        <f t="shared" ref="Q727:Q789" si="48" xml:space="preserve"> 0.5 * $AJ$4 * H727^2</f>
        <v>144.71435146700435</v>
      </c>
      <c r="R727">
        <f t="shared" ref="R727:R789" si="49" xml:space="preserve"> 0.5 * $AJ$4 * I727^2</f>
        <v>160.13617280979386</v>
      </c>
      <c r="S727" t="e">
        <f xml:space="preserve"> 1.667/G727 + P727/A727 * Performance!$E$12 + Performance!$E$23 / Constraints!P727 * Constraints!A727</f>
        <v>#VALUE!</v>
      </c>
      <c r="T727">
        <f xml:space="preserve"> 1.667/H727 + Q727/A727 * Performance!$E$12 + Performance!$E$23 / Constraints!Q727 * Constraints!A727</f>
        <v>0.17691999141272757</v>
      </c>
      <c r="U727">
        <f xml:space="preserve"> 1.667/I727 + R727/A727 * Performance!$E$12 + Performance!$E$23 / Constraints!R727 * Constraints!A727</f>
        <v>0.16564408487369148</v>
      </c>
    </row>
    <row r="728" spans="1:21" x14ac:dyDescent="0.3">
      <c r="A728" s="51">
        <v>363</v>
      </c>
      <c r="B728" s="50">
        <f>$V$4*Performance!$E$12*(1/A728)+Performance!$E$23*(1/Constraints!$V$4)*Constraints!A728</f>
        <v>9.2615512040227707E-2</v>
      </c>
      <c r="C728" s="50">
        <f>$V$5*Performance!$E$12*(1/A728)+Performance!$E$23*(1/Constraints!$V$5)*Constraints!A728</f>
        <v>0.13134494205237887</v>
      </c>
      <c r="D728" s="52">
        <f t="shared" si="46"/>
        <v>0.44625442711934332</v>
      </c>
      <c r="E728" s="52">
        <f>$V$4*Performance!$E$12*(1/A728)+Performance!$E$23*(1/Constraints!$V$9)*Constraints!A728</f>
        <v>9.0976145898833072E-2</v>
      </c>
      <c r="F728" s="52">
        <f xml:space="preserve"> 1.21 / (9.81 * Constraints!$N$7 * Performance!$E$15 * Constraints!$N$5 ) * Constraints!A728 + 0.605 /Performance!$E$15 * (Performance!$E$16  - Constraints!$N$6 * Performance!$E$14) + Constraints!$N$6</f>
        <v>0.4460529190386916</v>
      </c>
      <c r="G728" s="54" t="s">
        <v>198</v>
      </c>
      <c r="H728" s="55">
        <f>SQRT(2/$V$3 * A728 * SQRT(Performance!$E$23 / (3 * Performance!$E$12)))</f>
        <v>23.492735910322253</v>
      </c>
      <c r="I728" s="55">
        <f>SQRT(2/$V$3 * A728 * (SQRT(Performance!$E$23)/(SQRT(3*Performance!$E$12 + 4* Performance!$E$23 * Performance!$E$11^2) - SQRT(Performance!$E$23)*Performance!$E$11)))</f>
        <v>24.71283205317058</v>
      </c>
      <c r="J728" t="e">
        <f xml:space="preserve"> $AC$3/G728 + $AC$6/A728 * Performance!$E$12 + Performance!$E$23/Constraints!$AC$6 * Constraints!A728</f>
        <v>#VALUE!</v>
      </c>
      <c r="K728">
        <f xml:space="preserve"> $AC$3/H728 + $AC$6/A728 * Performance!$E$12 + Performance!$E$23/Constraints!$AC$6 * Constraints!A728</f>
        <v>1.3834258479794845</v>
      </c>
      <c r="L728">
        <f xml:space="preserve"> $AC$3/I728 + $AC$6/A728 * Performance!$E$12 + Performance!$E$23/Constraints!$AC$6 * Constraints!A728</f>
        <v>1.3727500179180339</v>
      </c>
      <c r="M728">
        <f>SIN($AC$9 * PI()/180) + 1/Performance!$AE$5</f>
        <v>0.24073077270730886</v>
      </c>
      <c r="N728">
        <f>SIN($AC$9 * PI()/180) + 1/Performance!$AE$8</f>
        <v>0.22738716112204788</v>
      </c>
      <c r="O728" s="60">
        <f>$AC$16 * (Performance!$E$12/Constraints!A728 + Performance!$E$23 * (Constraints!$AC$13/Constraints!$AC$17)^2 * Constraints!A728)</f>
        <v>2.3183285117717631E-4</v>
      </c>
      <c r="P728" t="e">
        <f t="shared" si="47"/>
        <v>#VALUE!</v>
      </c>
      <c r="Q728">
        <f t="shared" si="48"/>
        <v>144.91395746902779</v>
      </c>
      <c r="R728">
        <f t="shared" si="49"/>
        <v>160.35705028953154</v>
      </c>
      <c r="S728" t="e">
        <f xml:space="preserve"> 1.667/G728 + P728/A728 * Performance!$E$12 + Performance!$E$23 / Constraints!P728 * Constraints!A728</f>
        <v>#VALUE!</v>
      </c>
      <c r="T728">
        <f xml:space="preserve"> 1.667/H728 + Q728/A728 * Performance!$E$12 + Performance!$E$23 / Constraints!Q728 * Constraints!A728</f>
        <v>0.17687107165228974</v>
      </c>
      <c r="U728">
        <f xml:space="preserve"> 1.667/I728 + R728/A728 * Performance!$E$12 + Performance!$E$23 / Constraints!R728 * Constraints!A728</f>
        <v>0.16559758032859159</v>
      </c>
    </row>
    <row r="729" spans="1:21" x14ac:dyDescent="0.3">
      <c r="A729" s="51">
        <v>363.5</v>
      </c>
      <c r="B729" s="50">
        <f>$V$4*Performance!$E$12*(1/A729)+Performance!$E$23*(1/Constraints!$V$4)*Constraints!A729</f>
        <v>9.2527704672467848E-2</v>
      </c>
      <c r="C729" s="50">
        <f>$V$5*Performance!$E$12*(1/A729)+Performance!$E$23*(1/Constraints!$V$5)*Constraints!A729</f>
        <v>0.13118963325677419</v>
      </c>
      <c r="D729" s="52">
        <f t="shared" si="46"/>
        <v>0.44652671283162892</v>
      </c>
      <c r="E729" s="52">
        <f>$V$4*Performance!$E$12*(1/A729)+Performance!$E$23*(1/Constraints!$V$9)*Constraints!A729</f>
        <v>9.0886080450988657E-2</v>
      </c>
      <c r="F729" s="52">
        <f xml:space="preserve"> 1.21 / (9.81 * Constraints!$N$7 * Performance!$E$15 * Constraints!$N$5 ) * Constraints!A729 + 0.605 /Performance!$E$15 * (Performance!$E$16  - Constraints!$N$6 * Performance!$E$14) + Constraints!$N$6</f>
        <v>0.44632492719163752</v>
      </c>
      <c r="G729" s="54" t="s">
        <v>198</v>
      </c>
      <c r="H729" s="55">
        <f>SQRT(2/$V$3 * A729 * SQRT(Performance!$E$23 / (3 * Performance!$E$12)))</f>
        <v>23.508909912864894</v>
      </c>
      <c r="I729" s="55">
        <f>SQRT(2/$V$3 * A729 * (SQRT(Performance!$E$23)/(SQRT(3*Performance!$E$12 + 4* Performance!$E$23 * Performance!$E$11^2) - SQRT(Performance!$E$23)*Performance!$E$11)))</f>
        <v>24.729846053157196</v>
      </c>
      <c r="J729" t="e">
        <f xml:space="preserve"> $AC$3/G729 + $AC$6/A729 * Performance!$E$12 + Performance!$E$23/Constraints!$AC$6 * Constraints!A729</f>
        <v>#VALUE!</v>
      </c>
      <c r="K729">
        <f xml:space="preserve"> $AC$3/H729 + $AC$6/A729 * Performance!$E$12 + Performance!$E$23/Constraints!$AC$6 * Constraints!A729</f>
        <v>1.3848821204637167</v>
      </c>
      <c r="L729">
        <f xml:space="preserve"> $AC$3/I729 + $AC$6/A729 * Performance!$E$12 + Performance!$E$23/Constraints!$AC$6 * Constraints!A729</f>
        <v>1.3742136353154584</v>
      </c>
      <c r="M729">
        <f>SIN($AC$9 * PI()/180) + 1/Performance!$AE$5</f>
        <v>0.24073077270730886</v>
      </c>
      <c r="N729">
        <f>SIN($AC$9 * PI()/180) + 1/Performance!$AE$8</f>
        <v>0.22738716112204788</v>
      </c>
      <c r="O729" s="60">
        <f>$AC$16 * (Performance!$E$12/Constraints!A729 + Performance!$E$23 * (Constraints!$AC$13/Constraints!$AC$17)^2 * Constraints!A729)</f>
        <v>2.3196582130306296E-4</v>
      </c>
      <c r="P729" t="e">
        <f t="shared" si="47"/>
        <v>#VALUE!</v>
      </c>
      <c r="Q729">
        <f t="shared" si="48"/>
        <v>145.11356347105126</v>
      </c>
      <c r="R729">
        <f t="shared" si="49"/>
        <v>160.57792776926917</v>
      </c>
      <c r="S729" t="e">
        <f xml:space="preserve"> 1.667/G729 + P729/A729 * Performance!$E$12 + Performance!$E$23 / Constraints!P729 * Constraints!A729</f>
        <v>#VALUE!</v>
      </c>
      <c r="T729">
        <f xml:space="preserve"> 1.667/H729 + Q729/A729 * Performance!$E$12 + Performance!$E$23 / Constraints!Q729 * Constraints!A729</f>
        <v>0.17682225286144962</v>
      </c>
      <c r="U729">
        <f xml:space="preserve"> 1.667/I729 + R729/A729 * Performance!$E$12 + Performance!$E$23 / Constraints!R729 * Constraints!A729</f>
        <v>0.16555117176812389</v>
      </c>
    </row>
    <row r="730" spans="1:21" x14ac:dyDescent="0.3">
      <c r="A730" s="51">
        <v>364</v>
      </c>
      <c r="B730" s="50">
        <f>$V$4*Performance!$E$12*(1/A730)+Performance!$E$23*(1/Constraints!$V$4)*Constraints!A730</f>
        <v>9.244019294854651E-2</v>
      </c>
      <c r="C730" s="50">
        <f>$V$5*Performance!$E$12*(1/A730)+Performance!$E$23*(1/Constraints!$V$5)*Constraints!A730</f>
        <v>0.13103478599041868</v>
      </c>
      <c r="D730" s="52">
        <f t="shared" si="46"/>
        <v>0.44679899854391447</v>
      </c>
      <c r="E730" s="52">
        <f>$V$4*Performance!$E$12*(1/A730)+Performance!$E$23*(1/Constraints!$V$9)*Constraints!A730</f>
        <v>9.0796310646982736E-2</v>
      </c>
      <c r="F730" s="52">
        <f xml:space="preserve"> 1.21 / (9.81 * Constraints!$N$7 * Performance!$E$15 * Constraints!$N$5 ) * Constraints!A730 + 0.605 /Performance!$E$15 * (Performance!$E$16  - Constraints!$N$6 * Performance!$E$14) + Constraints!$N$6</f>
        <v>0.44659693534458333</v>
      </c>
      <c r="G730" s="54" t="s">
        <v>198</v>
      </c>
      <c r="H730" s="55">
        <f>SQRT(2/$V$3 * A730 * SQRT(Performance!$E$23 / (3 * Performance!$E$12)))</f>
        <v>23.525072795429345</v>
      </c>
      <c r="I730" s="55">
        <f>SQRT(2/$V$3 * A730 * (SQRT(Performance!$E$23)/(SQRT(3*Performance!$E$12 + 4* Performance!$E$23 * Performance!$E$11^2) - SQRT(Performance!$E$23)*Performance!$E$11)))</f>
        <v>24.746848355649128</v>
      </c>
      <c r="J730" t="e">
        <f xml:space="preserve"> $AC$3/G730 + $AC$6/A730 * Performance!$E$12 + Performance!$E$23/Constraints!$AC$6 * Constraints!A730</f>
        <v>#VALUE!</v>
      </c>
      <c r="K730">
        <f xml:space="preserve"> $AC$3/H730 + $AC$6/A730 * Performance!$E$12 + Performance!$E$23/Constraints!$AC$6 * Constraints!A730</f>
        <v>1.3863387032301122</v>
      </c>
      <c r="L730">
        <f xml:space="preserve"> $AC$3/I730 + $AC$6/A730 * Performance!$E$12 + Performance!$E$23/Constraints!$AC$6 * Constraints!A730</f>
        <v>1.3756775478560948</v>
      </c>
      <c r="M730">
        <f>SIN($AC$9 * PI()/180) + 1/Performance!$AE$5</f>
        <v>0.24073077270730886</v>
      </c>
      <c r="N730">
        <f>SIN($AC$9 * PI()/180) + 1/Performance!$AE$8</f>
        <v>0.22738716112204788</v>
      </c>
      <c r="O730" s="60">
        <f>$AC$16 * (Performance!$E$12/Constraints!A730 + Performance!$E$23 * (Constraints!$AC$13/Constraints!$AC$17)^2 * Constraints!A730)</f>
        <v>2.3209904724023013E-4</v>
      </c>
      <c r="P730" t="e">
        <f t="shared" si="47"/>
        <v>#VALUE!</v>
      </c>
      <c r="Q730">
        <f t="shared" si="48"/>
        <v>145.31316947307474</v>
      </c>
      <c r="R730">
        <f t="shared" si="49"/>
        <v>160.79880524900679</v>
      </c>
      <c r="S730" t="e">
        <f xml:space="preserve"> 1.667/G730 + P730/A730 * Performance!$E$12 + Performance!$E$23 / Constraints!P730 * Constraints!A730</f>
        <v>#VALUE!</v>
      </c>
      <c r="T730">
        <f xml:space="preserve"> 1.667/H730 + Q730/A730 * Performance!$E$12 + Performance!$E$23 / Constraints!Q730 * Constraints!A730</f>
        <v>0.17677353469335177</v>
      </c>
      <c r="U730">
        <f xml:space="preserve"> 1.667/I730 + R730/A730 * Performance!$E$12 + Performance!$E$23 / Constraints!R730 * Constraints!A730</f>
        <v>0.16550485886255747</v>
      </c>
    </row>
    <row r="731" spans="1:21" x14ac:dyDescent="0.3">
      <c r="A731" s="51">
        <v>364.5</v>
      </c>
      <c r="B731" s="50">
        <f>$V$4*Performance!$E$12*(1/A731)+Performance!$E$23*(1/Constraints!$V$4)*Constraints!A731</f>
        <v>9.2352975651822336E-2</v>
      </c>
      <c r="C731" s="50">
        <f>$V$5*Performance!$E$12*(1/A731)+Performance!$E$23*(1/Constraints!$V$5)*Constraints!A731</f>
        <v>0.13088039835401502</v>
      </c>
      <c r="D731" s="52">
        <f t="shared" si="46"/>
        <v>0.44707128425620013</v>
      </c>
      <c r="E731" s="52">
        <f>$V$4*Performance!$E$12*(1/A731)+Performance!$E$23*(1/Constraints!$V$9)*Constraints!A731</f>
        <v>9.0706835270173994E-2</v>
      </c>
      <c r="F731" s="52">
        <f xml:space="preserve"> 1.21 / (9.81 * Constraints!$N$7 * Performance!$E$15 * Constraints!$N$5 ) * Constraints!A731 + 0.605 /Performance!$E$15 * (Performance!$E$16  - Constraints!$N$6 * Performance!$E$14) + Constraints!$N$6</f>
        <v>0.4468689434975292</v>
      </c>
      <c r="G731" s="54" t="s">
        <v>198</v>
      </c>
      <c r="H731" s="55">
        <f>SQRT(2/$V$3 * A731 * SQRT(Performance!$E$23 / (3 * Performance!$E$12)))</f>
        <v>23.541224580919796</v>
      </c>
      <c r="I731" s="55">
        <f>SQRT(2/$V$3 * A731 * (SQRT(Performance!$E$23)/(SQRT(3*Performance!$E$12 + 4* Performance!$E$23 * Performance!$E$11^2) - SQRT(Performance!$E$23)*Performance!$E$11)))</f>
        <v>24.763838984740097</v>
      </c>
      <c r="J731" t="e">
        <f xml:space="preserve"> $AC$3/G731 + $AC$6/A731 * Performance!$E$12 + Performance!$E$23/Constraints!$AC$6 * Constraints!A731</f>
        <v>#VALUE!</v>
      </c>
      <c r="K731">
        <f xml:space="preserve"> $AC$3/H731 + $AC$6/A731 * Performance!$E$12 + Performance!$E$23/Constraints!$AC$6 * Constraints!A731</f>
        <v>1.387795595211742</v>
      </c>
      <c r="L731">
        <f xml:space="preserve"> $AC$3/I731 + $AC$6/A731 * Performance!$E$12 + Performance!$E$23/Constraints!$AC$6 * Constraints!A731</f>
        <v>1.3771417545249489</v>
      </c>
      <c r="M731">
        <f>SIN($AC$9 * PI()/180) + 1/Performance!$AE$5</f>
        <v>0.24073077270730886</v>
      </c>
      <c r="N731">
        <f>SIN($AC$9 * PI()/180) + 1/Performance!$AE$8</f>
        <v>0.22738716112204788</v>
      </c>
      <c r="O731" s="60">
        <f>$AC$16 * (Performance!$E$12/Constraints!A731 + Performance!$E$23 * (Constraints!$AC$13/Constraints!$AC$17)^2 * Constraints!A731)</f>
        <v>2.3223252793595653E-4</v>
      </c>
      <c r="P731" t="e">
        <f t="shared" si="47"/>
        <v>#VALUE!</v>
      </c>
      <c r="Q731">
        <f t="shared" si="48"/>
        <v>145.51277547509818</v>
      </c>
      <c r="R731">
        <f t="shared" si="49"/>
        <v>161.0196827287445</v>
      </c>
      <c r="S731" t="e">
        <f xml:space="preserve"> 1.667/G731 + P731/A731 * Performance!$E$12 + Performance!$E$23 / Constraints!P731 * Constraints!A731</f>
        <v>#VALUE!</v>
      </c>
      <c r="T731">
        <f xml:space="preserve"> 1.667/H731 + Q731/A731 * Performance!$E$12 + Performance!$E$23 / Constraints!Q731 * Constraints!A731</f>
        <v>0.17672491680280658</v>
      </c>
      <c r="U731">
        <f xml:space="preserve"> 1.667/I731 + R731/A731 * Performance!$E$12 + Performance!$E$23 / Constraints!R731 * Constraints!A731</f>
        <v>0.16545864128374502</v>
      </c>
    </row>
    <row r="732" spans="1:21" x14ac:dyDescent="0.3">
      <c r="A732" s="51">
        <v>365</v>
      </c>
      <c r="B732" s="50">
        <f>$V$4*Performance!$E$12*(1/A732)+Performance!$E$23*(1/Constraints!$V$4)*Constraints!A732</f>
        <v>9.2266051572320595E-2</v>
      </c>
      <c r="C732" s="50">
        <f>$V$5*Performance!$E$12*(1/A732)+Performance!$E$23*(1/Constraints!$V$5)*Constraints!A732</f>
        <v>0.13072646845867306</v>
      </c>
      <c r="D732" s="52">
        <f t="shared" si="46"/>
        <v>0.44734356996848568</v>
      </c>
      <c r="E732" s="52">
        <f>$V$4*Performance!$E$12*(1/A732)+Performance!$E$23*(1/Constraints!$V$9)*Constraints!A732</f>
        <v>9.0617653110587698E-2</v>
      </c>
      <c r="F732" s="52">
        <f xml:space="preserve"> 1.21 / (9.81 * Constraints!$N$7 * Performance!$E$15 * Constraints!$N$5 ) * Constraints!A732 + 0.605 /Performance!$E$15 * (Performance!$E$16  - Constraints!$N$6 * Performance!$E$14) + Constraints!$N$6</f>
        <v>0.44714095165047507</v>
      </c>
      <c r="G732" s="54" t="s">
        <v>198</v>
      </c>
      <c r="H732" s="55">
        <f>SQRT(2/$V$3 * A732 * SQRT(Performance!$E$23 / (3 * Performance!$E$12)))</f>
        <v>23.557365292161919</v>
      </c>
      <c r="I732" s="55">
        <f>SQRT(2/$V$3 * A732 * (SQRT(Performance!$E$23)/(SQRT(3*Performance!$E$12 + 4* Performance!$E$23 * Performance!$E$11^2) - SQRT(Performance!$E$23)*Performance!$E$11)))</f>
        <v>24.780817964441223</v>
      </c>
      <c r="J732" t="e">
        <f xml:space="preserve"> $AC$3/G732 + $AC$6/A732 * Performance!$E$12 + Performance!$E$23/Constraints!$AC$6 * Constraints!A732</f>
        <v>#VALUE!</v>
      </c>
      <c r="K732">
        <f xml:space="preserve"> $AC$3/H732 + $AC$6/A732 * Performance!$E$12 + Performance!$E$23/Constraints!$AC$6 * Constraints!A732</f>
        <v>1.3892527953468048</v>
      </c>
      <c r="L732">
        <f xml:space="preserve"> $AC$3/I732 + $AC$6/A732 * Performance!$E$12 + Performance!$E$23/Constraints!$AC$6 * Constraints!A732</f>
        <v>1.3786062543119042</v>
      </c>
      <c r="M732">
        <f>SIN($AC$9 * PI()/180) + 1/Performance!$AE$5</f>
        <v>0.24073077270730886</v>
      </c>
      <c r="N732">
        <f>SIN($AC$9 * PI()/180) + 1/Performance!$AE$8</f>
        <v>0.22738716112204788</v>
      </c>
      <c r="O732" s="60">
        <f>$AC$16 * (Performance!$E$12/Constraints!A732 + Performance!$E$23 * (Constraints!$AC$13/Constraints!$AC$17)^2 * Constraints!A732)</f>
        <v>2.323662623432892E-4</v>
      </c>
      <c r="P732" t="e">
        <f t="shared" si="47"/>
        <v>#VALUE!</v>
      </c>
      <c r="Q732">
        <f t="shared" si="48"/>
        <v>145.71238147712162</v>
      </c>
      <c r="R732">
        <f t="shared" si="49"/>
        <v>161.24056020848212</v>
      </c>
      <c r="S732" t="e">
        <f xml:space="preserve"> 1.667/G732 + P732/A732 * Performance!$E$12 + Performance!$E$23 / Constraints!P732 * Constraints!A732</f>
        <v>#VALUE!</v>
      </c>
      <c r="T732">
        <f xml:space="preserve"> 1.667/H732 + Q732/A732 * Performance!$E$12 + Performance!$E$23 / Constraints!Q732 * Constraints!A732</f>
        <v>0.17667639884628</v>
      </c>
      <c r="U732">
        <f xml:space="preserve"> 1.667/I732 + R732/A732 * Performance!$E$12 + Performance!$E$23 / Constraints!R732 * Constraints!A732</f>
        <v>0.16541251870511323</v>
      </c>
    </row>
    <row r="733" spans="1:21" x14ac:dyDescent="0.3">
      <c r="A733" s="51">
        <v>365.5</v>
      </c>
      <c r="B733" s="50">
        <f>$V$4*Performance!$E$12*(1/A733)+Performance!$E$23*(1/Constraints!$V$4)*Constraints!A733</f>
        <v>9.2179419506687413E-2</v>
      </c>
      <c r="C733" s="50">
        <f>$V$5*Performance!$E$12*(1/A733)+Performance!$E$23*(1/Constraints!$V$5)*Constraints!A733</f>
        <v>0.13057299442583845</v>
      </c>
      <c r="D733" s="52">
        <f t="shared" si="46"/>
        <v>0.44761585568077134</v>
      </c>
      <c r="E733" s="52">
        <f>$V$4*Performance!$E$12*(1/A733)+Performance!$E$23*(1/Constraints!$V$9)*Constraints!A733</f>
        <v>9.0528762964869947E-2</v>
      </c>
      <c r="F733" s="52">
        <f xml:space="preserve"> 1.21 / (9.81 * Constraints!$N$7 * Performance!$E$15 * Constraints!$N$5 ) * Constraints!A733 + 0.605 /Performance!$E$15 * (Performance!$E$16  - Constraints!$N$6 * Performance!$E$14) + Constraints!$N$6</f>
        <v>0.44741295980342088</v>
      </c>
      <c r="G733" s="54" t="s">
        <v>198</v>
      </c>
      <c r="H733" s="55">
        <f>SQRT(2/$V$3 * A733 * SQRT(Performance!$E$23 / (3 * Performance!$E$12)))</f>
        <v>23.573494951903239</v>
      </c>
      <c r="I733" s="55">
        <f>SQRT(2/$V$3 * A733 * (SQRT(Performance!$E$23)/(SQRT(3*Performance!$E$12 + 4* Performance!$E$23 * Performance!$E$11^2) - SQRT(Performance!$E$23)*Performance!$E$11)))</f>
        <v>24.797785318681427</v>
      </c>
      <c r="J733" t="e">
        <f xml:space="preserve"> $AC$3/G733 + $AC$6/A733 * Performance!$E$12 + Performance!$E$23/Constraints!$AC$6 * Constraints!A733</f>
        <v>#VALUE!</v>
      </c>
      <c r="K733">
        <f xml:space="preserve"> $AC$3/H733 + $AC$6/A733 * Performance!$E$12 + Performance!$E$23/Constraints!$AC$6 * Constraints!A733</f>
        <v>1.3907103025785941</v>
      </c>
      <c r="L733">
        <f xml:space="preserve"> $AC$3/I733 + $AC$6/A733 * Performance!$E$12 + Performance!$E$23/Constraints!$AC$6 * Constraints!A733</f>
        <v>1.3800710462116932</v>
      </c>
      <c r="M733">
        <f>SIN($AC$9 * PI()/180) + 1/Performance!$AE$5</f>
        <v>0.24073077270730886</v>
      </c>
      <c r="N733">
        <f>SIN($AC$9 * PI()/180) + 1/Performance!$AE$8</f>
        <v>0.22738716112204788</v>
      </c>
      <c r="O733" s="60">
        <f>$AC$16 * (Performance!$E$12/Constraints!A733 + Performance!$E$23 * (Constraints!$AC$13/Constraints!$AC$17)^2 * Constraints!A733)</f>
        <v>2.3250024942100394E-4</v>
      </c>
      <c r="P733" t="e">
        <f t="shared" si="47"/>
        <v>#VALUE!</v>
      </c>
      <c r="Q733">
        <f t="shared" si="48"/>
        <v>145.9119874791451</v>
      </c>
      <c r="R733">
        <f t="shared" si="49"/>
        <v>161.46143768821972</v>
      </c>
      <c r="S733" t="e">
        <f xml:space="preserve"> 1.667/G733 + P733/A733 * Performance!$E$12 + Performance!$E$23 / Constraints!P733 * Constraints!A733</f>
        <v>#VALUE!</v>
      </c>
      <c r="T733">
        <f xml:space="preserve"> 1.667/H733 + Q733/A733 * Performance!$E$12 + Performance!$E$23 / Constraints!Q733 * Constraints!A733</f>
        <v>0.17662798048188344</v>
      </c>
      <c r="U733">
        <f xml:space="preserve"> 1.667/I733 + R733/A733 * Performance!$E$12 + Performance!$E$23 / Constraints!R733 * Constraints!A733</f>
        <v>0.16536649080165278</v>
      </c>
    </row>
    <row r="734" spans="1:21" x14ac:dyDescent="0.3">
      <c r="A734" s="51">
        <v>366</v>
      </c>
      <c r="B734" s="50">
        <f>$V$4*Performance!$E$12*(1/A734)+Performance!$E$23*(1/Constraints!$V$4)*Constraints!A734</f>
        <v>9.2093078258144612E-2</v>
      </c>
      <c r="C734" s="50">
        <f>$V$5*Performance!$E$12*(1/A734)+Performance!$E$23*(1/Constraints!$V$5)*Constraints!A734</f>
        <v>0.13041997438722222</v>
      </c>
      <c r="D734" s="52">
        <f t="shared" si="46"/>
        <v>0.44788814139305688</v>
      </c>
      <c r="E734" s="52">
        <f>$V$4*Performance!$E$12*(1/A734)+Performance!$E$23*(1/Constraints!$V$9)*Constraints!A734</f>
        <v>9.044016363624259E-2</v>
      </c>
      <c r="F734" s="52">
        <f xml:space="preserve"> 1.21 / (9.81 * Constraints!$N$7 * Performance!$E$15 * Constraints!$N$5 ) * Constraints!A734 + 0.605 /Performance!$E$15 * (Performance!$E$16  - Constraints!$N$6 * Performance!$E$14) + Constraints!$N$6</f>
        <v>0.44768496795636675</v>
      </c>
      <c r="G734" s="54" t="s">
        <v>198</v>
      </c>
      <c r="H734" s="55">
        <f>SQRT(2/$V$3 * A734 * SQRT(Performance!$E$23 / (3 * Performance!$E$12)))</f>
        <v>23.589613582813517</v>
      </c>
      <c r="I734" s="55">
        <f>SQRT(2/$V$3 * A734 * (SQRT(Performance!$E$23)/(SQRT(3*Performance!$E$12 + 4* Performance!$E$23 * Performance!$E$11^2) - SQRT(Performance!$E$23)*Performance!$E$11)))</f>
        <v>24.814741071307829</v>
      </c>
      <c r="J734" t="e">
        <f xml:space="preserve"> $AC$3/G734 + $AC$6/A734 * Performance!$E$12 + Performance!$E$23/Constraints!$AC$6 * Constraints!A734</f>
        <v>#VALUE!</v>
      </c>
      <c r="K734">
        <f xml:space="preserve"> $AC$3/H734 + $AC$6/A734 * Performance!$E$12 + Performance!$E$23/Constraints!$AC$6 * Constraints!A734</f>
        <v>1.3921681158554688</v>
      </c>
      <c r="L734">
        <f xml:space="preserve"> $AC$3/I734 + $AC$6/A734 * Performance!$E$12 + Performance!$E$23/Constraints!$AC$6 * Constraints!A734</f>
        <v>1.3815361292238664</v>
      </c>
      <c r="M734">
        <f>SIN($AC$9 * PI()/180) + 1/Performance!$AE$5</f>
        <v>0.24073077270730886</v>
      </c>
      <c r="N734">
        <f>SIN($AC$9 * PI()/180) + 1/Performance!$AE$8</f>
        <v>0.22738716112204788</v>
      </c>
      <c r="O734" s="60">
        <f>$AC$16 * (Performance!$E$12/Constraints!A734 + Performance!$E$23 * (Constraints!$AC$13/Constraints!$AC$17)^2 * Constraints!A734)</f>
        <v>2.3263448813356648E-4</v>
      </c>
      <c r="P734" t="e">
        <f t="shared" si="47"/>
        <v>#VALUE!</v>
      </c>
      <c r="Q734">
        <f t="shared" si="48"/>
        <v>146.11159348116851</v>
      </c>
      <c r="R734">
        <f t="shared" si="49"/>
        <v>161.6823151679574</v>
      </c>
      <c r="S734" t="e">
        <f xml:space="preserve"> 1.667/G734 + P734/A734 * Performance!$E$12 + Performance!$E$23 / Constraints!P734 * Constraints!A734</f>
        <v>#VALUE!</v>
      </c>
      <c r="T734">
        <f xml:space="preserve"> 1.667/H734 + Q734/A734 * Performance!$E$12 + Performance!$E$23 / Constraints!Q734 * Constraints!A734</f>
        <v>0.17657966136936354</v>
      </c>
      <c r="U734">
        <f xml:space="preserve"> 1.667/I734 + R734/A734 * Performance!$E$12 + Performance!$E$23 / Constraints!R734 * Constraints!A734</f>
        <v>0.16532055724990891</v>
      </c>
    </row>
    <row r="735" spans="1:21" x14ac:dyDescent="0.3">
      <c r="A735" s="51">
        <v>366.5</v>
      </c>
      <c r="B735" s="50">
        <f>$V$4*Performance!$E$12*(1/A735)+Performance!$E$23*(1/Constraints!$V$4)*Constraints!A735</f>
        <v>9.2007026636444944E-2</v>
      </c>
      <c r="C735" s="50">
        <f>$V$5*Performance!$E$12*(1/A735)+Performance!$E$23*(1/Constraints!$V$5)*Constraints!A735</f>
        <v>0.13026740648473073</v>
      </c>
      <c r="D735" s="52">
        <f t="shared" si="46"/>
        <v>0.44816042710534248</v>
      </c>
      <c r="E735" s="52">
        <f>$V$4*Performance!$E$12*(1/A735)+Performance!$E$23*(1/Constraints!$V$9)*Constraints!A735</f>
        <v>9.0351853934458354E-2</v>
      </c>
      <c r="F735" s="52">
        <f xml:space="preserve"> 1.21 / (9.81 * Constraints!$N$7 * Performance!$E$15 * Constraints!$N$5 ) * Constraints!A735 + 0.605 /Performance!$E$15 * (Performance!$E$16  - Constraints!$N$6 * Performance!$E$14) + Constraints!$N$6</f>
        <v>0.44795697610931262</v>
      </c>
      <c r="G735" s="54" t="s">
        <v>198</v>
      </c>
      <c r="H735" s="55">
        <f>SQRT(2/$V$3 * A735 * SQRT(Performance!$E$23 / (3 * Performance!$E$12)))</f>
        <v>23.605721207485114</v>
      </c>
      <c r="I735" s="55">
        <f>SQRT(2/$V$3 * A735 * (SQRT(Performance!$E$23)/(SQRT(3*Performance!$E$12 + 4* Performance!$E$23 * Performance!$E$11^2) - SQRT(Performance!$E$23)*Performance!$E$11)))</f>
        <v>24.831685246086121</v>
      </c>
      <c r="J735" t="e">
        <f xml:space="preserve"> $AC$3/G735 + $AC$6/A735 * Performance!$E$12 + Performance!$E$23/Constraints!$AC$6 * Constraints!A735</f>
        <v>#VALUE!</v>
      </c>
      <c r="K735">
        <f xml:space="preserve"> $AC$3/H735 + $AC$6/A735 * Performance!$E$12 + Performance!$E$23/Constraints!$AC$6 * Constraints!A735</f>
        <v>1.393626234130821</v>
      </c>
      <c r="L735">
        <f xml:space="preserve"> $AC$3/I735 + $AC$6/A735 * Performance!$E$12 + Performance!$E$23/Constraints!$AC$6 * Constraints!A735</f>
        <v>1.3830015023527631</v>
      </c>
      <c r="M735">
        <f>SIN($AC$9 * PI()/180) + 1/Performance!$AE$5</f>
        <v>0.24073077270730886</v>
      </c>
      <c r="N735">
        <f>SIN($AC$9 * PI()/180) + 1/Performance!$AE$8</f>
        <v>0.22738716112204788</v>
      </c>
      <c r="O735" s="60">
        <f>$AC$16 * (Performance!$E$12/Constraints!A735 + Performance!$E$23 * (Constraints!$AC$13/Constraints!$AC$17)^2 * Constraints!A735)</f>
        <v>2.3276897745109338E-4</v>
      </c>
      <c r="P735" t="e">
        <f t="shared" si="47"/>
        <v>#VALUE!</v>
      </c>
      <c r="Q735">
        <f t="shared" si="48"/>
        <v>146.31119948319198</v>
      </c>
      <c r="R735">
        <f t="shared" si="49"/>
        <v>161.90319264769505</v>
      </c>
      <c r="S735" t="e">
        <f xml:space="preserve"> 1.667/G735 + P735/A735 * Performance!$E$12 + Performance!$E$23 / Constraints!P735 * Constraints!A735</f>
        <v>#VALUE!</v>
      </c>
      <c r="T735">
        <f xml:space="preserve"> 1.667/H735 + Q735/A735 * Performance!$E$12 + Performance!$E$23 / Constraints!Q735 * Constraints!A735</f>
        <v>0.17653144117009215</v>
      </c>
      <c r="U735">
        <f xml:space="preserve"> 1.667/I735 + R735/A735 * Performance!$E$12 + Performance!$E$23 / Constraints!R735 * Constraints!A735</f>
        <v>0.16527471772797192</v>
      </c>
    </row>
    <row r="736" spans="1:21" x14ac:dyDescent="0.3">
      <c r="A736" s="51">
        <v>367</v>
      </c>
      <c r="B736" s="50">
        <f>$V$4*Performance!$E$12*(1/A736)+Performance!$E$23*(1/Constraints!$V$4)*Constraints!A736</f>
        <v>9.1921263457827432E-2</v>
      </c>
      <c r="C736" s="50">
        <f>$V$5*Performance!$E$12*(1/A736)+Performance!$E$23*(1/Constraints!$V$5)*Constraints!A736</f>
        <v>0.13011528887039617</v>
      </c>
      <c r="D736" s="52">
        <f t="shared" si="46"/>
        <v>0.44843271281762809</v>
      </c>
      <c r="E736" s="52">
        <f>$V$4*Performance!$E$12*(1/A736)+Performance!$E$23*(1/Constraints!$V$9)*Constraints!A736</f>
        <v>9.0263832675756273E-2</v>
      </c>
      <c r="F736" s="52">
        <f xml:space="preserve"> 1.21 / (9.81 * Constraints!$N$7 * Performance!$E$15 * Constraints!$N$5 ) * Constraints!A736 + 0.605 /Performance!$E$15 * (Performance!$E$16  - Constraints!$N$6 * Performance!$E$14) + Constraints!$N$6</f>
        <v>0.44822898426225843</v>
      </c>
      <c r="G736" s="54" t="s">
        <v>198</v>
      </c>
      <c r="H736" s="55">
        <f>SQRT(2/$V$3 * A736 * SQRT(Performance!$E$23 / (3 * Performance!$E$12)))</f>
        <v>23.621817848433366</v>
      </c>
      <c r="I736" s="55">
        <f>SQRT(2/$V$3 * A736 * (SQRT(Performance!$E$23)/(SQRT(3*Performance!$E$12 + 4* Performance!$E$23 * Performance!$E$11^2) - SQRT(Performance!$E$23)*Performance!$E$11)))</f>
        <v>24.848617866700966</v>
      </c>
      <c r="J736" t="e">
        <f xml:space="preserve"> $AC$3/G736 + $AC$6/A736 * Performance!$E$12 + Performance!$E$23/Constraints!$AC$6 * Constraints!A736</f>
        <v>#VALUE!</v>
      </c>
      <c r="K736">
        <f xml:space="preserve"> $AC$3/H736 + $AC$6/A736 * Performance!$E$12 + Performance!$E$23/Constraints!$AC$6 * Constraints!A736</f>
        <v>1.3950846563630441</v>
      </c>
      <c r="L736">
        <f xml:space="preserve"> $AC$3/I736 + $AC$6/A736 * Performance!$E$12 + Performance!$E$23/Constraints!$AC$6 * Constraints!A736</f>
        <v>1.3844671646074815</v>
      </c>
      <c r="M736">
        <f>SIN($AC$9 * PI()/180) + 1/Performance!$AE$5</f>
        <v>0.24073077270730886</v>
      </c>
      <c r="N736">
        <f>SIN($AC$9 * PI()/180) + 1/Performance!$AE$8</f>
        <v>0.22738716112204788</v>
      </c>
      <c r="O736" s="60">
        <f>$AC$16 * (Performance!$E$12/Constraints!A736 + Performance!$E$23 * (Constraints!$AC$13/Constraints!$AC$17)^2 * Constraints!A736)</f>
        <v>2.3290371634931371E-4</v>
      </c>
      <c r="P736" t="e">
        <f t="shared" si="47"/>
        <v>#VALUE!</v>
      </c>
      <c r="Q736">
        <f t="shared" si="48"/>
        <v>146.51080548521546</v>
      </c>
      <c r="R736">
        <f t="shared" si="49"/>
        <v>162.1240701274327</v>
      </c>
      <c r="S736" t="e">
        <f xml:space="preserve"> 1.667/G736 + P736/A736 * Performance!$E$12 + Performance!$E$23 / Constraints!P736 * Constraints!A736</f>
        <v>#VALUE!</v>
      </c>
      <c r="T736">
        <f xml:space="preserve"> 1.667/H736 + Q736/A736 * Performance!$E$12 + Performance!$E$23 / Constraints!Q736 * Constraints!A736</f>
        <v>0.1764833195470564</v>
      </c>
      <c r="U736">
        <f xml:space="preserve"> 1.667/I736 + R736/A736 * Performance!$E$12 + Performance!$E$23 / Constraints!R736 * Constraints!A736</f>
        <v>0.16522897191546765</v>
      </c>
    </row>
    <row r="737" spans="1:21" x14ac:dyDescent="0.3">
      <c r="A737" s="51">
        <v>367.5</v>
      </c>
      <c r="B737" s="50">
        <f>$V$4*Performance!$E$12*(1/A737)+Performance!$E$23*(1/Constraints!$V$4)*Constraints!A737</f>
        <v>9.1835787544973374E-2</v>
      </c>
      <c r="C737" s="50">
        <f>$V$5*Performance!$E$12*(1/A737)+Performance!$E$23*(1/Constraints!$V$5)*Constraints!A737</f>
        <v>0.12996361970630771</v>
      </c>
      <c r="D737" s="52">
        <f t="shared" si="46"/>
        <v>0.44870499852991369</v>
      </c>
      <c r="E737" s="52">
        <f>$V$4*Performance!$E$12*(1/A737)+Performance!$E$23*(1/Constraints!$V$9)*Constraints!A737</f>
        <v>9.0176098682817646E-2</v>
      </c>
      <c r="F737" s="52">
        <f xml:space="preserve"> 1.21 / (9.81 * Constraints!$N$7 * Performance!$E$15 * Constraints!$N$5 ) * Constraints!A737 + 0.605 /Performance!$E$15 * (Performance!$E$16  - Constraints!$N$6 * Performance!$E$14) + Constraints!$N$6</f>
        <v>0.44850099241520436</v>
      </c>
      <c r="G737" s="54" t="s">
        <v>198</v>
      </c>
      <c r="H737" s="55">
        <f>SQRT(2/$V$3 * A737 * SQRT(Performance!$E$23 / (3 * Performance!$E$12)))</f>
        <v>23.637903528096935</v>
      </c>
      <c r="I737" s="55">
        <f>SQRT(2/$V$3 * A737 * (SQRT(Performance!$E$23)/(SQRT(3*Performance!$E$12 + 4* Performance!$E$23 * Performance!$E$11^2) - SQRT(Performance!$E$23)*Performance!$E$11)))</f>
        <v>24.865538956756396</v>
      </c>
      <c r="J737" t="e">
        <f xml:space="preserve"> $AC$3/G737 + $AC$6/A737 * Performance!$E$12 + Performance!$E$23/Constraints!$AC$6 * Constraints!A737</f>
        <v>#VALUE!</v>
      </c>
      <c r="K737">
        <f xml:space="preserve"> $AC$3/H737 + $AC$6/A737 * Performance!$E$12 + Performance!$E$23/Constraints!$AC$6 * Constraints!A737</f>
        <v>1.3965433815155046</v>
      </c>
      <c r="L737">
        <f xml:space="preserve"> $AC$3/I737 + $AC$6/A737 * Performance!$E$12 + Performance!$E$23/Constraints!$AC$6 * Constraints!A737</f>
        <v>1.385933115001851</v>
      </c>
      <c r="M737">
        <f>SIN($AC$9 * PI()/180) + 1/Performance!$AE$5</f>
        <v>0.24073077270730886</v>
      </c>
      <c r="N737">
        <f>SIN($AC$9 * PI()/180) + 1/Performance!$AE$8</f>
        <v>0.22738716112204788</v>
      </c>
      <c r="O737" s="60">
        <f>$AC$16 * (Performance!$E$12/Constraints!A737 + Performance!$E$23 * (Constraints!$AC$13/Constraints!$AC$17)^2 * Constraints!A737)</f>
        <v>2.3303870380953065E-4</v>
      </c>
      <c r="P737" t="e">
        <f t="shared" si="47"/>
        <v>#VALUE!</v>
      </c>
      <c r="Q737">
        <f t="shared" si="48"/>
        <v>146.71041148723887</v>
      </c>
      <c r="R737">
        <f t="shared" si="49"/>
        <v>162.34494760717035</v>
      </c>
      <c r="S737" t="e">
        <f xml:space="preserve"> 1.667/G737 + P737/A737 * Performance!$E$12 + Performance!$E$23 / Constraints!P737 * Constraints!A737</f>
        <v>#VALUE!</v>
      </c>
      <c r="T737">
        <f xml:space="preserve"> 1.667/H737 + Q737/A737 * Performance!$E$12 + Performance!$E$23 / Constraints!Q737 * Constraints!A737</f>
        <v>0.17643529616484888</v>
      </c>
      <c r="U737">
        <f xml:space="preserve"> 1.667/I737 + R737/A737 * Performance!$E$12 + Performance!$E$23 / Constraints!R737 * Constraints!A737</f>
        <v>0.16518331949354792</v>
      </c>
    </row>
    <row r="738" spans="1:21" x14ac:dyDescent="0.3">
      <c r="A738" s="51">
        <v>368</v>
      </c>
      <c r="B738" s="50">
        <f>$V$4*Performance!$E$12*(1/A738)+Performance!$E$23*(1/Constraints!$V$4)*Constraints!A738</f>
        <v>9.1750597726962563E-2</v>
      </c>
      <c r="C738" s="50">
        <f>$V$5*Performance!$E$12*(1/A738)+Performance!$E$23*(1/Constraints!$V$5)*Constraints!A738</f>
        <v>0.1298123971645431</v>
      </c>
      <c r="D738" s="52">
        <f t="shared" si="46"/>
        <v>0.44897728424219929</v>
      </c>
      <c r="E738" s="52">
        <f>$V$4*Performance!$E$12*(1/A738)+Performance!$E$23*(1/Constraints!$V$9)*Constraints!A738</f>
        <v>9.0088650784722266E-2</v>
      </c>
      <c r="F738" s="52">
        <f xml:space="preserve"> 1.21 / (9.81 * Constraints!$N$7 * Performance!$E$15 * Constraints!$N$5 ) * Constraints!A738 + 0.605 /Performance!$E$15 * (Performance!$E$16  - Constraints!$N$6 * Performance!$E$14) + Constraints!$N$6</f>
        <v>0.44877300056815017</v>
      </c>
      <c r="G738" s="54" t="s">
        <v>198</v>
      </c>
      <c r="H738" s="55">
        <f>SQRT(2/$V$3 * A738 * SQRT(Performance!$E$23 / (3 * Performance!$E$12)))</f>
        <v>23.653978268838209</v>
      </c>
      <c r="I738" s="55">
        <f>SQRT(2/$V$3 * A738 * (SQRT(Performance!$E$23)/(SQRT(3*Performance!$E$12 + 4* Performance!$E$23 * Performance!$E$11^2) - SQRT(Performance!$E$23)*Performance!$E$11)))</f>
        <v>24.882448539776171</v>
      </c>
      <c r="J738" t="e">
        <f xml:space="preserve"> $AC$3/G738 + $AC$6/A738 * Performance!$E$12 + Performance!$E$23/Constraints!$AC$6 * Constraints!A738</f>
        <v>#VALUE!</v>
      </c>
      <c r="K738">
        <f xml:space="preserve"> $AC$3/H738 + $AC$6/A738 * Performance!$E$12 + Performance!$E$23/Constraints!$AC$6 * Constraints!A738</f>
        <v>1.3980024085565088</v>
      </c>
      <c r="L738">
        <f xml:space="preserve"> $AC$3/I738 + $AC$6/A738 * Performance!$E$12 + Performance!$E$23/Constraints!$AC$6 * Constraints!A738</f>
        <v>1.3873993525544006</v>
      </c>
      <c r="M738">
        <f>SIN($AC$9 * PI()/180) + 1/Performance!$AE$5</f>
        <v>0.24073077270730886</v>
      </c>
      <c r="N738">
        <f>SIN($AC$9 * PI()/180) + 1/Performance!$AE$8</f>
        <v>0.22738716112204788</v>
      </c>
      <c r="O738" s="60">
        <f>$AC$16 * (Performance!$E$12/Constraints!A738 + Performance!$E$23 * (Constraints!$AC$13/Constraints!$AC$17)^2 * Constraints!A738)</f>
        <v>2.3317393881858395E-4</v>
      </c>
      <c r="P738" t="e">
        <f t="shared" si="47"/>
        <v>#VALUE!</v>
      </c>
      <c r="Q738">
        <f t="shared" si="48"/>
        <v>146.91001748926237</v>
      </c>
      <c r="R738">
        <f t="shared" si="49"/>
        <v>162.56582508690798</v>
      </c>
      <c r="S738" t="e">
        <f xml:space="preserve"> 1.667/G738 + P738/A738 * Performance!$E$12 + Performance!$E$23 / Constraints!P738 * Constraints!A738</f>
        <v>#VALUE!</v>
      </c>
      <c r="T738">
        <f xml:space="preserve"> 1.667/H738 + Q738/A738 * Performance!$E$12 + Performance!$E$23 / Constraints!Q738 * Constraints!A738</f>
        <v>0.17638737068965751</v>
      </c>
      <c r="U738">
        <f xml:space="preserve"> 1.667/I738 + R738/A738 * Performance!$E$12 + Performance!$E$23 / Constraints!R738 * Constraints!A738</f>
        <v>0.16513776014488143</v>
      </c>
    </row>
    <row r="739" spans="1:21" x14ac:dyDescent="0.3">
      <c r="A739" s="51">
        <v>368.5</v>
      </c>
      <c r="B739" s="50">
        <f>$V$4*Performance!$E$12*(1/A739)+Performance!$E$23*(1/Constraints!$V$4)*Constraints!A739</f>
        <v>9.1665692839229818E-2</v>
      </c>
      <c r="C739" s="50">
        <f>$V$5*Performance!$E$12*(1/A739)+Performance!$E$23*(1/Constraints!$V$5)*Constraints!A739</f>
        <v>0.12966161942710105</v>
      </c>
      <c r="D739" s="52">
        <f t="shared" si="46"/>
        <v>0.44924956995448484</v>
      </c>
      <c r="E739" s="52">
        <f>$V$4*Performance!$E$12*(1/A739)+Performance!$E$23*(1/Constraints!$V$9)*Constraints!A739</f>
        <v>9.0001487816904951E-2</v>
      </c>
      <c r="F739" s="52">
        <f xml:space="preserve"> 1.21 / (9.81 * Constraints!$N$7 * Performance!$E$15 * Constraints!$N$5 ) * Constraints!A739 + 0.605 /Performance!$E$15 * (Performance!$E$16  - Constraints!$N$6 * Performance!$E$14) + Constraints!$N$6</f>
        <v>0.44904500872109604</v>
      </c>
      <c r="G739" s="54" t="s">
        <v>198</v>
      </c>
      <c r="H739" s="55">
        <f>SQRT(2/$V$3 * A739 * SQRT(Performance!$E$23 / (3 * Performance!$E$12)))</f>
        <v>23.670042092943618</v>
      </c>
      <c r="I739" s="55">
        <f>SQRT(2/$V$3 * A739 * (SQRT(Performance!$E$23)/(SQRT(3*Performance!$E$12 + 4* Performance!$E$23 * Performance!$E$11^2) - SQRT(Performance!$E$23)*Performance!$E$11)))</f>
        <v>24.899346639204182</v>
      </c>
      <c r="J739" t="e">
        <f xml:space="preserve"> $AC$3/G739 + $AC$6/A739 * Performance!$E$12 + Performance!$E$23/Constraints!$AC$6 * Constraints!A739</f>
        <v>#VALUE!</v>
      </c>
      <c r="K739">
        <f xml:space="preserve"> $AC$3/H739 + $AC$6/A739 * Performance!$E$12 + Performance!$E$23/Constraints!$AC$6 * Constraints!A739</f>
        <v>1.3994617364592745</v>
      </c>
      <c r="L739">
        <f xml:space="preserve"> $AC$3/I739 + $AC$6/A739 * Performance!$E$12 + Performance!$E$23/Constraints!$AC$6 * Constraints!A739</f>
        <v>1.3888658762883326</v>
      </c>
      <c r="M739">
        <f>SIN($AC$9 * PI()/180) + 1/Performance!$AE$5</f>
        <v>0.24073077270730886</v>
      </c>
      <c r="N739">
        <f>SIN($AC$9 * PI()/180) + 1/Performance!$AE$8</f>
        <v>0.22738716112204788</v>
      </c>
      <c r="O739" s="60">
        <f>$AC$16 * (Performance!$E$12/Constraints!A739 + Performance!$E$23 * (Constraints!$AC$13/Constraints!$AC$17)^2 * Constraints!A739)</f>
        <v>2.333094203688122E-4</v>
      </c>
      <c r="P739" t="e">
        <f t="shared" si="47"/>
        <v>#VALUE!</v>
      </c>
      <c r="Q739">
        <f t="shared" si="48"/>
        <v>147.10962349128579</v>
      </c>
      <c r="R739">
        <f t="shared" si="49"/>
        <v>162.78670256664563</v>
      </c>
      <c r="S739" t="e">
        <f xml:space="preserve"> 1.667/G739 + P739/A739 * Performance!$E$12 + Performance!$E$23 / Constraints!P739 * Constraints!A739</f>
        <v>#VALUE!</v>
      </c>
      <c r="T739">
        <f xml:space="preserve"> 1.667/H739 + Q739/A739 * Performance!$E$12 + Performance!$E$23 / Constraints!Q739 * Constraints!A739</f>
        <v>0.17633954278925629</v>
      </c>
      <c r="U739">
        <f xml:space="preserve"> 1.667/I739 + R739/A739 * Performance!$E$12 + Performance!$E$23 / Constraints!R739 * Constraints!A739</f>
        <v>0.16509229355364435</v>
      </c>
    </row>
    <row r="740" spans="1:21" x14ac:dyDescent="0.3">
      <c r="A740" s="51">
        <v>369</v>
      </c>
      <c r="B740" s="50">
        <f>$V$4*Performance!$E$12*(1/A740)+Performance!$E$23*(1/Constraints!$V$4)*Constraints!A740</f>
        <v>9.1581071723521965E-2</v>
      </c>
      <c r="C740" s="50">
        <f>$V$5*Performance!$E$12*(1/A740)+Performance!$E$23*(1/Constraints!$V$5)*Constraints!A740</f>
        <v>0.12951128468583395</v>
      </c>
      <c r="D740" s="52">
        <f t="shared" si="46"/>
        <v>0.4495218556667705</v>
      </c>
      <c r="E740" s="52">
        <f>$V$4*Performance!$E$12*(1/A740)+Performance!$E$23*(1/Constraints!$V$9)*Constraints!A740</f>
        <v>8.9914608621112543E-2</v>
      </c>
      <c r="F740" s="52">
        <f xml:space="preserve"> 1.21 / (9.81 * Constraints!$N$7 * Performance!$E$15 * Constraints!$N$5 ) * Constraints!A740 + 0.605 /Performance!$E$15 * (Performance!$E$16  - Constraints!$N$6 * Performance!$E$14) + Constraints!$N$6</f>
        <v>0.44931701687404191</v>
      </c>
      <c r="G740" s="54" t="s">
        <v>198</v>
      </c>
      <c r="H740" s="55">
        <f>SQRT(2/$V$3 * A740 * SQRT(Performance!$E$23 / (3 * Performance!$E$12)))</f>
        <v>23.686095022624038</v>
      </c>
      <c r="I740" s="55">
        <f>SQRT(2/$V$3 * A740 * (SQRT(Performance!$E$23)/(SQRT(3*Performance!$E$12 + 4* Performance!$E$23 * Performance!$E$11^2) - SQRT(Performance!$E$23)*Performance!$E$11)))</f>
        <v>24.916233278404825</v>
      </c>
      <c r="J740" t="e">
        <f xml:space="preserve"> $AC$3/G740 + $AC$6/A740 * Performance!$E$12 + Performance!$E$23/Constraints!$AC$6 * Constraints!A740</f>
        <v>#VALUE!</v>
      </c>
      <c r="K740">
        <f xml:space="preserve"> $AC$3/H740 + $AC$6/A740 * Performance!$E$12 + Performance!$E$23/Constraints!$AC$6 * Constraints!A740</f>
        <v>1.4009213642019009</v>
      </c>
      <c r="L740">
        <f xml:space="preserve"> $AC$3/I740 + $AC$6/A740 * Performance!$E$12 + Performance!$E$23/Constraints!$AC$6 * Constraints!A740</f>
        <v>1.390332685231493</v>
      </c>
      <c r="M740">
        <f>SIN($AC$9 * PI()/180) + 1/Performance!$AE$5</f>
        <v>0.24073077270730886</v>
      </c>
      <c r="N740">
        <f>SIN($AC$9 * PI()/180) + 1/Performance!$AE$8</f>
        <v>0.22738716112204788</v>
      </c>
      <c r="O740" s="60">
        <f>$AC$16 * (Performance!$E$12/Constraints!A740 + Performance!$E$23 * (Constraints!$AC$13/Constraints!$AC$17)^2 * Constraints!A740)</f>
        <v>2.3344514745801546E-4</v>
      </c>
      <c r="P740" t="e">
        <f t="shared" si="47"/>
        <v>#VALUE!</v>
      </c>
      <c r="Q740">
        <f t="shared" si="48"/>
        <v>147.30922949330923</v>
      </c>
      <c r="R740">
        <f t="shared" si="49"/>
        <v>163.00758004638325</v>
      </c>
      <c r="S740" t="e">
        <f xml:space="preserve"> 1.667/G740 + P740/A740 * Performance!$E$12 + Performance!$E$23 / Constraints!P740 * Constraints!A740</f>
        <v>#VALUE!</v>
      </c>
      <c r="T740">
        <f xml:space="preserve"> 1.667/H740 + Q740/A740 * Performance!$E$12 + Performance!$E$23 / Constraints!Q740 * Constraints!A740</f>
        <v>0.17629181213299511</v>
      </c>
      <c r="U740">
        <f xml:space="preserve"> 1.667/I740 + R740/A740 * Performance!$E$12 + Performance!$E$23 / Constraints!R740 * Constraints!A740</f>
        <v>0.16504691940551125</v>
      </c>
    </row>
    <row r="741" spans="1:21" x14ac:dyDescent="0.3">
      <c r="A741" s="51">
        <v>369.5</v>
      </c>
      <c r="B741" s="50">
        <f>$V$4*Performance!$E$12*(1/A741)+Performance!$E$23*(1/Constraints!$V$4)*Constraints!A741</f>
        <v>9.1496733227855162E-2</v>
      </c>
      <c r="C741" s="50">
        <f>$V$5*Performance!$E$12*(1/A741)+Performance!$E$23*(1/Constraints!$V$5)*Constraints!A741</f>
        <v>0.12936139114238107</v>
      </c>
      <c r="D741" s="52">
        <f t="shared" si="46"/>
        <v>0.44979414137905604</v>
      </c>
      <c r="E741" s="52">
        <f>$V$4*Performance!$E$12*(1/A741)+Performance!$E$23*(1/Constraints!$V$9)*Constraints!A741</f>
        <v>8.9828012045361172E-2</v>
      </c>
      <c r="F741" s="52">
        <f xml:space="preserve"> 1.21 / (9.81 * Constraints!$N$7 * Performance!$E$15 * Constraints!$N$5 ) * Constraints!A741 + 0.605 /Performance!$E$15 * (Performance!$E$16  - Constraints!$N$6 * Performance!$E$14) + Constraints!$N$6</f>
        <v>0.44958902502698772</v>
      </c>
      <c r="G741" s="54" t="s">
        <v>198</v>
      </c>
      <c r="H741" s="55">
        <f>SQRT(2/$V$3 * A741 * SQRT(Performance!$E$23 / (3 * Performance!$E$12)))</f>
        <v>23.70213708001512</v>
      </c>
      <c r="I741" s="55">
        <f>SQRT(2/$V$3 * A741 * (SQRT(Performance!$E$23)/(SQRT(3*Performance!$E$12 + 4* Performance!$E$23 * Performance!$E$11^2) - SQRT(Performance!$E$23)*Performance!$E$11)))</f>
        <v>24.933108480663368</v>
      </c>
      <c r="J741" t="e">
        <f xml:space="preserve"> $AC$3/G741 + $AC$6/A741 * Performance!$E$12 + Performance!$E$23/Constraints!$AC$6 * Constraints!A741</f>
        <v>#VALUE!</v>
      </c>
      <c r="K741">
        <f xml:space="preserve"> $AC$3/H741 + $AC$6/A741 * Performance!$E$12 + Performance!$E$23/Constraints!$AC$6 * Constraints!A741</f>
        <v>1.4023812907673372</v>
      </c>
      <c r="L741">
        <f xml:space="preserve"> $AC$3/I741 + $AC$6/A741 * Performance!$E$12 + Performance!$E$23/Constraints!$AC$6 * Constraints!A741</f>
        <v>1.3917997784163427</v>
      </c>
      <c r="M741">
        <f>SIN($AC$9 * PI()/180) + 1/Performance!$AE$5</f>
        <v>0.24073077270730886</v>
      </c>
      <c r="N741">
        <f>SIN($AC$9 * PI()/180) + 1/Performance!$AE$8</f>
        <v>0.22738716112204788</v>
      </c>
      <c r="O741" s="60">
        <f>$AC$16 * (Performance!$E$12/Constraints!A741 + Performance!$E$23 * (Constraints!$AC$13/Constraints!$AC$17)^2 * Constraints!A741)</f>
        <v>2.3358111908941838E-4</v>
      </c>
      <c r="P741" t="e">
        <f t="shared" si="47"/>
        <v>#VALUE!</v>
      </c>
      <c r="Q741">
        <f t="shared" si="48"/>
        <v>147.50883549533268</v>
      </c>
      <c r="R741">
        <f t="shared" si="49"/>
        <v>163.22845752612093</v>
      </c>
      <c r="S741" t="e">
        <f xml:space="preserve"> 1.667/G741 + P741/A741 * Performance!$E$12 + Performance!$E$23 / Constraints!P741 * Constraints!A741</f>
        <v>#VALUE!</v>
      </c>
      <c r="T741">
        <f xml:space="preserve"> 1.667/H741 + Q741/A741 * Performance!$E$12 + Performance!$E$23 / Constraints!Q741 * Constraints!A741</f>
        <v>0.17624417839179055</v>
      </c>
      <c r="U741">
        <f xml:space="preserve"> 1.667/I741 + R741/A741 * Performance!$E$12 + Performance!$E$23 / Constraints!R741 * Constraints!A741</f>
        <v>0.1650016373876457</v>
      </c>
    </row>
    <row r="742" spans="1:21" x14ac:dyDescent="0.3">
      <c r="A742" s="51">
        <v>370</v>
      </c>
      <c r="B742" s="50">
        <f>$V$4*Performance!$E$12*(1/A742)+Performance!$E$23*(1/Constraints!$V$4)*Constraints!A742</f>
        <v>9.1412676206472449E-2</v>
      </c>
      <c r="C742" s="50">
        <f>$V$5*Performance!$E$12*(1/A742)+Performance!$E$23*(1/Constraints!$V$5)*Constraints!A742</f>
        <v>0.12921193700810268</v>
      </c>
      <c r="D742" s="52">
        <f t="shared" si="46"/>
        <v>0.4500664270913417</v>
      </c>
      <c r="E742" s="52">
        <f>$V$4*Performance!$E$12*(1/A742)+Performance!$E$23*(1/Constraints!$V$9)*Constraints!A742</f>
        <v>8.9741696943893889E-2</v>
      </c>
      <c r="F742" s="52">
        <f xml:space="preserve"> 1.21 / (9.81 * Constraints!$N$7 * Performance!$E$15 * Constraints!$N$5 ) * Constraints!A742 + 0.605 /Performance!$E$15 * (Performance!$E$16  - Constraints!$N$6 * Performance!$E$14) + Constraints!$N$6</f>
        <v>0.44986103317993364</v>
      </c>
      <c r="G742" s="54" t="s">
        <v>198</v>
      </c>
      <c r="H742" s="55">
        <f>SQRT(2/$V$3 * A742 * SQRT(Performance!$E$23 / (3 * Performance!$E$12)))</f>
        <v>23.718168287177665</v>
      </c>
      <c r="I742" s="55">
        <f>SQRT(2/$V$3 * A742 * (SQRT(Performance!$E$23)/(SQRT(3*Performance!$E$12 + 4* Performance!$E$23 * Performance!$E$11^2) - SQRT(Performance!$E$23)*Performance!$E$11)))</f>
        <v>24.949972269186329</v>
      </c>
      <c r="J742" t="e">
        <f xml:space="preserve"> $AC$3/G742 + $AC$6/A742 * Performance!$E$12 + Performance!$E$23/Constraints!$AC$6 * Constraints!A742</f>
        <v>#VALUE!</v>
      </c>
      <c r="K742">
        <f xml:space="preserve"> $AC$3/H742 + $AC$6/A742 * Performance!$E$12 + Performance!$E$23/Constraints!$AC$6 * Constraints!A742</f>
        <v>1.4038415151433552</v>
      </c>
      <c r="L742">
        <f xml:space="preserve"> $AC$3/I742 + $AC$6/A742 * Performance!$E$12 + Performance!$E$23/Constraints!$AC$6 * Constraints!A742</f>
        <v>1.3932671548799309</v>
      </c>
      <c r="M742">
        <f>SIN($AC$9 * PI()/180) + 1/Performance!$AE$5</f>
        <v>0.24073077270730886</v>
      </c>
      <c r="N742">
        <f>SIN($AC$9 * PI()/180) + 1/Performance!$AE$8</f>
        <v>0.22738716112204788</v>
      </c>
      <c r="O742" s="60">
        <f>$AC$16 * (Performance!$E$12/Constraints!A742 + Performance!$E$23 * (Constraints!$AC$13/Constraints!$AC$17)^2 * Constraints!A742)</f>
        <v>2.3371733427163371E-4</v>
      </c>
      <c r="P742" t="e">
        <f t="shared" si="47"/>
        <v>#VALUE!</v>
      </c>
      <c r="Q742">
        <f t="shared" si="48"/>
        <v>147.70844149735618</v>
      </c>
      <c r="R742">
        <f t="shared" si="49"/>
        <v>163.44933500585856</v>
      </c>
      <c r="S742" t="e">
        <f xml:space="preserve"> 1.667/G742 + P742/A742 * Performance!$E$12 + Performance!$E$23 / Constraints!P742 * Constraints!A742</f>
        <v>#VALUE!</v>
      </c>
      <c r="T742">
        <f xml:space="preserve"> 1.667/H742 + Q742/A742 * Performance!$E$12 + Performance!$E$23 / Constraints!Q742 * Constraints!A742</f>
        <v>0.17619664123811613</v>
      </c>
      <c r="U742">
        <f xml:space="preserve"> 1.667/I742 + R742/A742 * Performance!$E$12 + Performance!$E$23 / Constraints!R742 * Constraints!A742</f>
        <v>0.16495644718869162</v>
      </c>
    </row>
    <row r="743" spans="1:21" x14ac:dyDescent="0.3">
      <c r="A743" s="51">
        <v>370.5</v>
      </c>
      <c r="B743" s="50">
        <f>$V$4*Performance!$E$12*(1/A743)+Performance!$E$23*(1/Constraints!$V$4)*Constraints!A743</f>
        <v>9.1328899519801859E-2</v>
      </c>
      <c r="C743" s="50">
        <f>$V$5*Performance!$E$12*(1/A743)+Performance!$E$23*(1/Constraints!$V$5)*Constraints!A743</f>
        <v>0.12906292050401422</v>
      </c>
      <c r="D743" s="52">
        <f t="shared" si="46"/>
        <v>0.45033871280362725</v>
      </c>
      <c r="E743" s="52">
        <f>$V$4*Performance!$E$12*(1/A743)+Performance!$E$23*(1/Constraints!$V$9)*Constraints!A743</f>
        <v>8.9655662177138731E-2</v>
      </c>
      <c r="F743" s="52">
        <f xml:space="preserve"> 1.21 / (9.81 * Constraints!$N$7 * Performance!$E$15 * Constraints!$N$5 ) * Constraints!A743 + 0.605 /Performance!$E$15 * (Performance!$E$16  - Constraints!$N$6 * Performance!$E$14) + Constraints!$N$6</f>
        <v>0.45013304133287946</v>
      </c>
      <c r="G743" s="54" t="s">
        <v>198</v>
      </c>
      <c r="H743" s="55">
        <f>SQRT(2/$V$3 * A743 * SQRT(Performance!$E$23 / (3 * Performance!$E$12)))</f>
        <v>23.73418866609796</v>
      </c>
      <c r="I743" s="55">
        <f>SQRT(2/$V$3 * A743 * (SQRT(Performance!$E$23)/(SQRT(3*Performance!$E$12 + 4* Performance!$E$23 * Performance!$E$11^2) - SQRT(Performance!$E$23)*Performance!$E$11)))</f>
        <v>24.966824667101868</v>
      </c>
      <c r="J743" t="e">
        <f xml:space="preserve"> $AC$3/G743 + $AC$6/A743 * Performance!$E$12 + Performance!$E$23/Constraints!$AC$6 * Constraints!A743</f>
        <v>#VALUE!</v>
      </c>
      <c r="K743">
        <f xml:space="preserve"> $AC$3/H743 + $AC$6/A743 * Performance!$E$12 + Performance!$E$23/Constraints!$AC$6 * Constraints!A743</f>
        <v>1.4053020363225186</v>
      </c>
      <c r="L743">
        <f xml:space="preserve"> $AC$3/I743 + $AC$6/A743 * Performance!$E$12 + Performance!$E$23/Constraints!$AC$6 * Constraints!A743</f>
        <v>1.3947348136638655</v>
      </c>
      <c r="M743">
        <f>SIN($AC$9 * PI()/180) + 1/Performance!$AE$5</f>
        <v>0.24073077270730886</v>
      </c>
      <c r="N743">
        <f>SIN($AC$9 * PI()/180) + 1/Performance!$AE$8</f>
        <v>0.22738716112204788</v>
      </c>
      <c r="O743" s="60">
        <f>$AC$16 * (Performance!$E$12/Constraints!A743 + Performance!$E$23 * (Constraints!$AC$13/Constraints!$AC$17)^2 * Constraints!A743)</f>
        <v>2.3385379201862585E-4</v>
      </c>
      <c r="P743" t="e">
        <f t="shared" si="47"/>
        <v>#VALUE!</v>
      </c>
      <c r="Q743">
        <f t="shared" si="48"/>
        <v>147.90804749937962</v>
      </c>
      <c r="R743">
        <f t="shared" si="49"/>
        <v>163.67021248559621</v>
      </c>
      <c r="S743" t="e">
        <f xml:space="preserve"> 1.667/G743 + P743/A743 * Performance!$E$12 + Performance!$E$23 / Constraints!P743 * Constraints!A743</f>
        <v>#VALUE!</v>
      </c>
      <c r="T743">
        <f xml:space="preserve"> 1.667/H743 + Q743/A743 * Performance!$E$12 + Performance!$E$23 / Constraints!Q743 * Constraints!A743</f>
        <v>0.17614920034599291</v>
      </c>
      <c r="U743">
        <f xml:space="preserve"> 1.667/I743 + R743/A743 * Performance!$E$12 + Performance!$E$23 / Constraints!R743 * Constraints!A743</f>
        <v>0.16491134849876396</v>
      </c>
    </row>
    <row r="744" spans="1:21" x14ac:dyDescent="0.3">
      <c r="A744" s="51">
        <v>371</v>
      </c>
      <c r="B744" s="50">
        <f>$V$4*Performance!$E$12*(1/A744)+Performance!$E$23*(1/Constraints!$V$4)*Constraints!A744</f>
        <v>9.1245402034414641E-2</v>
      </c>
      <c r="C744" s="50">
        <f>$V$5*Performance!$E$12*(1/A744)+Performance!$E$23*(1/Constraints!$V$5)*Constraints!A744</f>
        <v>0.12891433986072143</v>
      </c>
      <c r="D744" s="52">
        <f t="shared" si="46"/>
        <v>0.45061099851591285</v>
      </c>
      <c r="E744" s="52">
        <f>$V$4*Performance!$E$12*(1/A744)+Performance!$E$23*(1/Constraints!$V$9)*Constraints!A744</f>
        <v>8.9569906611666944E-2</v>
      </c>
      <c r="F744" s="52">
        <f xml:space="preserve"> 1.21 / (9.81 * Constraints!$N$7 * Performance!$E$15 * Constraints!$N$5 ) * Constraints!A744 + 0.605 /Performance!$E$15 * (Performance!$E$16  - Constraints!$N$6 * Performance!$E$14) + Constraints!$N$6</f>
        <v>0.45040504948582533</v>
      </c>
      <c r="G744" s="54" t="s">
        <v>198</v>
      </c>
      <c r="H744" s="55">
        <f>SQRT(2/$V$3 * A744 * SQRT(Performance!$E$23 / (3 * Performance!$E$12)))</f>
        <v>23.750198238688146</v>
      </c>
      <c r="I744" s="55">
        <f>SQRT(2/$V$3 * A744 * (SQRT(Performance!$E$23)/(SQRT(3*Performance!$E$12 + 4* Performance!$E$23 * Performance!$E$11^2) - SQRT(Performance!$E$23)*Performance!$E$11)))</f>
        <v>24.983665697460125</v>
      </c>
      <c r="J744" t="e">
        <f xml:space="preserve"> $AC$3/G744 + $AC$6/A744 * Performance!$E$12 + Performance!$E$23/Constraints!$AC$6 * Constraints!A744</f>
        <v>#VALUE!</v>
      </c>
      <c r="K744">
        <f xml:space="preserve"> $AC$3/H744 + $AC$6/A744 * Performance!$E$12 + Performance!$E$23/Constraints!$AC$6 * Constraints!A744</f>
        <v>1.4067628533021539</v>
      </c>
      <c r="L744">
        <f xml:space="preserve"> $AC$3/I744 + $AC$6/A744 * Performance!$E$12 + Performance!$E$23/Constraints!$AC$6 * Constraints!A744</f>
        <v>1.3962027538142858</v>
      </c>
      <c r="M744">
        <f>SIN($AC$9 * PI()/180) + 1/Performance!$AE$5</f>
        <v>0.24073077270730886</v>
      </c>
      <c r="N744">
        <f>SIN($AC$9 * PI()/180) + 1/Performance!$AE$8</f>
        <v>0.22738716112204788</v>
      </c>
      <c r="O744" s="60">
        <f>$AC$16 * (Performance!$E$12/Constraints!A744 + Performance!$E$23 * (Constraints!$AC$13/Constraints!$AC$17)^2 * Constraints!A744)</f>
        <v>2.3399049134967463E-4</v>
      </c>
      <c r="P744" t="e">
        <f t="shared" si="47"/>
        <v>#VALUE!</v>
      </c>
      <c r="Q744">
        <f t="shared" si="48"/>
        <v>148.10765350140312</v>
      </c>
      <c r="R744">
        <f t="shared" si="49"/>
        <v>163.89108996533383</v>
      </c>
      <c r="S744" t="e">
        <f xml:space="preserve"> 1.667/G744 + P744/A744 * Performance!$E$12 + Performance!$E$23 / Constraints!P744 * Constraints!A744</f>
        <v>#VALUE!</v>
      </c>
      <c r="T744">
        <f xml:space="preserve"> 1.667/H744 + Q744/A744 * Performance!$E$12 + Performance!$E$23 / Constraints!Q744 * Constraints!A744</f>
        <v>0.17610185539098011</v>
      </c>
      <c r="U744">
        <f xml:space="preserve"> 1.667/I744 + R744/A744 * Performance!$E$12 + Performance!$E$23 / Constraints!R744 * Constraints!A744</f>
        <v>0.16486634100943989</v>
      </c>
    </row>
    <row r="745" spans="1:21" x14ac:dyDescent="0.3">
      <c r="A745" s="51">
        <v>371.5</v>
      </c>
      <c r="B745" s="50">
        <f>$V$4*Performance!$E$12*(1/A745)+Performance!$E$23*(1/Constraints!$V$4)*Constraints!A745</f>
        <v>9.1162182622983923E-2</v>
      </c>
      <c r="C745" s="50">
        <f>$V$5*Performance!$E$12*(1/A745)+Performance!$E$23*(1/Constraints!$V$5)*Constraints!A745</f>
        <v>0.12876619331835565</v>
      </c>
      <c r="D745" s="52">
        <f t="shared" si="46"/>
        <v>0.45088328422819846</v>
      </c>
      <c r="E745" s="52">
        <f>$V$4*Performance!$E$12*(1/A745)+Performance!$E$23*(1/Constraints!$V$9)*Constraints!A745</f>
        <v>8.9484429120151671E-2</v>
      </c>
      <c r="F745" s="52">
        <f xml:space="preserve"> 1.21 / (9.81 * Constraints!$N$7 * Performance!$E$15 * Constraints!$N$5 ) * Constraints!A745 + 0.605 /Performance!$E$15 * (Performance!$E$16  - Constraints!$N$6 * Performance!$E$14) + Constraints!$N$6</f>
        <v>0.45067705763877119</v>
      </c>
      <c r="G745" s="54" t="s">
        <v>198</v>
      </c>
      <c r="H745" s="55">
        <f>SQRT(2/$V$3 * A745 * SQRT(Performance!$E$23 / (3 * Performance!$E$12)))</f>
        <v>23.76619702678655</v>
      </c>
      <c r="I745" s="55">
        <f>SQRT(2/$V$3 * A745 * (SQRT(Performance!$E$23)/(SQRT(3*Performance!$E$12 + 4* Performance!$E$23 * Performance!$E$11^2) - SQRT(Performance!$E$23)*Performance!$E$11)))</f>
        <v>25.000495383233613</v>
      </c>
      <c r="J745" t="e">
        <f xml:space="preserve"> $AC$3/G745 + $AC$6/A745 * Performance!$E$12 + Performance!$E$23/Constraints!$AC$6 * Constraints!A745</f>
        <v>#VALUE!</v>
      </c>
      <c r="K745">
        <f xml:space="preserve"> $AC$3/H745 + $AC$6/A745 * Performance!$E$12 + Performance!$E$23/Constraints!$AC$6 * Constraints!A745</f>
        <v>1.4082239650843227</v>
      </c>
      <c r="L745">
        <f xml:space="preserve"> $AC$3/I745 + $AC$6/A745 * Performance!$E$12 + Performance!$E$23/Constraints!$AC$6 * Constraints!A745</f>
        <v>1.3976709743818361</v>
      </c>
      <c r="M745">
        <f>SIN($AC$9 * PI()/180) + 1/Performance!$AE$5</f>
        <v>0.24073077270730886</v>
      </c>
      <c r="N745">
        <f>SIN($AC$9 * PI()/180) + 1/Performance!$AE$8</f>
        <v>0.22738716112204788</v>
      </c>
      <c r="O745" s="60">
        <f>$AC$16 * (Performance!$E$12/Constraints!A745 + Performance!$E$23 * (Constraints!$AC$13/Constraints!$AC$17)^2 * Constraints!A745)</f>
        <v>2.3412743128933965E-4</v>
      </c>
      <c r="P745" t="e">
        <f t="shared" si="47"/>
        <v>#VALUE!</v>
      </c>
      <c r="Q745">
        <f t="shared" si="48"/>
        <v>148.30725950342648</v>
      </c>
      <c r="R745">
        <f t="shared" si="49"/>
        <v>164.11196744507151</v>
      </c>
      <c r="S745" t="e">
        <f xml:space="preserve"> 1.667/G745 + P745/A745 * Performance!$E$12 + Performance!$E$23 / Constraints!P745 * Constraints!A745</f>
        <v>#VALUE!</v>
      </c>
      <c r="T745">
        <f xml:space="preserve"> 1.667/H745 + Q745/A745 * Performance!$E$12 + Performance!$E$23 / Constraints!Q745 * Constraints!A745</f>
        <v>0.17605460605016593</v>
      </c>
      <c r="U745">
        <f xml:space="preserve"> 1.667/I745 + R745/A745 * Performance!$E$12 + Performance!$E$23 / Constraints!R745 * Constraints!A745</f>
        <v>0.16482142441374992</v>
      </c>
    </row>
    <row r="746" spans="1:21" x14ac:dyDescent="0.3">
      <c r="A746" s="51">
        <v>372</v>
      </c>
      <c r="B746" s="50">
        <f>$V$4*Performance!$E$12*(1/A746)+Performance!$E$23*(1/Constraints!$V$4)*Constraints!A746</f>
        <v>9.1079240164243763E-2</v>
      </c>
      <c r="C746" s="50">
        <f>$V$5*Performance!$E$12*(1/A746)+Performance!$E$23*(1/Constraints!$V$5)*Constraints!A746</f>
        <v>0.12861847912650998</v>
      </c>
      <c r="D746" s="52">
        <f t="shared" si="46"/>
        <v>0.45115556994048406</v>
      </c>
      <c r="E746" s="52">
        <f>$V$4*Performance!$E$12*(1/A746)+Performance!$E$23*(1/Constraints!$V$9)*Constraints!A746</f>
        <v>8.9399228581326942E-2</v>
      </c>
      <c r="F746" s="52">
        <f xml:space="preserve"> 1.21 / (9.81 * Constraints!$N$7 * Performance!$E$15 * Constraints!$N$5 ) * Constraints!A746 + 0.605 /Performance!$E$15 * (Performance!$E$16  - Constraints!$N$6 * Performance!$E$14) + Constraints!$N$6</f>
        <v>0.45094906579171701</v>
      </c>
      <c r="G746" s="54" t="s">
        <v>198</v>
      </c>
      <c r="H746" s="55">
        <f>SQRT(2/$V$3 * A746 * SQRT(Performance!$E$23 / (3 * Performance!$E$12)))</f>
        <v>23.782185052158066</v>
      </c>
      <c r="I746" s="55">
        <f>SQRT(2/$V$3 * A746 * (SQRT(Performance!$E$23)/(SQRT(3*Performance!$E$12 + 4* Performance!$E$23 * Performance!$E$11^2) - SQRT(Performance!$E$23)*Performance!$E$11)))</f>
        <v>25.017313747317569</v>
      </c>
      <c r="J746" t="e">
        <f xml:space="preserve"> $AC$3/G746 + $AC$6/A746 * Performance!$E$12 + Performance!$E$23/Constraints!$AC$6 * Constraints!A746</f>
        <v>#VALUE!</v>
      </c>
      <c r="K746">
        <f xml:space="preserve"> $AC$3/H746 + $AC$6/A746 * Performance!$E$12 + Performance!$E$23/Constraints!$AC$6 * Constraints!A746</f>
        <v>1.4096853706757908</v>
      </c>
      <c r="L746">
        <f xml:space="preserve"> $AC$3/I746 + $AC$6/A746 * Performance!$E$12 + Performance!$E$23/Constraints!$AC$6 * Constraints!A746</f>
        <v>1.3991394744216372</v>
      </c>
      <c r="M746">
        <f>SIN($AC$9 * PI()/180) + 1/Performance!$AE$5</f>
        <v>0.24073077270730886</v>
      </c>
      <c r="N746">
        <f>SIN($AC$9 * PI()/180) + 1/Performance!$AE$8</f>
        <v>0.22738716112204788</v>
      </c>
      <c r="O746" s="60">
        <f>$AC$16 * (Performance!$E$12/Constraints!A746 + Performance!$E$23 * (Constraints!$AC$13/Constraints!$AC$17)^2 * Constraints!A746)</f>
        <v>2.3426461086742493E-4</v>
      </c>
      <c r="P746" t="e">
        <f t="shared" si="47"/>
        <v>#VALUE!</v>
      </c>
      <c r="Q746">
        <f t="shared" si="48"/>
        <v>148.50686550545001</v>
      </c>
      <c r="R746">
        <f t="shared" si="49"/>
        <v>164.33284492480917</v>
      </c>
      <c r="S746" t="e">
        <f xml:space="preserve"> 1.667/G746 + P746/A746 * Performance!$E$12 + Performance!$E$23 / Constraints!P746 * Constraints!A746</f>
        <v>#VALUE!</v>
      </c>
      <c r="T746">
        <f xml:space="preserve"> 1.667/H746 + Q746/A746 * Performance!$E$12 + Performance!$E$23 / Constraints!Q746 * Constraints!A746</f>
        <v>0.17600745200215778</v>
      </c>
      <c r="U746">
        <f xml:space="preserve"> 1.667/I746 + R746/A746 * Performance!$E$12 + Performance!$E$23 / Constraints!R746 * Constraints!A746</f>
        <v>0.16477659840616918</v>
      </c>
    </row>
    <row r="747" spans="1:21" x14ac:dyDescent="0.3">
      <c r="A747" s="51">
        <v>372.5</v>
      </c>
      <c r="B747" s="50">
        <f>$V$4*Performance!$E$12*(1/A747)+Performance!$E$23*(1/Constraints!$V$4)*Constraints!A747</f>
        <v>9.0996573542948392E-2</v>
      </c>
      <c r="C747" s="50">
        <f>$V$5*Performance!$E$12*(1/A747)+Performance!$E$23*(1/Constraints!$V$5)*Constraints!A747</f>
        <v>0.12847119554417552</v>
      </c>
      <c r="D747" s="52">
        <f t="shared" si="46"/>
        <v>0.45142785565276966</v>
      </c>
      <c r="E747" s="52">
        <f>$V$4*Performance!$E$12*(1/A747)+Performance!$E$23*(1/Constraints!$V$9)*Constraints!A747</f>
        <v>8.9314303879947016E-2</v>
      </c>
      <c r="F747" s="52">
        <f xml:space="preserve"> 1.21 / (9.81 * Constraints!$N$7 * Performance!$E$15 * Constraints!$N$5 ) * Constraints!A747 + 0.605 /Performance!$E$15 * (Performance!$E$16  - Constraints!$N$6 * Performance!$E$14) + Constraints!$N$6</f>
        <v>0.45122107394466293</v>
      </c>
      <c r="G747" s="54" t="s">
        <v>198</v>
      </c>
      <c r="H747" s="55">
        <f>SQRT(2/$V$3 * A747 * SQRT(Performance!$E$23 / (3 * Performance!$E$12)))</f>
        <v>23.79816233649445</v>
      </c>
      <c r="I747" s="55">
        <f>SQRT(2/$V$3 * A747 * (SQRT(Performance!$E$23)/(SQRT(3*Performance!$E$12 + 4* Performance!$E$23 * Performance!$E$11^2) - SQRT(Performance!$E$23)*Performance!$E$11)))</f>
        <v>25.034120812530325</v>
      </c>
      <c r="J747" t="e">
        <f xml:space="preserve"> $AC$3/G747 + $AC$6/A747 * Performance!$E$12 + Performance!$E$23/Constraints!$AC$6 * Constraints!A747</f>
        <v>#VALUE!</v>
      </c>
      <c r="K747">
        <f xml:space="preserve"> $AC$3/H747 + $AC$6/A747 * Performance!$E$12 + Performance!$E$23/Constraints!$AC$6 * Constraints!A747</f>
        <v>1.4111470690880021</v>
      </c>
      <c r="L747">
        <f xml:space="preserve"> $AC$3/I747 + $AC$6/A747 * Performance!$E$12 + Performance!$E$23/Constraints!$AC$6 * Constraints!A747</f>
        <v>1.4006082529932595</v>
      </c>
      <c r="M747">
        <f>SIN($AC$9 * PI()/180) + 1/Performance!$AE$5</f>
        <v>0.24073077270730886</v>
      </c>
      <c r="N747">
        <f>SIN($AC$9 * PI()/180) + 1/Performance!$AE$8</f>
        <v>0.22738716112204788</v>
      </c>
      <c r="O747" s="60">
        <f>$AC$16 * (Performance!$E$12/Constraints!A747 + Performance!$E$23 * (Constraints!$AC$13/Constraints!$AC$17)^2 * Constraints!A747)</f>
        <v>2.3440202911894354E-4</v>
      </c>
      <c r="P747" t="e">
        <f t="shared" si="47"/>
        <v>#VALUE!</v>
      </c>
      <c r="Q747">
        <f t="shared" si="48"/>
        <v>148.70647150747342</v>
      </c>
      <c r="R747">
        <f t="shared" si="49"/>
        <v>164.55372240454682</v>
      </c>
      <c r="S747" t="e">
        <f xml:space="preserve"> 1.667/G747 + P747/A747 * Performance!$E$12 + Performance!$E$23 / Constraints!P747 * Constraints!A747</f>
        <v>#VALUE!</v>
      </c>
      <c r="T747">
        <f xml:space="preserve"> 1.667/H747 + Q747/A747 * Performance!$E$12 + Performance!$E$23 / Constraints!Q747 * Constraints!A747</f>
        <v>0.17596039292707394</v>
      </c>
      <c r="U747">
        <f xml:space="preserve"> 1.667/I747 + R747/A747 * Performance!$E$12 + Performance!$E$23 / Constraints!R747 * Constraints!A747</f>
        <v>0.16473186268260859</v>
      </c>
    </row>
    <row r="748" spans="1:21" x14ac:dyDescent="0.3">
      <c r="A748" s="51">
        <v>373</v>
      </c>
      <c r="B748" s="50">
        <f>$V$4*Performance!$E$12*(1/A748)+Performance!$E$23*(1/Constraints!$V$4)*Constraints!A748</f>
        <v>9.0914181649832018E-2</v>
      </c>
      <c r="C748" s="50">
        <f>$V$5*Performance!$E$12*(1/A748)+Performance!$E$23*(1/Constraints!$V$5)*Constraints!A748</f>
        <v>0.12832434083967872</v>
      </c>
      <c r="D748" s="52">
        <f t="shared" si="46"/>
        <v>0.45170014136505526</v>
      </c>
      <c r="E748" s="52">
        <f>$V$4*Performance!$E$12*(1/A748)+Performance!$E$23*(1/Constraints!$V$9)*Constraints!A748</f>
        <v>8.9229653906746059E-2</v>
      </c>
      <c r="F748" s="52">
        <f xml:space="preserve"> 1.21 / (9.81 * Constraints!$N$7 * Performance!$E$15 * Constraints!$N$5 ) * Constraints!A748 + 0.605 /Performance!$E$15 * (Performance!$E$16  - Constraints!$N$6 * Performance!$E$14) + Constraints!$N$6</f>
        <v>0.45149308209760874</v>
      </c>
      <c r="G748" s="54" t="s">
        <v>198</v>
      </c>
      <c r="H748" s="55">
        <f>SQRT(2/$V$3 * A748 * SQRT(Performance!$E$23 / (3 * Performance!$E$12)))</f>
        <v>23.814128901414716</v>
      </c>
      <c r="I748" s="55">
        <f>SQRT(2/$V$3 * A748 * (SQRT(Performance!$E$23)/(SQRT(3*Performance!$E$12 + 4* Performance!$E$23 * Performance!$E$11^2) - SQRT(Performance!$E$23)*Performance!$E$11)))</f>
        <v>25.050916601613668</v>
      </c>
      <c r="J748" t="e">
        <f xml:space="preserve"> $AC$3/G748 + $AC$6/A748 * Performance!$E$12 + Performance!$E$23/Constraints!$AC$6 * Constraints!A748</f>
        <v>#VALUE!</v>
      </c>
      <c r="K748">
        <f xml:space="preserve"> $AC$3/H748 + $AC$6/A748 * Performance!$E$12 + Performance!$E$23/Constraints!$AC$6 * Constraints!A748</f>
        <v>1.4126090593370484</v>
      </c>
      <c r="L748">
        <f xml:space="preserve"> $AC$3/I748 + $AC$6/A748 * Performance!$E$12 + Performance!$E$23/Constraints!$AC$6 * Constraints!A748</f>
        <v>1.4020773091606966</v>
      </c>
      <c r="M748">
        <f>SIN($AC$9 * PI()/180) + 1/Performance!$AE$5</f>
        <v>0.24073077270730886</v>
      </c>
      <c r="N748">
        <f>SIN($AC$9 * PI()/180) + 1/Performance!$AE$8</f>
        <v>0.22738716112204788</v>
      </c>
      <c r="O748" s="60">
        <f>$AC$16 * (Performance!$E$12/Constraints!A748 + Performance!$E$23 * (Constraints!$AC$13/Constraints!$AC$17)^2 * Constraints!A748)</f>
        <v>2.3453968508408278E-4</v>
      </c>
      <c r="P748" t="e">
        <f t="shared" si="47"/>
        <v>#VALUE!</v>
      </c>
      <c r="Q748">
        <f t="shared" si="48"/>
        <v>148.90607750949692</v>
      </c>
      <c r="R748">
        <f t="shared" si="49"/>
        <v>164.77459988428441</v>
      </c>
      <c r="S748" t="e">
        <f xml:space="preserve"> 1.667/G748 + P748/A748 * Performance!$E$12 + Performance!$E$23 / Constraints!P748 * Constraints!A748</f>
        <v>#VALUE!</v>
      </c>
      <c r="T748">
        <f xml:space="preserve"> 1.667/H748 + Q748/A748 * Performance!$E$12 + Performance!$E$23 / Constraints!Q748 * Constraints!A748</f>
        <v>0.1759134285065336</v>
      </c>
      <c r="U748">
        <f xml:space="preserve"> 1.667/I748 + R748/A748 * Performance!$E$12 + Performance!$E$23 / Constraints!R748 * Constraints!A748</f>
        <v>0.16468721694040633</v>
      </c>
    </row>
    <row r="749" spans="1:21" x14ac:dyDescent="0.3">
      <c r="A749" s="51">
        <v>373.5</v>
      </c>
      <c r="B749" s="50">
        <f>$V$4*Performance!$E$12*(1/A749)+Performance!$E$23*(1/Constraints!$V$4)*Constraints!A749</f>
        <v>9.0832063381568573E-2</v>
      </c>
      <c r="C749" s="50">
        <f>$V$5*Performance!$E$12*(1/A749)+Performance!$E$23*(1/Constraints!$V$5)*Constraints!A749</f>
        <v>0.12817791329061859</v>
      </c>
      <c r="D749" s="52">
        <f t="shared" si="46"/>
        <v>0.45197242707734087</v>
      </c>
      <c r="E749" s="52">
        <f>$V$4*Performance!$E$12*(1/A749)+Performance!$E$23*(1/Constraints!$V$9)*Constraints!A749</f>
        <v>8.9145277558398045E-2</v>
      </c>
      <c r="F749" s="52">
        <f xml:space="preserve"> 1.21 / (9.81 * Constraints!$N$7 * Performance!$E$15 * Constraints!$N$5 ) * Constraints!A749 + 0.605 /Performance!$E$15 * (Performance!$E$16  - Constraints!$N$6 * Performance!$E$14) + Constraints!$N$6</f>
        <v>0.45176509025055461</v>
      </c>
      <c r="G749" s="54" t="s">
        <v>198</v>
      </c>
      <c r="H749" s="55">
        <f>SQRT(2/$V$3 * A749 * SQRT(Performance!$E$23 / (3 * Performance!$E$12)))</f>
        <v>23.830084768465433</v>
      </c>
      <c r="I749" s="55">
        <f>SQRT(2/$V$3 * A749 * (SQRT(Performance!$E$23)/(SQRT(3*Performance!$E$12 + 4* Performance!$E$23 * Performance!$E$11^2) - SQRT(Performance!$E$23)*Performance!$E$11)))</f>
        <v>25.067701137233204</v>
      </c>
      <c r="J749" t="e">
        <f xml:space="preserve"> $AC$3/G749 + $AC$6/A749 * Performance!$E$12 + Performance!$E$23/Constraints!$AC$6 * Constraints!A749</f>
        <v>#VALUE!</v>
      </c>
      <c r="K749">
        <f xml:space="preserve"> $AC$3/H749 + $AC$6/A749 * Performance!$E$12 + Performance!$E$23/Constraints!$AC$6 * Constraints!A749</f>
        <v>1.4140713404436429</v>
      </c>
      <c r="L749">
        <f xml:space="preserve"> $AC$3/I749 + $AC$6/A749 * Performance!$E$12 + Performance!$E$23/Constraints!$AC$6 * Constraints!A749</f>
        <v>1.4035466419923377</v>
      </c>
      <c r="M749">
        <f>SIN($AC$9 * PI()/180) + 1/Performance!$AE$5</f>
        <v>0.24073077270730886</v>
      </c>
      <c r="N749">
        <f>SIN($AC$9 * PI()/180) + 1/Performance!$AE$8</f>
        <v>0.22738716112204788</v>
      </c>
      <c r="O749" s="60">
        <f>$AC$16 * (Performance!$E$12/Constraints!A749 + Performance!$E$23 * (Constraints!$AC$13/Constraints!$AC$17)^2 * Constraints!A749)</f>
        <v>2.346775778081694E-4</v>
      </c>
      <c r="P749" t="e">
        <f t="shared" si="47"/>
        <v>#VALUE!</v>
      </c>
      <c r="Q749">
        <f t="shared" si="48"/>
        <v>149.10568351152037</v>
      </c>
      <c r="R749">
        <f t="shared" si="49"/>
        <v>164.99547736402209</v>
      </c>
      <c r="S749" t="e">
        <f xml:space="preserve"> 1.667/G749 + P749/A749 * Performance!$E$12 + Performance!$E$23 / Constraints!P749 * Constraints!A749</f>
        <v>#VALUE!</v>
      </c>
      <c r="T749">
        <f xml:space="preserve"> 1.667/H749 + Q749/A749 * Performance!$E$12 + Performance!$E$23 / Constraints!Q749 * Constraints!A749</f>
        <v>0.17586655842364846</v>
      </c>
      <c r="U749">
        <f xml:space="preserve"> 1.667/I749 + R749/A749 * Performance!$E$12 + Performance!$E$23 / Constraints!R749 * Constraints!A749</f>
        <v>0.16464266087831891</v>
      </c>
    </row>
    <row r="750" spans="1:21" x14ac:dyDescent="0.3">
      <c r="A750" s="51">
        <v>374</v>
      </c>
      <c r="B750" s="50">
        <f>$V$4*Performance!$E$12*(1/A750)+Performance!$E$23*(1/Constraints!$V$4)*Constraints!A750</f>
        <v>9.075021764073217E-2</v>
      </c>
      <c r="C750" s="50">
        <f>$V$5*Performance!$E$12*(1/A750)+Performance!$E$23*(1/Constraints!$V$5)*Constraints!A750</f>
        <v>0.12803191118380486</v>
      </c>
      <c r="D750" s="52">
        <f t="shared" si="46"/>
        <v>0.45224471278962641</v>
      </c>
      <c r="E750" s="52">
        <f>$V$4*Performance!$E$12*(1/A750)+Performance!$E$23*(1/Constraints!$V$9)*Constraints!A750</f>
        <v>8.9061173737477087E-2</v>
      </c>
      <c r="F750" s="52">
        <f xml:space="preserve"> 1.21 / (9.81 * Constraints!$N$7 * Performance!$E$15 * Constraints!$N$5 ) * Constraints!A750 + 0.605 /Performance!$E$15 * (Performance!$E$16  - Constraints!$N$6 * Performance!$E$14) + Constraints!$N$6</f>
        <v>0.45203709840350048</v>
      </c>
      <c r="G750" s="54" t="s">
        <v>198</v>
      </c>
      <c r="H750" s="55">
        <f>SQRT(2/$V$3 * A750 * SQRT(Performance!$E$23 / (3 * Performance!$E$12)))</f>
        <v>23.846029959121093</v>
      </c>
      <c r="I750" s="55">
        <f>SQRT(2/$V$3 * A750 * (SQRT(Performance!$E$23)/(SQRT(3*Performance!$E$12 + 4* Performance!$E$23 * Performance!$E$11^2) - SQRT(Performance!$E$23)*Performance!$E$11)))</f>
        <v>25.084474441978692</v>
      </c>
      <c r="J750" t="e">
        <f xml:space="preserve"> $AC$3/G750 + $AC$6/A750 * Performance!$E$12 + Performance!$E$23/Constraints!$AC$6 * Constraints!A750</f>
        <v>#VALUE!</v>
      </c>
      <c r="K750">
        <f xml:space="preserve"> $AC$3/H750 + $AC$6/A750 * Performance!$E$12 + Performance!$E$23/Constraints!$AC$6 * Constraints!A750</f>
        <v>1.4155339114330916</v>
      </c>
      <c r="L750">
        <f xml:space="preserve"> $AC$3/I750 + $AC$6/A750 * Performance!$E$12 + Performance!$E$23/Constraints!$AC$6 * Constraints!A750</f>
        <v>1.4050162505609427</v>
      </c>
      <c r="M750">
        <f>SIN($AC$9 * PI()/180) + 1/Performance!$AE$5</f>
        <v>0.24073077270730886</v>
      </c>
      <c r="N750">
        <f>SIN($AC$9 * PI()/180) + 1/Performance!$AE$8</f>
        <v>0.22738716112204788</v>
      </c>
      <c r="O750" s="60">
        <f>$AC$16 * (Performance!$E$12/Constraints!A750 + Performance!$E$23 * (Constraints!$AC$13/Constraints!$AC$17)^2 * Constraints!A750)</f>
        <v>2.348157063416355E-4</v>
      </c>
      <c r="P750" t="e">
        <f t="shared" si="47"/>
        <v>#VALUE!</v>
      </c>
      <c r="Q750">
        <f t="shared" si="48"/>
        <v>149.30528951354384</v>
      </c>
      <c r="R750">
        <f t="shared" si="49"/>
        <v>165.21635484375975</v>
      </c>
      <c r="S750" t="e">
        <f xml:space="preserve"> 1.667/G750 + P750/A750 * Performance!$E$12 + Performance!$E$23 / Constraints!P750 * Constraints!A750</f>
        <v>#VALUE!</v>
      </c>
      <c r="T750">
        <f xml:space="preserve"> 1.667/H750 + Q750/A750 * Performance!$E$12 + Performance!$E$23 / Constraints!Q750 * Constraints!A750</f>
        <v>0.17581978236301327</v>
      </c>
      <c r="U750">
        <f xml:space="preserve"> 1.667/I750 + R750/A750 * Performance!$E$12 + Performance!$E$23 / Constraints!R750 * Constraints!A750</f>
        <v>0.16459819419651317</v>
      </c>
    </row>
    <row r="751" spans="1:21" x14ac:dyDescent="0.3">
      <c r="A751" s="51">
        <v>374.5</v>
      </c>
      <c r="B751" s="50">
        <f>$V$4*Performance!$E$12*(1/A751)+Performance!$E$23*(1/Constraints!$V$4)*Constraints!A751</f>
        <v>9.0668643335757707E-2</v>
      </c>
      <c r="C751" s="50">
        <f>$V$5*Performance!$E$12*(1/A751)+Performance!$E$23*(1/Constraints!$V$5)*Constraints!A751</f>
        <v>0.12788633281519651</v>
      </c>
      <c r="D751" s="52">
        <f t="shared" si="46"/>
        <v>0.45251699850191207</v>
      </c>
      <c r="E751" s="52">
        <f>$V$4*Performance!$E$12*(1/A751)+Performance!$E$23*(1/Constraints!$V$9)*Constraints!A751</f>
        <v>8.8977341352418055E-2</v>
      </c>
      <c r="F751" s="52">
        <f xml:space="preserve"> 1.21 / (9.81 * Constraints!$N$7 * Performance!$E$15 * Constraints!$N$5 ) * Constraints!A751 + 0.605 /Performance!$E$15 * (Performance!$E$16  - Constraints!$N$6 * Performance!$E$14) + Constraints!$N$6</f>
        <v>0.45230910655644629</v>
      </c>
      <c r="G751" s="54" t="s">
        <v>198</v>
      </c>
      <c r="H751" s="55">
        <f>SQRT(2/$V$3 * A751 * SQRT(Performance!$E$23 / (3 * Performance!$E$12)))</f>
        <v>23.861964494784438</v>
      </c>
      <c r="I751" s="55">
        <f>SQRT(2/$V$3 * A751 * (SQRT(Performance!$E$23)/(SQRT(3*Performance!$E$12 + 4* Performance!$E$23 * Performance!$E$11^2) - SQRT(Performance!$E$23)*Performance!$E$11)))</f>
        <v>25.101236538364432</v>
      </c>
      <c r="J751" t="e">
        <f xml:space="preserve"> $AC$3/G751 + $AC$6/A751 * Performance!$E$12 + Performance!$E$23/Constraints!$AC$6 * Constraints!A751</f>
        <v>#VALUE!</v>
      </c>
      <c r="K751">
        <f xml:space="preserve"> $AC$3/H751 + $AC$6/A751 * Performance!$E$12 + Performance!$E$23/Constraints!$AC$6 * Constraints!A751</f>
        <v>1.4169967713352654</v>
      </c>
      <c r="L751">
        <f xml:space="preserve"> $AC$3/I751 + $AC$6/A751 * Performance!$E$12 + Performance!$E$23/Constraints!$AC$6 * Constraints!A751</f>
        <v>1.4064861339436139</v>
      </c>
      <c r="M751">
        <f>SIN($AC$9 * PI()/180) + 1/Performance!$AE$5</f>
        <v>0.24073077270730886</v>
      </c>
      <c r="N751">
        <f>SIN($AC$9 * PI()/180) + 1/Performance!$AE$8</f>
        <v>0.22738716112204788</v>
      </c>
      <c r="O751" s="60">
        <f>$AC$16 * (Performance!$E$12/Constraints!A751 + Performance!$E$23 * (Constraints!$AC$13/Constraints!$AC$17)^2 * Constraints!A751)</f>
        <v>2.3495406973998419E-4</v>
      </c>
      <c r="P751" t="e">
        <f t="shared" si="47"/>
        <v>#VALUE!</v>
      </c>
      <c r="Q751">
        <f t="shared" si="48"/>
        <v>149.50489551556726</v>
      </c>
      <c r="R751">
        <f t="shared" si="49"/>
        <v>165.43723232349737</v>
      </c>
      <c r="S751" t="e">
        <f xml:space="preserve"> 1.667/G751 + P751/A751 * Performance!$E$12 + Performance!$E$23 / Constraints!P751 * Constraints!A751</f>
        <v>#VALUE!</v>
      </c>
      <c r="T751">
        <f xml:space="preserve"> 1.667/H751 + Q751/A751 * Performance!$E$12 + Performance!$E$23 / Constraints!Q751 * Constraints!A751</f>
        <v>0.17577310001069732</v>
      </c>
      <c r="U751">
        <f xml:space="preserve"> 1.667/I751 + R751/A751 * Performance!$E$12 + Performance!$E$23 / Constraints!R751 * Constraints!A751</f>
        <v>0.16455381659655732</v>
      </c>
    </row>
    <row r="752" spans="1:21" x14ac:dyDescent="0.3">
      <c r="A752" s="51">
        <v>375</v>
      </c>
      <c r="B752" s="50">
        <f>$V$4*Performance!$E$12*(1/A752)+Performance!$E$23*(1/Constraints!$V$4)*Constraints!A752</f>
        <v>9.0587339380901702E-2</v>
      </c>
      <c r="C752" s="50">
        <f>$V$5*Performance!$E$12*(1/A752)+Performance!$E$23*(1/Constraints!$V$5)*Constraints!A752</f>
        <v>0.12774117648984074</v>
      </c>
      <c r="D752" s="52">
        <f t="shared" si="46"/>
        <v>0.45278928421419762</v>
      </c>
      <c r="E752" s="52">
        <f>$V$4*Performance!$E$12*(1/A752)+Performance!$E$23*(1/Constraints!$V$9)*Constraints!A752</f>
        <v>8.8893779317477495E-2</v>
      </c>
      <c r="F752" s="52">
        <f xml:space="preserve"> 1.21 / (9.81 * Constraints!$N$7 * Performance!$E$15 * Constraints!$N$5 ) * Constraints!A752 + 0.605 /Performance!$E$15 * (Performance!$E$16  - Constraints!$N$6 * Performance!$E$14) + Constraints!$N$6</f>
        <v>0.45258111470939216</v>
      </c>
      <c r="G752" s="54" t="s">
        <v>198</v>
      </c>
      <c r="H752" s="55">
        <f>SQRT(2/$V$3 * A752 * SQRT(Performance!$E$23 / (3 * Performance!$E$12)))</f>
        <v>23.877888396786801</v>
      </c>
      <c r="I752" s="55">
        <f>SQRT(2/$V$3 * A752 * (SQRT(Performance!$E$23)/(SQRT(3*Performance!$E$12 + 4* Performance!$E$23 * Performance!$E$11^2) - SQRT(Performance!$E$23)*Performance!$E$11)))</f>
        <v>25.117987448829595</v>
      </c>
      <c r="J752" t="e">
        <f xml:space="preserve"> $AC$3/G752 + $AC$6/A752 * Performance!$E$12 + Performance!$E$23/Constraints!$AC$6 * Constraints!A752</f>
        <v>#VALUE!</v>
      </c>
      <c r="K752">
        <f xml:space="preserve"> $AC$3/H752 + $AC$6/A752 * Performance!$E$12 + Performance!$E$23/Constraints!$AC$6 * Constraints!A752</f>
        <v>1.4184599191845724</v>
      </c>
      <c r="L752">
        <f xml:space="preserve"> $AC$3/I752 + $AC$6/A752 * Performance!$E$12 + Performance!$E$23/Constraints!$AC$6 * Constraints!A752</f>
        <v>1.4079562912217711</v>
      </c>
      <c r="M752">
        <f>SIN($AC$9 * PI()/180) + 1/Performance!$AE$5</f>
        <v>0.24073077270730886</v>
      </c>
      <c r="N752">
        <f>SIN($AC$9 * PI()/180) + 1/Performance!$AE$8</f>
        <v>0.22738716112204788</v>
      </c>
      <c r="O752" s="60">
        <f>$AC$16 * (Performance!$E$12/Constraints!A752 + Performance!$E$23 * (Constraints!$AC$13/Constraints!$AC$17)^2 * Constraints!A752)</f>
        <v>2.3509266706375594E-4</v>
      </c>
      <c r="P752" t="e">
        <f t="shared" si="47"/>
        <v>#VALUE!</v>
      </c>
      <c r="Q752">
        <f t="shared" si="48"/>
        <v>149.70450151759073</v>
      </c>
      <c r="R752">
        <f t="shared" si="49"/>
        <v>165.65810980323502</v>
      </c>
      <c r="S752" t="e">
        <f xml:space="preserve"> 1.667/G752 + P752/A752 * Performance!$E$12 + Performance!$E$23 / Constraints!P752 * Constraints!A752</f>
        <v>#VALUE!</v>
      </c>
      <c r="T752">
        <f xml:space="preserve"> 1.667/H752 + Q752/A752 * Performance!$E$12 + Performance!$E$23 / Constraints!Q752 * Constraints!A752</f>
        <v>0.17572651105423526</v>
      </c>
      <c r="U752">
        <f xml:space="preserve"> 1.667/I752 + R752/A752 * Performance!$E$12 + Performance!$E$23 / Constraints!R752 * Constraints!A752</f>
        <v>0.16450952778141281</v>
      </c>
    </row>
    <row r="753" spans="1:21" x14ac:dyDescent="0.3">
      <c r="A753" s="51">
        <v>375.5</v>
      </c>
      <c r="B753" s="50">
        <f>$V$4*Performance!$E$12*(1/A753)+Performance!$E$23*(1/Constraints!$V$4)*Constraints!A753</f>
        <v>9.0506304696203688E-2</v>
      </c>
      <c r="C753" s="50">
        <f>$V$5*Performance!$E$12*(1/A753)+Performance!$E$23*(1/Constraints!$V$5)*Constraints!A753</f>
        <v>0.12759644052181238</v>
      </c>
      <c r="D753" s="52">
        <f t="shared" si="46"/>
        <v>0.45306156992648328</v>
      </c>
      <c r="E753" s="52">
        <f>$V$4*Performance!$E$12*(1/A753)+Performance!$E$23*(1/Constraints!$V$9)*Constraints!A753</f>
        <v>8.8810486552694912E-2</v>
      </c>
      <c r="F753" s="52">
        <f xml:space="preserve"> 1.21 / (9.81 * Constraints!$N$7 * Performance!$E$15 * Constraints!$N$5 ) * Constraints!A753 + 0.605 /Performance!$E$15 * (Performance!$E$16  - Constraints!$N$6 * Performance!$E$14) + Constraints!$N$6</f>
        <v>0.45285312286233803</v>
      </c>
      <c r="G753" s="54" t="s">
        <v>198</v>
      </c>
      <c r="H753" s="55">
        <f>SQRT(2/$V$3 * A753 * SQRT(Performance!$E$23 / (3 * Performance!$E$12)))</f>
        <v>23.893801686388422</v>
      </c>
      <c r="I753" s="55">
        <f>SQRT(2/$V$3 * A753 * (SQRT(Performance!$E$23)/(SQRT(3*Performance!$E$12 + 4* Performance!$E$23 * Performance!$E$11^2) - SQRT(Performance!$E$23)*Performance!$E$11)))</f>
        <v>25.134727195738577</v>
      </c>
      <c r="J753" t="e">
        <f xml:space="preserve"> $AC$3/G753 + $AC$6/A753 * Performance!$E$12 + Performance!$E$23/Constraints!$AC$6 * Constraints!A753</f>
        <v>#VALUE!</v>
      </c>
      <c r="K753">
        <f xml:space="preserve"> $AC$3/H753 + $AC$6/A753 * Performance!$E$12 + Performance!$E$23/Constraints!$AC$6 * Constraints!A753</f>
        <v>1.4199233540199325</v>
      </c>
      <c r="L753">
        <f xml:space="preserve"> $AC$3/I753 + $AC$6/A753 * Performance!$E$12 + Performance!$E$23/Constraints!$AC$6 * Constraints!A753</f>
        <v>1.4094267214811258</v>
      </c>
      <c r="M753">
        <f>SIN($AC$9 * PI()/180) + 1/Performance!$AE$5</f>
        <v>0.24073077270730886</v>
      </c>
      <c r="N753">
        <f>SIN($AC$9 * PI()/180) + 1/Performance!$AE$8</f>
        <v>0.22738716112204788</v>
      </c>
      <c r="O753" s="60">
        <f>$AC$16 * (Performance!$E$12/Constraints!A753 + Performance!$E$23 * (Constraints!$AC$13/Constraints!$AC$17)^2 * Constraints!A753)</f>
        <v>2.3523149737849505E-4</v>
      </c>
      <c r="P753" t="e">
        <f t="shared" si="47"/>
        <v>#VALUE!</v>
      </c>
      <c r="Q753">
        <f t="shared" si="48"/>
        <v>149.90410751961414</v>
      </c>
      <c r="R753">
        <f t="shared" si="49"/>
        <v>165.87898728297267</v>
      </c>
      <c r="S753" t="e">
        <f xml:space="preserve"> 1.667/G753 + P753/A753 * Performance!$E$12 + Performance!$E$23 / Constraints!P753 * Constraints!A753</f>
        <v>#VALUE!</v>
      </c>
      <c r="T753">
        <f xml:space="preserve"> 1.667/H753 + Q753/A753 * Performance!$E$12 + Performance!$E$23 / Constraints!Q753 * Constraints!A753</f>
        <v>0.17568001518261855</v>
      </c>
      <c r="U753">
        <f xml:space="preserve"> 1.667/I753 + R753/A753 * Performance!$E$12 + Performance!$E$23 / Constraints!R753 * Constraints!A753</f>
        <v>0.1644653274554258</v>
      </c>
    </row>
    <row r="754" spans="1:21" x14ac:dyDescent="0.3">
      <c r="A754" s="51">
        <v>376</v>
      </c>
      <c r="B754" s="50">
        <f>$V$4*Performance!$E$12*(1/A754)+Performance!$E$23*(1/Constraints!$V$4)*Constraints!A754</f>
        <v>9.0425538207447531E-2</v>
      </c>
      <c r="C754" s="50">
        <f>$V$5*Performance!$E$12*(1/A754)+Performance!$E$23*(1/Constraints!$V$5)*Constraints!A754</f>
        <v>0.12745212323415406</v>
      </c>
      <c r="D754" s="52">
        <f t="shared" si="46"/>
        <v>0.45333385563876882</v>
      </c>
      <c r="E754" s="52">
        <f>$V$4*Performance!$E$12*(1/A754)+Performance!$E$23*(1/Constraints!$V$9)*Constraints!A754</f>
        <v>8.87274619838542E-2</v>
      </c>
      <c r="F754" s="52">
        <f xml:space="preserve"> 1.21 / (9.81 * Constraints!$N$7 * Performance!$E$15 * Constraints!$N$5 ) * Constraints!A754 + 0.605 /Performance!$E$15 * (Performance!$E$16  - Constraints!$N$6 * Performance!$E$14) + Constraints!$N$6</f>
        <v>0.4531251310152839</v>
      </c>
      <c r="G754" s="54" t="s">
        <v>198</v>
      </c>
      <c r="H754" s="55">
        <f>SQRT(2/$V$3 * A754 * SQRT(Performance!$E$23 / (3 * Performance!$E$12)))</f>
        <v>23.909704384778806</v>
      </c>
      <c r="I754" s="55">
        <f>SQRT(2/$V$3 * A754 * (SQRT(Performance!$E$23)/(SQRT(3*Performance!$E$12 + 4* Performance!$E$23 * Performance!$E$11^2) - SQRT(Performance!$E$23)*Performance!$E$11)))</f>
        <v>25.151455801381356</v>
      </c>
      <c r="J754" t="e">
        <f xml:space="preserve"> $AC$3/G754 + $AC$6/A754 * Performance!$E$12 + Performance!$E$23/Constraints!$AC$6 * Constraints!A754</f>
        <v>#VALUE!</v>
      </c>
      <c r="K754">
        <f xml:space="preserve"> $AC$3/H754 + $AC$6/A754 * Performance!$E$12 + Performance!$E$23/Constraints!$AC$6 * Constraints!A754</f>
        <v>1.4213870748847479</v>
      </c>
      <c r="L754">
        <f xml:space="preserve"> $AC$3/I754 + $AC$6/A754 * Performance!$E$12 + Performance!$E$23/Constraints!$AC$6 * Constraints!A754</f>
        <v>1.4108974238116545</v>
      </c>
      <c r="M754">
        <f>SIN($AC$9 * PI()/180) + 1/Performance!$AE$5</f>
        <v>0.24073077270730886</v>
      </c>
      <c r="N754">
        <f>SIN($AC$9 * PI()/180) + 1/Performance!$AE$8</f>
        <v>0.22738716112204788</v>
      </c>
      <c r="O754" s="60">
        <f>$AC$16 * (Performance!$E$12/Constraints!A754 + Performance!$E$23 * (Constraints!$AC$13/Constraints!$AC$17)^2 * Constraints!A754)</f>
        <v>2.3537055975471612E-4</v>
      </c>
      <c r="P754" t="e">
        <f t="shared" si="47"/>
        <v>#VALUE!</v>
      </c>
      <c r="Q754">
        <f t="shared" si="48"/>
        <v>150.10371352163762</v>
      </c>
      <c r="R754">
        <f t="shared" si="49"/>
        <v>166.09986476271033</v>
      </c>
      <c r="S754" t="e">
        <f xml:space="preserve"> 1.667/G754 + P754/A754 * Performance!$E$12 + Performance!$E$23 / Constraints!P754 * Constraints!A754</f>
        <v>#VALUE!</v>
      </c>
      <c r="T754">
        <f xml:space="preserve"> 1.667/H754 + Q754/A754 * Performance!$E$12 + Performance!$E$23 / Constraints!Q754 * Constraints!A754</f>
        <v>0.1756336120862865</v>
      </c>
      <c r="U754">
        <f xml:space="preserve"> 1.667/I754 + R754/A754 * Performance!$E$12 + Performance!$E$23 / Constraints!R754 * Constraints!A754</f>
        <v>0.16442121532431903</v>
      </c>
    </row>
    <row r="755" spans="1:21" x14ac:dyDescent="0.3">
      <c r="A755" s="51">
        <v>376.5</v>
      </c>
      <c r="B755" s="50">
        <f>$V$4*Performance!$E$12*(1/A755)+Performance!$E$23*(1/Constraints!$V$4)*Constraints!A755</f>
        <v>9.0345038846123563E-2</v>
      </c>
      <c r="C755" s="50">
        <f>$V$5*Performance!$E$12*(1/A755)+Performance!$E$23*(1/Constraints!$V$5)*Constraints!A755</f>
        <v>0.12730822295881647</v>
      </c>
      <c r="D755" s="52">
        <f t="shared" si="46"/>
        <v>0.45360614135105443</v>
      </c>
      <c r="E755" s="52">
        <f>$V$4*Performance!$E$12*(1/A755)+Performance!$E$23*(1/Constraints!$V$9)*Constraints!A755</f>
        <v>8.8644704542445649E-2</v>
      </c>
      <c r="F755" s="52">
        <f xml:space="preserve"> 1.21 / (9.81 * Constraints!$N$7 * Performance!$E$15 * Constraints!$N$5 ) * Constraints!A755 + 0.605 /Performance!$E$15 * (Performance!$E$16  - Constraints!$N$6 * Performance!$E$14) + Constraints!$N$6</f>
        <v>0.45339713916822977</v>
      </c>
      <c r="G755" s="54" t="s">
        <v>198</v>
      </c>
      <c r="H755" s="55">
        <f>SQRT(2/$V$3 * A755 * SQRT(Performance!$E$23 / (3 * Performance!$E$12)))</f>
        <v>23.925596513077025</v>
      </c>
      <c r="I755" s="55">
        <f>SQRT(2/$V$3 * A755 * (SQRT(Performance!$E$23)/(SQRT(3*Performance!$E$12 + 4* Performance!$E$23 * Performance!$E$11^2) - SQRT(Performance!$E$23)*Performance!$E$11)))</f>
        <v>25.168173287973829</v>
      </c>
      <c r="J755" t="e">
        <f xml:space="preserve"> $AC$3/G755 + $AC$6/A755 * Performance!$E$12 + Performance!$E$23/Constraints!$AC$6 * Constraints!A755</f>
        <v>#VALUE!</v>
      </c>
      <c r="K755">
        <f xml:space="preserve"> $AC$3/H755 + $AC$6/A755 * Performance!$E$12 + Performance!$E$23/Constraints!$AC$6 * Constraints!A755</f>
        <v>1.4228510808268779</v>
      </c>
      <c r="L755">
        <f xml:space="preserve"> $AC$3/I755 + $AC$6/A755 * Performance!$E$12 + Performance!$E$23/Constraints!$AC$6 * Constraints!A755</f>
        <v>1.4123683973075745</v>
      </c>
      <c r="M755">
        <f>SIN($AC$9 * PI()/180) + 1/Performance!$AE$5</f>
        <v>0.24073077270730886</v>
      </c>
      <c r="N755">
        <f>SIN($AC$9 * PI()/180) + 1/Performance!$AE$8</f>
        <v>0.22738716112204788</v>
      </c>
      <c r="O755" s="60">
        <f>$AC$16 * (Performance!$E$12/Constraints!A755 + Performance!$E$23 * (Constraints!$AC$13/Constraints!$AC$17)^2 * Constraints!A755)</f>
        <v>2.3550985326787165E-4</v>
      </c>
      <c r="P755" t="e">
        <f t="shared" si="47"/>
        <v>#VALUE!</v>
      </c>
      <c r="Q755">
        <f t="shared" si="48"/>
        <v>150.30331952366112</v>
      </c>
      <c r="R755">
        <f t="shared" si="49"/>
        <v>166.32074224244801</v>
      </c>
      <c r="S755" t="e">
        <f xml:space="preserve"> 1.667/G755 + P755/A755 * Performance!$E$12 + Performance!$E$23 / Constraints!P755 * Constraints!A755</f>
        <v>#VALUE!</v>
      </c>
      <c r="T755">
        <f xml:space="preserve"> 1.667/H755 + Q755/A755 * Performance!$E$12 + Performance!$E$23 / Constraints!Q755 * Constraints!A755</f>
        <v>0.17558730145711796</v>
      </c>
      <c r="U755">
        <f xml:space="preserve"> 1.667/I755 + R755/A755 * Performance!$E$12 + Performance!$E$23 / Constraints!R755 * Constraints!A755</f>
        <v>0.16437719109518345</v>
      </c>
    </row>
    <row r="756" spans="1:21" x14ac:dyDescent="0.3">
      <c r="A756" s="51">
        <v>377</v>
      </c>
      <c r="B756" s="50">
        <f>$V$4*Performance!$E$12*(1/A756)+Performance!$E$23*(1/Constraints!$V$4)*Constraints!A756</f>
        <v>9.0264805549390537E-2</v>
      </c>
      <c r="C756" s="50">
        <f>$V$5*Performance!$E$12*(1/A756)+Performance!$E$23*(1/Constraints!$V$5)*Constraints!A756</f>
        <v>0.12716473803659942</v>
      </c>
      <c r="D756" s="52">
        <f t="shared" si="46"/>
        <v>0.45387842706334003</v>
      </c>
      <c r="E756" s="52">
        <f>$V$4*Performance!$E$12*(1/A756)+Performance!$E$23*(1/Constraints!$V$9)*Constraints!A756</f>
        <v>8.8562213165628054E-2</v>
      </c>
      <c r="F756" s="52">
        <f xml:space="preserve"> 1.21 / (9.81 * Constraints!$N$7 * Performance!$E$15 * Constraints!$N$5 ) * Constraints!A756 + 0.605 /Performance!$E$15 * (Performance!$E$16  - Constraints!$N$6 * Performance!$E$14) + Constraints!$N$6</f>
        <v>0.45366914732117558</v>
      </c>
      <c r="G756" s="54" t="s">
        <v>198</v>
      </c>
      <c r="H756" s="55">
        <f>SQRT(2/$V$3 * A756 * SQRT(Performance!$E$23 / (3 * Performance!$E$12)))</f>
        <v>23.941478092332058</v>
      </c>
      <c r="I756" s="55">
        <f>SQRT(2/$V$3 * A756 * (SQRT(Performance!$E$23)/(SQRT(3*Performance!$E$12 + 4* Performance!$E$23 * Performance!$E$11^2) - SQRT(Performance!$E$23)*Performance!$E$11)))</f>
        <v>25.184879677658156</v>
      </c>
      <c r="J756" t="e">
        <f xml:space="preserve"> $AC$3/G756 + $AC$6/A756 * Performance!$E$12 + Performance!$E$23/Constraints!$AC$6 * Constraints!A756</f>
        <v>#VALUE!</v>
      </c>
      <c r="K756">
        <f xml:space="preserve"> $AC$3/H756 + $AC$6/A756 * Performance!$E$12 + Performance!$E$23/Constraints!$AC$6 * Constraints!A756</f>
        <v>1.4243153708986118</v>
      </c>
      <c r="L756">
        <f xml:space="preserve"> $AC$3/I756 + $AC$6/A756 * Performance!$E$12 + Performance!$E$23/Constraints!$AC$6 * Constraints!A756</f>
        <v>1.4138396410673169</v>
      </c>
      <c r="M756">
        <f>SIN($AC$9 * PI()/180) + 1/Performance!$AE$5</f>
        <v>0.24073077270730886</v>
      </c>
      <c r="N756">
        <f>SIN($AC$9 * PI()/180) + 1/Performance!$AE$8</f>
        <v>0.22738716112204788</v>
      </c>
      <c r="O756" s="60">
        <f>$AC$16 * (Performance!$E$12/Constraints!A756 + Performance!$E$23 * (Constraints!$AC$13/Constraints!$AC$17)^2 * Constraints!A756)</f>
        <v>2.3564937699831854E-4</v>
      </c>
      <c r="P756" t="e">
        <f t="shared" si="47"/>
        <v>#VALUE!</v>
      </c>
      <c r="Q756">
        <f t="shared" si="48"/>
        <v>150.50292552568453</v>
      </c>
      <c r="R756">
        <f t="shared" si="49"/>
        <v>166.54161972218563</v>
      </c>
      <c r="S756" t="e">
        <f xml:space="preserve"> 1.667/G756 + P756/A756 * Performance!$E$12 + Performance!$E$23 / Constraints!P756 * Constraints!A756</f>
        <v>#VALUE!</v>
      </c>
      <c r="T756">
        <f xml:space="preserve"> 1.667/H756 + Q756/A756 * Performance!$E$12 + Performance!$E$23 / Constraints!Q756 * Constraints!A756</f>
        <v>0.17554108298842236</v>
      </c>
      <c r="U756">
        <f xml:space="preserve"> 1.667/I756 + R756/A756 * Performance!$E$12 + Performance!$E$23 / Constraints!R756 * Constraints!A756</f>
        <v>0.16433325447647021</v>
      </c>
    </row>
    <row r="757" spans="1:21" x14ac:dyDescent="0.3">
      <c r="A757" s="51">
        <v>377.5</v>
      </c>
      <c r="B757" s="50">
        <f>$V$4*Performance!$E$12*(1/A757)+Performance!$E$23*(1/Constraints!$V$4)*Constraints!A757</f>
        <v>9.018483726003812E-2</v>
      </c>
      <c r="C757" s="50">
        <f>$V$5*Performance!$E$12*(1/A757)+Performance!$E$23*(1/Constraints!$V$5)*Constraints!A757</f>
        <v>0.12702166681709312</v>
      </c>
      <c r="D757" s="52">
        <f t="shared" si="46"/>
        <v>0.45415071277562563</v>
      </c>
      <c r="E757" s="52">
        <f>$V$4*Performance!$E$12*(1/A757)+Performance!$E$23*(1/Constraints!$V$9)*Constraints!A757</f>
        <v>8.8479986796191082E-2</v>
      </c>
      <c r="F757" s="52">
        <f xml:space="preserve"> 1.21 / (9.81 * Constraints!$N$7 * Performance!$E$15 * Constraints!$N$5 ) * Constraints!A757 + 0.605 /Performance!$E$15 * (Performance!$E$16  - Constraints!$N$6 * Performance!$E$14) + Constraints!$N$6</f>
        <v>0.45394115547412145</v>
      </c>
      <c r="G757" s="54" t="s">
        <v>198</v>
      </c>
      <c r="H757" s="55">
        <f>SQRT(2/$V$3 * A757 * SQRT(Performance!$E$23 / (3 * Performance!$E$12)))</f>
        <v>23.957349143523132</v>
      </c>
      <c r="I757" s="55">
        <f>SQRT(2/$V$3 * A757 * (SQRT(Performance!$E$23)/(SQRT(3*Performance!$E$12 + 4* Performance!$E$23 * Performance!$E$11^2) - SQRT(Performance!$E$23)*Performance!$E$11)))</f>
        <v>25.201574992503112</v>
      </c>
      <c r="J757" t="e">
        <f xml:space="preserve"> $AC$3/G757 + $AC$6/A757 * Performance!$E$12 + Performance!$E$23/Constraints!$AC$6 * Constraints!A757</f>
        <v>#VALUE!</v>
      </c>
      <c r="K757">
        <f xml:space="preserve"> $AC$3/H757 + $AC$6/A757 * Performance!$E$12 + Performance!$E$23/Constraints!$AC$6 * Constraints!A757</f>
        <v>1.4257799441566417</v>
      </c>
      <c r="L757">
        <f xml:space="preserve"> $AC$3/I757 + $AC$6/A757 * Performance!$E$12 + Performance!$E$23/Constraints!$AC$6 * Constraints!A757</f>
        <v>1.4153111541935024</v>
      </c>
      <c r="M757">
        <f>SIN($AC$9 * PI()/180) + 1/Performance!$AE$5</f>
        <v>0.24073077270730886</v>
      </c>
      <c r="N757">
        <f>SIN($AC$9 * PI()/180) + 1/Performance!$AE$8</f>
        <v>0.22738716112204788</v>
      </c>
      <c r="O757" s="60">
        <f>$AC$16 * (Performance!$E$12/Constraints!A757 + Performance!$E$23 * (Constraints!$AC$13/Constraints!$AC$17)^2 * Constraints!A757)</f>
        <v>2.3578913003128606E-4</v>
      </c>
      <c r="P757" t="e">
        <f t="shared" si="47"/>
        <v>#VALUE!</v>
      </c>
      <c r="Q757">
        <f t="shared" si="48"/>
        <v>150.702531527708</v>
      </c>
      <c r="R757">
        <f t="shared" si="49"/>
        <v>166.76249720192328</v>
      </c>
      <c r="S757" t="e">
        <f xml:space="preserve"> 1.667/G757 + P757/A757 * Performance!$E$12 + Performance!$E$23 / Constraints!P757 * Constraints!A757</f>
        <v>#VALUE!</v>
      </c>
      <c r="T757">
        <f xml:space="preserve"> 1.667/H757 + Q757/A757 * Performance!$E$12 + Performance!$E$23 / Constraints!Q757 * Constraints!A757</f>
        <v>0.17549495637493151</v>
      </c>
      <c r="U757">
        <f xml:space="preserve"> 1.667/I757 + R757/A757 * Performance!$E$12 + Performance!$E$23 / Constraints!R757 * Constraints!A757</f>
        <v>0.16428940517798238</v>
      </c>
    </row>
    <row r="758" spans="1:21" x14ac:dyDescent="0.3">
      <c r="A758" s="51">
        <v>378</v>
      </c>
      <c r="B758" s="50">
        <f>$V$4*Performance!$E$12*(1/A758)+Performance!$E$23*(1/Constraints!$V$4)*Constraints!A758</f>
        <v>9.0105132926449755E-2</v>
      </c>
      <c r="C758" s="50">
        <f>$V$5*Performance!$E$12*(1/A758)+Performance!$E$23*(1/Constraints!$V$5)*Constraints!A758</f>
        <v>0.12687900765862017</v>
      </c>
      <c r="D758" s="52">
        <f t="shared" si="46"/>
        <v>0.45442299848791123</v>
      </c>
      <c r="E758" s="52">
        <f>$V$4*Performance!$E$12*(1/A758)+Performance!$E$23*(1/Constraints!$V$9)*Constraints!A758</f>
        <v>8.8398024382518148E-2</v>
      </c>
      <c r="F758" s="52">
        <f xml:space="preserve"> 1.21 / (9.81 * Constraints!$N$7 * Performance!$E$15 * Constraints!$N$5 ) * Constraints!A758 + 0.605 /Performance!$E$15 * (Performance!$E$16  - Constraints!$N$6 * Performance!$E$14) + Constraints!$N$6</f>
        <v>0.45421316362706732</v>
      </c>
      <c r="G758" s="54" t="s">
        <v>198</v>
      </c>
      <c r="H758" s="55">
        <f>SQRT(2/$V$3 * A758 * SQRT(Performance!$E$23 / (3 * Performance!$E$12)))</f>
        <v>23.973209687560008</v>
      </c>
      <c r="I758" s="55">
        <f>SQRT(2/$V$3 * A758 * (SQRT(Performance!$E$23)/(SQRT(3*Performance!$E$12 + 4* Performance!$E$23 * Performance!$E$11^2) - SQRT(Performance!$E$23)*Performance!$E$11)))</f>
        <v>25.218259254504414</v>
      </c>
      <c r="J758" t="e">
        <f xml:space="preserve"> $AC$3/G758 + $AC$6/A758 * Performance!$E$12 + Performance!$E$23/Constraints!$AC$6 * Constraints!A758</f>
        <v>#VALUE!</v>
      </c>
      <c r="K758">
        <f xml:space="preserve"> $AC$3/H758 + $AC$6/A758 * Performance!$E$12 + Performance!$E$23/Constraints!$AC$6 * Constraints!A758</f>
        <v>1.4272447996620379</v>
      </c>
      <c r="L758">
        <f xml:space="preserve"> $AC$3/I758 + $AC$6/A758 * Performance!$E$12 + Performance!$E$23/Constraints!$AC$6 * Constraints!A758</f>
        <v>1.4167829357929171</v>
      </c>
      <c r="M758">
        <f>SIN($AC$9 * PI()/180) + 1/Performance!$AE$5</f>
        <v>0.24073077270730886</v>
      </c>
      <c r="N758">
        <f>SIN($AC$9 * PI()/180) + 1/Performance!$AE$8</f>
        <v>0.22738716112204788</v>
      </c>
      <c r="O758" s="60">
        <f>$AC$16 * (Performance!$E$12/Constraints!A758 + Performance!$E$23 * (Constraints!$AC$13/Constraints!$AC$17)^2 * Constraints!A758)</f>
        <v>2.3592911145684366E-4</v>
      </c>
      <c r="P758" t="e">
        <f t="shared" si="47"/>
        <v>#VALUE!</v>
      </c>
      <c r="Q758">
        <f t="shared" si="48"/>
        <v>150.90213752973145</v>
      </c>
      <c r="R758">
        <f t="shared" si="49"/>
        <v>166.98337468166091</v>
      </c>
      <c r="S758" t="e">
        <f xml:space="preserve"> 1.667/G758 + P758/A758 * Performance!$E$12 + Performance!$E$23 / Constraints!P758 * Constraints!A758</f>
        <v>#VALUE!</v>
      </c>
      <c r="T758">
        <f xml:space="preserve"> 1.667/H758 + Q758/A758 * Performance!$E$12 + Performance!$E$23 / Constraints!Q758 * Constraints!A758</f>
        <v>0.17544892131279072</v>
      </c>
      <c r="U758">
        <f xml:space="preserve"> 1.667/I758 + R758/A758 * Performance!$E$12 + Performance!$E$23 / Constraints!R758 * Constraints!A758</f>
        <v>0.16424564291086702</v>
      </c>
    </row>
    <row r="759" spans="1:21" x14ac:dyDescent="0.3">
      <c r="A759" s="51">
        <v>378.5</v>
      </c>
      <c r="B759" s="50">
        <f>$V$4*Performance!$E$12*(1/A759)+Performance!$E$23*(1/Constraints!$V$4)*Constraints!A759</f>
        <v>9.0025691502565591E-2</v>
      </c>
      <c r="C759" s="50">
        <f>$V$5*Performance!$E$12*(1/A759)+Performance!$E$23*(1/Constraints!$V$5)*Constraints!A759</f>
        <v>0.12673675892817782</v>
      </c>
      <c r="D759" s="52">
        <f t="shared" si="46"/>
        <v>0.45469528420019678</v>
      </c>
      <c r="E759" s="52">
        <f>$V$4*Performance!$E$12*(1/A759)+Performance!$E$23*(1/Constraints!$V$9)*Constraints!A759</f>
        <v>8.8316324878549429E-2</v>
      </c>
      <c r="F759" s="52">
        <f xml:space="preserve"> 1.21 / (9.81 * Constraints!$N$7 * Performance!$E$15 * Constraints!$N$5 ) * Constraints!A759 + 0.605 /Performance!$E$15 * (Performance!$E$16  - Constraints!$N$6 * Performance!$E$14) + Constraints!$N$6</f>
        <v>0.45448517178001313</v>
      </c>
      <c r="G759" s="54" t="s">
        <v>198</v>
      </c>
      <c r="H759" s="55">
        <f>SQRT(2/$V$3 * A759 * SQRT(Performance!$E$23 / (3 * Performance!$E$12)))</f>
        <v>23.989059745283338</v>
      </c>
      <c r="I759" s="55">
        <f>SQRT(2/$V$3 * A759 * (SQRT(Performance!$E$23)/(SQRT(3*Performance!$E$12 + 4* Performance!$E$23 * Performance!$E$11^2) - SQRT(Performance!$E$23)*Performance!$E$11)))</f>
        <v>25.234932485585077</v>
      </c>
      <c r="J759" t="e">
        <f xml:space="preserve"> $AC$3/G759 + $AC$6/A759 * Performance!$E$12 + Performance!$E$23/Constraints!$AC$6 * Constraints!A759</f>
        <v>#VALUE!</v>
      </c>
      <c r="K759">
        <f xml:space="preserve"> $AC$3/H759 + $AC$6/A759 * Performance!$E$12 + Performance!$E$23/Constraints!$AC$6 * Constraints!A759</f>
        <v>1.4287099364802214</v>
      </c>
      <c r="L759">
        <f xml:space="preserve"> $AC$3/I759 + $AC$6/A759 * Performance!$E$12 + Performance!$E$23/Constraints!$AC$6 * Constraints!A759</f>
        <v>1.4182549849764863</v>
      </c>
      <c r="M759">
        <f>SIN($AC$9 * PI()/180) + 1/Performance!$AE$5</f>
        <v>0.24073077270730886</v>
      </c>
      <c r="N759">
        <f>SIN($AC$9 * PI()/180) + 1/Performance!$AE$8</f>
        <v>0.22738716112204788</v>
      </c>
      <c r="O759" s="60">
        <f>$AC$16 * (Performance!$E$12/Constraints!A759 + Performance!$E$23 * (Constraints!$AC$13/Constraints!$AC$17)^2 * Constraints!A759)</f>
        <v>2.360693203698687E-4</v>
      </c>
      <c r="P759" t="e">
        <f t="shared" si="47"/>
        <v>#VALUE!</v>
      </c>
      <c r="Q759">
        <f t="shared" si="48"/>
        <v>151.10174353175489</v>
      </c>
      <c r="R759">
        <f t="shared" si="49"/>
        <v>167.20425216139859</v>
      </c>
      <c r="S759" t="e">
        <f xml:space="preserve"> 1.667/G759 + P759/A759 * Performance!$E$12 + Performance!$E$23 / Constraints!P759 * Constraints!A759</f>
        <v>#VALUE!</v>
      </c>
      <c r="T759">
        <f xml:space="preserve"> 1.667/H759 + Q759/A759 * Performance!$E$12 + Performance!$E$23 / Constraints!Q759 * Constraints!A759</f>
        <v>0.17540297749955094</v>
      </c>
      <c r="U759">
        <f xml:space="preserve"> 1.667/I759 + R759/A759 * Performance!$E$12 + Performance!$E$23 / Constraints!R759 * Constraints!A759</f>
        <v>0.16420196738760712</v>
      </c>
    </row>
    <row r="760" spans="1:21" x14ac:dyDescent="0.3">
      <c r="A760" s="51">
        <v>379</v>
      </c>
      <c r="B760" s="50">
        <f>$V$4*Performance!$E$12*(1/A760)+Performance!$E$23*(1/Constraints!$V$4)*Constraints!A760</f>
        <v>8.994651194784592E-2</v>
      </c>
      <c r="C760" s="50">
        <f>$V$5*Performance!$E$12*(1/A760)+Performance!$E$23*(1/Constraints!$V$5)*Constraints!A760</f>
        <v>0.12659491900138065</v>
      </c>
      <c r="D760" s="52">
        <f t="shared" si="46"/>
        <v>0.45496756991248244</v>
      </c>
      <c r="E760" s="52">
        <f>$V$4*Performance!$E$12*(1/A760)+Performance!$E$23*(1/Constraints!$V$9)*Constraints!A760</f>
        <v>8.8234887243745189E-2</v>
      </c>
      <c r="F760" s="52">
        <f xml:space="preserve"> 1.21 / (9.81 * Constraints!$N$7 * Performance!$E$15 * Constraints!$N$5 ) * Constraints!A760 + 0.605 /Performance!$E$15 * (Performance!$E$16  - Constraints!$N$6 * Performance!$E$14) + Constraints!$N$6</f>
        <v>0.45475717993295905</v>
      </c>
      <c r="G760" s="54" t="s">
        <v>198</v>
      </c>
      <c r="H760" s="55">
        <f>SQRT(2/$V$3 * A760 * SQRT(Performance!$E$23 / (3 * Performance!$E$12)))</f>
        <v>24.00489933746497</v>
      </c>
      <c r="I760" s="55">
        <f>SQRT(2/$V$3 * A760 * (SQRT(Performance!$E$23)/(SQRT(3*Performance!$E$12 + 4* Performance!$E$23 * Performance!$E$11^2) - SQRT(Performance!$E$23)*Performance!$E$11)))</f>
        <v>25.251594707595725</v>
      </c>
      <c r="J760" t="e">
        <f xml:space="preserve"> $AC$3/G760 + $AC$6/A760 * Performance!$E$12 + Performance!$E$23/Constraints!$AC$6 * Constraints!A760</f>
        <v>#VALUE!</v>
      </c>
      <c r="K760">
        <f xml:space="preserve"> $AC$3/H760 + $AC$6/A760 * Performance!$E$12 + Performance!$E$23/Constraints!$AC$6 * Constraints!A760</f>
        <v>1.4301753536809376</v>
      </c>
      <c r="L760">
        <f xml:space="preserve"> $AC$3/I760 + $AC$6/A760 * Performance!$E$12 + Performance!$E$23/Constraints!$AC$6 * Constraints!A760</f>
        <v>1.4197273008592495</v>
      </c>
      <c r="M760">
        <f>SIN($AC$9 * PI()/180) + 1/Performance!$AE$5</f>
        <v>0.24073077270730886</v>
      </c>
      <c r="N760">
        <f>SIN($AC$9 * PI()/180) + 1/Performance!$AE$8</f>
        <v>0.22738716112204788</v>
      </c>
      <c r="O760" s="60">
        <f>$AC$16 * (Performance!$E$12/Constraints!A760 + Performance!$E$23 * (Constraints!$AC$13/Constraints!$AC$17)^2 * Constraints!A760)</f>
        <v>2.3620975587001507E-4</v>
      </c>
      <c r="P760" t="e">
        <f t="shared" si="47"/>
        <v>#VALUE!</v>
      </c>
      <c r="Q760">
        <f t="shared" si="48"/>
        <v>151.30134953377836</v>
      </c>
      <c r="R760">
        <f t="shared" si="49"/>
        <v>167.42512964113621</v>
      </c>
      <c r="S760" t="e">
        <f xml:space="preserve"> 1.667/G760 + P760/A760 * Performance!$E$12 + Performance!$E$23 / Constraints!P760 * Constraints!A760</f>
        <v>#VALUE!</v>
      </c>
      <c r="T760">
        <f xml:space="preserve"> 1.667/H760 + Q760/A760 * Performance!$E$12 + Performance!$E$23 / Constraints!Q760 * Constraints!A760</f>
        <v>0.17535712463415987</v>
      </c>
      <c r="U760">
        <f xml:space="preserve"> 1.667/I760 + R760/A760 * Performance!$E$12 + Performance!$E$23 / Constraints!R760 * Constraints!A760</f>
        <v>0.16415837832201374</v>
      </c>
    </row>
    <row r="761" spans="1:21" x14ac:dyDescent="0.3">
      <c r="A761" s="51">
        <v>379.5</v>
      </c>
      <c r="B761" s="50">
        <f>$V$4*Performance!$E$12*(1/A761)+Performance!$E$23*(1/Constraints!$V$4)*Constraints!A761</f>
        <v>8.9867593227234768E-2</v>
      </c>
      <c r="C761" s="50">
        <f>$V$5*Performance!$E$12*(1/A761)+Performance!$E$23*(1/Constraints!$V$5)*Constraints!A761</f>
        <v>0.12645348626240407</v>
      </c>
      <c r="D761" s="52">
        <f t="shared" si="46"/>
        <v>0.45523985562476799</v>
      </c>
      <c r="E761" s="52">
        <f>$V$4*Performance!$E$12*(1/A761)+Performance!$E$23*(1/Constraints!$V$9)*Constraints!A761</f>
        <v>8.8153710443049454E-2</v>
      </c>
      <c r="F761" s="52">
        <f xml:space="preserve"> 1.21 / (9.81 * Constraints!$N$7 * Performance!$E$15 * Constraints!$N$5 ) * Constraints!A761 + 0.605 /Performance!$E$15 * (Performance!$E$16  - Constraints!$N$6 * Performance!$E$14) + Constraints!$N$6</f>
        <v>0.45502918808590487</v>
      </c>
      <c r="G761" s="54" t="s">
        <v>198</v>
      </c>
      <c r="H761" s="55">
        <f>SQRT(2/$V$3 * A761 * SQRT(Performance!$E$23 / (3 * Performance!$E$12)))</f>
        <v>24.020728484808256</v>
      </c>
      <c r="I761" s="55">
        <f>SQRT(2/$V$3 * A761 * (SQRT(Performance!$E$23)/(SQRT(3*Performance!$E$12 + 4* Performance!$E$23 * Performance!$E$11^2) - SQRT(Performance!$E$23)*Performance!$E$11)))</f>
        <v>25.268245942314948</v>
      </c>
      <c r="J761" t="e">
        <f xml:space="preserve"> $AC$3/G761 + $AC$6/A761 * Performance!$E$12 + Performance!$E$23/Constraints!$AC$6 * Constraints!A761</f>
        <v>#VALUE!</v>
      </c>
      <c r="K761">
        <f xml:space="preserve"> $AC$3/H761 + $AC$6/A761 * Performance!$E$12 + Performance!$E$23/Constraints!$AC$6 * Constraints!A761</f>
        <v>1.4316410503382333</v>
      </c>
      <c r="L761">
        <f xml:space="preserve"> $AC$3/I761 + $AC$6/A761 * Performance!$E$12 + Performance!$E$23/Constraints!$AC$6 * Constraints!A761</f>
        <v>1.4211998825603385</v>
      </c>
      <c r="M761">
        <f>SIN($AC$9 * PI()/180) + 1/Performance!$AE$5</f>
        <v>0.24073077270730886</v>
      </c>
      <c r="N761">
        <f>SIN($AC$9 * PI()/180) + 1/Performance!$AE$8</f>
        <v>0.22738716112204788</v>
      </c>
      <c r="O761" s="60">
        <f>$AC$16 * (Performance!$E$12/Constraints!A761 + Performance!$E$23 * (Constraints!$AC$13/Constraints!$AC$17)^2 * Constraints!A761)</f>
        <v>2.3635041706168144E-4</v>
      </c>
      <c r="P761" t="e">
        <f t="shared" si="47"/>
        <v>#VALUE!</v>
      </c>
      <c r="Q761">
        <f t="shared" si="48"/>
        <v>151.50095553580184</v>
      </c>
      <c r="R761">
        <f t="shared" si="49"/>
        <v>167.64600712087389</v>
      </c>
      <c r="S761" t="e">
        <f xml:space="preserve"> 1.667/G761 + P761/A761 * Performance!$E$12 + Performance!$E$23 / Constraints!P761 * Constraints!A761</f>
        <v>#VALUE!</v>
      </c>
      <c r="T761">
        <f xml:space="preserve"> 1.667/H761 + Q761/A761 * Performance!$E$12 + Performance!$E$23 / Constraints!Q761 * Constraints!A761</f>
        <v>0.175311362416954</v>
      </c>
      <c r="U761">
        <f xml:space="preserve"> 1.667/I761 + R761/A761 * Performance!$E$12 + Performance!$E$23 / Constraints!R761 * Constraints!A761</f>
        <v>0.16411487542921799</v>
      </c>
    </row>
    <row r="762" spans="1:21" x14ac:dyDescent="0.3">
      <c r="A762" s="51">
        <v>380</v>
      </c>
      <c r="B762" s="50">
        <f>$V$4*Performance!$E$12*(1/A762)+Performance!$E$23*(1/Constraints!$V$4)*Constraints!A762</f>
        <v>8.9788934311123753E-2</v>
      </c>
      <c r="C762" s="50">
        <f>$V$5*Performance!$E$12*(1/A762)+Performance!$E$23*(1/Constraints!$V$5)*Constraints!A762</f>
        <v>0.12631245910392769</v>
      </c>
      <c r="D762" s="52">
        <f t="shared" si="46"/>
        <v>0.45551214133705364</v>
      </c>
      <c r="E762" s="52">
        <f>$V$4*Performance!$E$12*(1/A762)+Performance!$E$23*(1/Constraints!$V$9)*Constraints!A762</f>
        <v>8.8072793446853884E-2</v>
      </c>
      <c r="F762" s="52">
        <f xml:space="preserve"> 1.21 / (9.81 * Constraints!$N$7 * Performance!$E$15 * Constraints!$N$5 ) * Constraints!A762 + 0.605 /Performance!$E$15 * (Performance!$E$16  - Constraints!$N$6 * Performance!$E$14) + Constraints!$N$6</f>
        <v>0.45530119623885074</v>
      </c>
      <c r="G762" s="54" t="s">
        <v>198</v>
      </c>
      <c r="H762" s="55">
        <f>SQRT(2/$V$3 * A762 * SQRT(Performance!$E$23 / (3 * Performance!$E$12)))</f>
        <v>24.036547207948381</v>
      </c>
      <c r="I762" s="55">
        <f>SQRT(2/$V$3 * A762 * (SQRT(Performance!$E$23)/(SQRT(3*Performance!$E$12 + 4* Performance!$E$23 * Performance!$E$11^2) - SQRT(Performance!$E$23)*Performance!$E$11)))</f>
        <v>25.284886211449621</v>
      </c>
      <c r="J762" t="e">
        <f xml:space="preserve"> $AC$3/G762 + $AC$6/A762 * Performance!$E$12 + Performance!$E$23/Constraints!$AC$6 * Constraints!A762</f>
        <v>#VALUE!</v>
      </c>
      <c r="K762">
        <f xml:space="preserve"> $AC$3/H762 + $AC$6/A762 * Performance!$E$12 + Performance!$E$23/Constraints!$AC$6 * Constraints!A762</f>
        <v>1.4331070255304279</v>
      </c>
      <c r="L762">
        <f xml:space="preserve"> $AC$3/I762 + $AC$6/A762 * Performance!$E$12 + Performance!$E$23/Constraints!$AC$6 * Constraints!A762</f>
        <v>1.4226727292029502</v>
      </c>
      <c r="M762">
        <f>SIN($AC$9 * PI()/180) + 1/Performance!$AE$5</f>
        <v>0.24073077270730886</v>
      </c>
      <c r="N762">
        <f>SIN($AC$9 * PI()/180) + 1/Performance!$AE$8</f>
        <v>0.22738716112204788</v>
      </c>
      <c r="O762" s="60">
        <f>$AC$16 * (Performance!$E$12/Constraints!A762 + Performance!$E$23 * (Constraints!$AC$13/Constraints!$AC$17)^2 * Constraints!A762)</f>
        <v>2.3649130305398029E-4</v>
      </c>
      <c r="P762" t="e">
        <f t="shared" si="47"/>
        <v>#VALUE!</v>
      </c>
      <c r="Q762">
        <f t="shared" si="48"/>
        <v>151.70056153782525</v>
      </c>
      <c r="R762">
        <f t="shared" si="49"/>
        <v>167.86688460061148</v>
      </c>
      <c r="S762" t="e">
        <f xml:space="preserve"> 1.667/G762 + P762/A762 * Performance!$E$12 + Performance!$E$23 / Constraints!P762 * Constraints!A762</f>
        <v>#VALUE!</v>
      </c>
      <c r="T762">
        <f xml:space="preserve"> 1.667/H762 + Q762/A762 * Performance!$E$12 + Performance!$E$23 / Constraints!Q762 * Constraints!A762</f>
        <v>0.17526569054965035</v>
      </c>
      <c r="U762">
        <f xml:space="preserve"> 1.667/I762 + R762/A762 * Performance!$E$12 + Performance!$E$23 / Constraints!R762 * Constraints!A762</f>
        <v>0.16407145842566345</v>
      </c>
    </row>
    <row r="763" spans="1:21" x14ac:dyDescent="0.3">
      <c r="A763" s="51">
        <v>380.5</v>
      </c>
      <c r="B763" s="50">
        <f>$V$4*Performance!$E$12*(1/A763)+Performance!$E$23*(1/Constraints!$V$4)*Constraints!A763</f>
        <v>8.9710534175316492E-2</v>
      </c>
      <c r="C763" s="50">
        <f>$V$5*Performance!$E$12*(1/A763)+Performance!$E$23*(1/Constraints!$V$5)*Constraints!A763</f>
        <v>0.12617183592707962</v>
      </c>
      <c r="D763" s="52">
        <f t="shared" si="46"/>
        <v>0.45578442704933919</v>
      </c>
      <c r="E763" s="52">
        <f>$V$4*Performance!$E$12*(1/A763)+Performance!$E$23*(1/Constraints!$V$9)*Constraints!A763</f>
        <v>8.7992135230962054E-2</v>
      </c>
      <c r="F763" s="52">
        <f xml:space="preserve"> 1.21 / (9.81 * Constraints!$N$7 * Performance!$E$15 * Constraints!$N$5 ) * Constraints!A763 + 0.605 /Performance!$E$15 * (Performance!$E$16  - Constraints!$N$6 * Performance!$E$14) + Constraints!$N$6</f>
        <v>0.4555732043917966</v>
      </c>
      <c r="G763" s="54" t="s">
        <v>198</v>
      </c>
      <c r="H763" s="55">
        <f>SQRT(2/$V$3 * A763 * SQRT(Performance!$E$23 / (3 * Performance!$E$12)))</f>
        <v>24.052355527452686</v>
      </c>
      <c r="I763" s="55">
        <f>SQRT(2/$V$3 * A763 * (SQRT(Performance!$E$23)/(SQRT(3*Performance!$E$12 + 4* Performance!$E$23 * Performance!$E$11^2) - SQRT(Performance!$E$23)*Performance!$E$11)))</f>
        <v>25.301515536635243</v>
      </c>
      <c r="J763" t="e">
        <f xml:space="preserve"> $AC$3/G763 + $AC$6/A763 * Performance!$E$12 + Performance!$E$23/Constraints!$AC$6 * Constraints!A763</f>
        <v>#VALUE!</v>
      </c>
      <c r="K763">
        <f xml:space="preserve"> $AC$3/H763 + $AC$6/A763 * Performance!$E$12 + Performance!$E$23/Constraints!$AC$6 * Constraints!A763</f>
        <v>1.4345732783400897</v>
      </c>
      <c r="L763">
        <f xml:space="preserve"> $AC$3/I763 + $AC$6/A763 * Performance!$E$12 + Performance!$E$23/Constraints!$AC$6 * Constraints!A763</f>
        <v>1.4241458399143241</v>
      </c>
      <c r="M763">
        <f>SIN($AC$9 * PI()/180) + 1/Performance!$AE$5</f>
        <v>0.24073077270730886</v>
      </c>
      <c r="N763">
        <f>SIN($AC$9 * PI()/180) + 1/Performance!$AE$8</f>
        <v>0.22738716112204788</v>
      </c>
      <c r="O763" s="60">
        <f>$AC$16 * (Performance!$E$12/Constraints!A763 + Performance!$E$23 * (Constraints!$AC$13/Constraints!$AC$17)^2 * Constraints!A763)</f>
        <v>2.3663241296070678E-4</v>
      </c>
      <c r="P763" t="e">
        <f t="shared" si="47"/>
        <v>#VALUE!</v>
      </c>
      <c r="Q763">
        <f t="shared" si="48"/>
        <v>151.90016753984872</v>
      </c>
      <c r="R763">
        <f t="shared" si="49"/>
        <v>168.08776208034914</v>
      </c>
      <c r="S763" t="e">
        <f xml:space="preserve"> 1.667/G763 + P763/A763 * Performance!$E$12 + Performance!$E$23 / Constraints!P763 * Constraints!A763</f>
        <v>#VALUE!</v>
      </c>
      <c r="T763">
        <f xml:space="preserve"> 1.667/H763 + Q763/A763 * Performance!$E$12 + Performance!$E$23 / Constraints!Q763 * Constraints!A763</f>
        <v>0.17522010873533822</v>
      </c>
      <c r="U763">
        <f xml:space="preserve"> 1.667/I763 + R763/A763 * Performance!$E$12 + Performance!$E$23 / Constraints!R763 * Constraints!A763</f>
        <v>0.16402812702909814</v>
      </c>
    </row>
    <row r="764" spans="1:21" x14ac:dyDescent="0.3">
      <c r="A764" s="51">
        <v>381</v>
      </c>
      <c r="B764" s="50">
        <f>$V$4*Performance!$E$12*(1/A764)+Performance!$E$23*(1/Constraints!$V$4)*Constraints!A764</f>
        <v>8.9632391800992833E-2</v>
      </c>
      <c r="C764" s="50">
        <f>$V$5*Performance!$E$12*(1/A764)+Performance!$E$23*(1/Constraints!$V$5)*Constraints!A764</f>
        <v>0.126031615141381</v>
      </c>
      <c r="D764" s="52">
        <f t="shared" si="46"/>
        <v>0.45605671276162479</v>
      </c>
      <c r="E764" s="52">
        <f>$V$4*Performance!$E$12*(1/A764)+Performance!$E$23*(1/Constraints!$V$9)*Constraints!A764</f>
        <v>8.791173477655384E-2</v>
      </c>
      <c r="F764" s="52">
        <f xml:space="preserve"> 1.21 / (9.81 * Constraints!$N$7 * Performance!$E$15 * Constraints!$N$5 ) * Constraints!A764 + 0.605 /Performance!$E$15 * (Performance!$E$16  - Constraints!$N$6 * Performance!$E$14) + Constraints!$N$6</f>
        <v>0.45584521254474242</v>
      </c>
      <c r="G764" s="54" t="s">
        <v>198</v>
      </c>
      <c r="H764" s="55">
        <f>SQRT(2/$V$3 * A764 * SQRT(Performance!$E$23 / (3 * Performance!$E$12)))</f>
        <v>24.068153463820945</v>
      </c>
      <c r="I764" s="55">
        <f>SQRT(2/$V$3 * A764 * (SQRT(Performance!$E$23)/(SQRT(3*Performance!$E$12 + 4* Performance!$E$23 * Performance!$E$11^2) - SQRT(Performance!$E$23)*Performance!$E$11)))</f>
        <v>25.318133939436258</v>
      </c>
      <c r="J764" t="e">
        <f xml:space="preserve"> $AC$3/G764 + $AC$6/A764 * Performance!$E$12 + Performance!$E$23/Constraints!$AC$6 * Constraints!A764</f>
        <v>#VALUE!</v>
      </c>
      <c r="K764">
        <f xml:space="preserve"> $AC$3/H764 + $AC$6/A764 * Performance!$E$12 + Performance!$E$23/Constraints!$AC$6 * Constraints!A764</f>
        <v>1.4360398078540113</v>
      </c>
      <c r="L764">
        <f xml:space="preserve"> $AC$3/I764 + $AC$6/A764 * Performance!$E$12 + Performance!$E$23/Constraints!$AC$6 * Constraints!A764</f>
        <v>1.4256192138257178</v>
      </c>
      <c r="M764">
        <f>SIN($AC$9 * PI()/180) + 1/Performance!$AE$5</f>
        <v>0.24073077270730886</v>
      </c>
      <c r="N764">
        <f>SIN($AC$9 * PI()/180) + 1/Performance!$AE$8</f>
        <v>0.22738716112204788</v>
      </c>
      <c r="O764" s="60">
        <f>$AC$16 * (Performance!$E$12/Constraints!A764 + Performance!$E$23 * (Constraints!$AC$13/Constraints!$AC$17)^2 * Constraints!A764)</f>
        <v>2.3677374590030795E-4</v>
      </c>
      <c r="P764" t="e">
        <f t="shared" si="47"/>
        <v>#VALUE!</v>
      </c>
      <c r="Q764">
        <f t="shared" si="48"/>
        <v>152.09977354187214</v>
      </c>
      <c r="R764">
        <f t="shared" si="49"/>
        <v>168.30863956008682</v>
      </c>
      <c r="S764" t="e">
        <f xml:space="preserve"> 1.667/G764 + P764/A764 * Performance!$E$12 + Performance!$E$23 / Constraints!P764 * Constraints!A764</f>
        <v>#VALUE!</v>
      </c>
      <c r="T764">
        <f xml:space="preserve"> 1.667/H764 + Q764/A764 * Performance!$E$12 + Performance!$E$23 / Constraints!Q764 * Constraints!A764</f>
        <v>0.1751746166784712</v>
      </c>
      <c r="U764">
        <f xml:space="preserve"> 1.667/I764 + R764/A764 * Performance!$E$12 + Performance!$E$23 / Constraints!R764 * Constraints!A764</f>
        <v>0.16398488095856698</v>
      </c>
    </row>
    <row r="765" spans="1:21" x14ac:dyDescent="0.3">
      <c r="A765" s="51">
        <v>381.5</v>
      </c>
      <c r="B765" s="50">
        <f>$V$4*Performance!$E$12*(1/A765)+Performance!$E$23*(1/Constraints!$V$4)*Constraints!A765</f>
        <v>8.9554506174673851E-2</v>
      </c>
      <c r="C765" s="50">
        <f>$V$5*Performance!$E$12*(1/A765)+Performance!$E$23*(1/Constraints!$V$5)*Constraints!A765</f>
        <v>0.12589179516469107</v>
      </c>
      <c r="D765" s="52">
        <f t="shared" si="46"/>
        <v>0.4563289984739104</v>
      </c>
      <c r="E765" s="52">
        <f>$V$4*Performance!$E$12*(1/A765)+Performance!$E$23*(1/Constraints!$V$9)*Constraints!A765</f>
        <v>8.7831591070150289E-2</v>
      </c>
      <c r="F765" s="52">
        <f xml:space="preserve"> 1.21 / (9.81 * Constraints!$N$7 * Performance!$E$15 * Constraints!$N$5 ) * Constraints!A765 + 0.605 /Performance!$E$15 * (Performance!$E$16  - Constraints!$N$6 * Performance!$E$14) + Constraints!$N$6</f>
        <v>0.45611722069768834</v>
      </c>
      <c r="G765" s="54" t="s">
        <v>198</v>
      </c>
      <c r="H765" s="55">
        <f>SQRT(2/$V$3 * A765 * SQRT(Performance!$E$23 / (3 * Performance!$E$12)))</f>
        <v>24.083941037485719</v>
      </c>
      <c r="I765" s="55">
        <f>SQRT(2/$V$3 * A765 * (SQRT(Performance!$E$23)/(SQRT(3*Performance!$E$12 + 4* Performance!$E$23 * Performance!$E$11^2) - SQRT(Performance!$E$23)*Performance!$E$11)))</f>
        <v>25.334741441346377</v>
      </c>
      <c r="J765" t="e">
        <f xml:space="preserve"> $AC$3/G765 + $AC$6/A765 * Performance!$E$12 + Performance!$E$23/Constraints!$AC$6 * Constraints!A765</f>
        <v>#VALUE!</v>
      </c>
      <c r="K765">
        <f xml:space="preserve"> $AC$3/H765 + $AC$6/A765 * Performance!$E$12 + Performance!$E$23/Constraints!$AC$6 * Constraints!A765</f>
        <v>1.4375066131631826</v>
      </c>
      <c r="L765">
        <f xml:space="preserve"> $AC$3/I765 + $AC$6/A765 * Performance!$E$12 + Performance!$E$23/Constraints!$AC$6 * Constraints!A765</f>
        <v>1.4270928500723841</v>
      </c>
      <c r="M765">
        <f>SIN($AC$9 * PI()/180) + 1/Performance!$AE$5</f>
        <v>0.24073077270730886</v>
      </c>
      <c r="N765">
        <f>SIN($AC$9 * PI()/180) + 1/Performance!$AE$8</f>
        <v>0.22738716112204788</v>
      </c>
      <c r="O765" s="60">
        <f>$AC$16 * (Performance!$E$12/Constraints!A765 + Performance!$E$23 * (Constraints!$AC$13/Constraints!$AC$17)^2 * Constraints!A765)</f>
        <v>2.3691530099585249E-4</v>
      </c>
      <c r="P765" t="e">
        <f t="shared" si="47"/>
        <v>#VALUE!</v>
      </c>
      <c r="Q765">
        <f t="shared" si="48"/>
        <v>152.29937954389561</v>
      </c>
      <c r="R765">
        <f t="shared" si="49"/>
        <v>168.52951703982447</v>
      </c>
      <c r="S765" t="e">
        <f xml:space="preserve"> 1.667/G765 + P765/A765 * Performance!$E$12 + Performance!$E$23 / Constraints!P765 * Constraints!A765</f>
        <v>#VALUE!</v>
      </c>
      <c r="T765">
        <f xml:space="preserve"> 1.667/H765 + Q765/A765 * Performance!$E$12 + Performance!$E$23 / Constraints!Q765 * Constraints!A765</f>
        <v>0.17512921408485882</v>
      </c>
      <c r="U765">
        <f xml:space="preserve"> 1.667/I765 + R765/A765 * Performance!$E$12 + Performance!$E$23 / Constraints!R765 * Constraints!A765</f>
        <v>0.16394171993440415</v>
      </c>
    </row>
    <row r="766" spans="1:21" x14ac:dyDescent="0.3">
      <c r="A766" s="51">
        <v>382</v>
      </c>
      <c r="B766" s="50">
        <f>$V$4*Performance!$E$12*(1/A766)+Performance!$E$23*(1/Constraints!$V$4)*Constraints!A766</f>
        <v>8.9476876288186749E-2</v>
      </c>
      <c r="C766" s="50">
        <f>$V$5*Performance!$E$12*(1/A766)+Performance!$E$23*(1/Constraints!$V$5)*Constraints!A766</f>
        <v>0.1257523744231524</v>
      </c>
      <c r="D766" s="52">
        <f t="shared" si="46"/>
        <v>0.456601284186196</v>
      </c>
      <c r="E766" s="52">
        <f>$V$4*Performance!$E$12*(1/A766)+Performance!$E$23*(1/Constraints!$V$9)*Constraints!A766</f>
        <v>8.7751703103578618E-2</v>
      </c>
      <c r="F766" s="52">
        <f xml:space="preserve"> 1.21 / (9.81 * Constraints!$N$7 * Performance!$E$15 * Constraints!$N$5 ) * Constraints!A766 + 0.605 /Performance!$E$15 * (Performance!$E$16  - Constraints!$N$6 * Performance!$E$14) + Constraints!$N$6</f>
        <v>0.45638922885063415</v>
      </c>
      <c r="G766" s="54" t="s">
        <v>198</v>
      </c>
      <c r="H766" s="55">
        <f>SQRT(2/$V$3 * A766 * SQRT(Performance!$E$23 / (3 * Performance!$E$12)))</f>
        <v>24.09971826881263</v>
      </c>
      <c r="I766" s="55">
        <f>SQRT(2/$V$3 * A766 * (SQRT(Performance!$E$23)/(SQRT(3*Performance!$E$12 + 4* Performance!$E$23 * Performance!$E$11^2) - SQRT(Performance!$E$23)*Performance!$E$11)))</f>
        <v>25.351338063788919</v>
      </c>
      <c r="J766" t="e">
        <f xml:space="preserve"> $AC$3/G766 + $AC$6/A766 * Performance!$E$12 + Performance!$E$23/Constraints!$AC$6 * Constraints!A766</f>
        <v>#VALUE!</v>
      </c>
      <c r="K766">
        <f xml:space="preserve"> $AC$3/H766 + $AC$6/A766 * Performance!$E$12 + Performance!$E$23/Constraints!$AC$6 * Constraints!A766</f>
        <v>1.438973693362769</v>
      </c>
      <c r="L766">
        <f xml:space="preserve"> $AC$3/I766 + $AC$6/A766 * Performance!$E$12 + Performance!$E$23/Constraints!$AC$6 * Constraints!A766</f>
        <v>1.428566747793546</v>
      </c>
      <c r="M766">
        <f>SIN($AC$9 * PI()/180) + 1/Performance!$AE$5</f>
        <v>0.24073077270730886</v>
      </c>
      <c r="N766">
        <f>SIN($AC$9 * PI()/180) + 1/Performance!$AE$8</f>
        <v>0.22738716112204788</v>
      </c>
      <c r="O766" s="60">
        <f>$AC$16 * (Performance!$E$12/Constraints!A766 + Performance!$E$23 * (Constraints!$AC$13/Constraints!$AC$17)^2 * Constraints!A766)</f>
        <v>2.3705707737500036E-4</v>
      </c>
      <c r="P766" t="e">
        <f t="shared" si="47"/>
        <v>#VALUE!</v>
      </c>
      <c r="Q766">
        <f t="shared" si="48"/>
        <v>152.49898554591906</v>
      </c>
      <c r="R766">
        <f t="shared" si="49"/>
        <v>168.75039451956212</v>
      </c>
      <c r="S766" t="e">
        <f xml:space="preserve"> 1.667/G766 + P766/A766 * Performance!$E$12 + Performance!$E$23 / Constraints!P766 * Constraints!A766</f>
        <v>#VALUE!</v>
      </c>
      <c r="T766">
        <f xml:space="preserve"> 1.667/H766 + Q766/A766 * Performance!$E$12 + Performance!$E$23 / Constraints!Q766 * Constraints!A766</f>
        <v>0.17508390066165902</v>
      </c>
      <c r="U766">
        <f xml:space="preserve"> 1.667/I766 + R766/A766 * Performance!$E$12 + Performance!$E$23 / Constraints!R766 * Constraints!A766</f>
        <v>0.16389864367822532</v>
      </c>
    </row>
    <row r="767" spans="1:21" x14ac:dyDescent="0.3">
      <c r="A767" s="51">
        <v>382.5</v>
      </c>
      <c r="B767" s="50">
        <f>$V$4*Performance!$E$12*(1/A767)+Performance!$E$23*(1/Constraints!$V$4)*Constraints!A767</f>
        <v>8.9399501138630183E-2</v>
      </c>
      <c r="C767" s="50">
        <f>$V$5*Performance!$E$12*(1/A767)+Performance!$E$23*(1/Constraints!$V$5)*Constraints!A767</f>
        <v>0.12561335135113694</v>
      </c>
      <c r="D767" s="52">
        <f t="shared" si="46"/>
        <v>0.4568735698984816</v>
      </c>
      <c r="E767" s="52">
        <f>$V$4*Performance!$E$12*(1/A767)+Performance!$E$23*(1/Constraints!$V$9)*Constraints!A767</f>
        <v>8.7672069873937497E-2</v>
      </c>
      <c r="F767" s="52">
        <f xml:space="preserve"> 1.21 / (9.81 * Constraints!$N$7 * Performance!$E$15 * Constraints!$N$5 ) * Constraints!A767 + 0.605 /Performance!$E$15 * (Performance!$E$16  - Constraints!$N$6 * Performance!$E$14) + Constraints!$N$6</f>
        <v>0.45666123700358002</v>
      </c>
      <c r="G767" s="54" t="s">
        <v>198</v>
      </c>
      <c r="H767" s="55">
        <f>SQRT(2/$V$3 * A767 * SQRT(Performance!$E$23 / (3 * Performance!$E$12)))</f>
        <v>24.115485178100688</v>
      </c>
      <c r="I767" s="55">
        <f>SQRT(2/$V$3 * A767 * (SQRT(Performance!$E$23)/(SQRT(3*Performance!$E$12 + 4* Performance!$E$23 * Performance!$E$11^2) - SQRT(Performance!$E$23)*Performance!$E$11)))</f>
        <v>25.367923828117117</v>
      </c>
      <c r="J767" t="e">
        <f xml:space="preserve"> $AC$3/G767 + $AC$6/A767 * Performance!$E$12 + Performance!$E$23/Constraints!$AC$6 * Constraints!A767</f>
        <v>#VALUE!</v>
      </c>
      <c r="K767">
        <f xml:space="preserve"> $AC$3/H767 + $AC$6/A767 * Performance!$E$12 + Performance!$E$23/Constraints!$AC$6 * Constraints!A767</f>
        <v>1.4404410475520839</v>
      </c>
      <c r="L767">
        <f xml:space="preserve"> $AC$3/I767 + $AC$6/A767 * Performance!$E$12 + Performance!$E$23/Constraints!$AC$6 * Constraints!A767</f>
        <v>1.4300409061323751</v>
      </c>
      <c r="M767">
        <f>SIN($AC$9 * PI()/180) + 1/Performance!$AE$5</f>
        <v>0.24073077270730886</v>
      </c>
      <c r="N767">
        <f>SIN($AC$9 * PI()/180) + 1/Performance!$AE$8</f>
        <v>0.22738716112204788</v>
      </c>
      <c r="O767" s="60">
        <f>$AC$16 * (Performance!$E$12/Constraints!A767 + Performance!$E$23 * (Constraints!$AC$13/Constraints!$AC$17)^2 * Constraints!A767)</f>
        <v>2.3719907416997271E-4</v>
      </c>
      <c r="P767" t="e">
        <f t="shared" si="47"/>
        <v>#VALUE!</v>
      </c>
      <c r="Q767">
        <f t="shared" si="48"/>
        <v>152.69859154794253</v>
      </c>
      <c r="R767">
        <f t="shared" si="49"/>
        <v>168.97127199929972</v>
      </c>
      <c r="S767" t="e">
        <f xml:space="preserve"> 1.667/G767 + P767/A767 * Performance!$E$12 + Performance!$E$23 / Constraints!P767 * Constraints!A767</f>
        <v>#VALUE!</v>
      </c>
      <c r="T767">
        <f xml:space="preserve"> 1.667/H767 + Q767/A767 * Performance!$E$12 + Performance!$E$23 / Constraints!Q767 * Constraints!A767</f>
        <v>0.17503867611736984</v>
      </c>
      <c r="U767">
        <f xml:space="preserve"> 1.667/I767 + R767/A767 * Performance!$E$12 + Performance!$E$23 / Constraints!R767 * Constraints!A767</f>
        <v>0.16385565191292045</v>
      </c>
    </row>
    <row r="768" spans="1:21" x14ac:dyDescent="0.3">
      <c r="A768" s="51">
        <v>383</v>
      </c>
      <c r="B768" s="50">
        <f>$V$4*Performance!$E$12*(1/A768)+Performance!$E$23*(1/Constraints!$V$4)*Constraints!A768</f>
        <v>8.9322379728340007E-2</v>
      </c>
      <c r="C768" s="50">
        <f>$V$5*Performance!$E$12*(1/A768)+Performance!$E$23*(1/Constraints!$V$5)*Constraints!A768</f>
        <v>0.12547472439119231</v>
      </c>
      <c r="D768" s="52">
        <f t="shared" si="46"/>
        <v>0.45714585561076715</v>
      </c>
      <c r="E768" s="52">
        <f>$V$4*Performance!$E$12*(1/A768)+Performance!$E$23*(1/Constraints!$V$9)*Constraints!A768</f>
        <v>8.7592690383562738E-2</v>
      </c>
      <c r="F768" s="52">
        <f xml:space="preserve"> 1.21 / (9.81 * Constraints!$N$7 * Performance!$E$15 * Constraints!$N$5 ) * Constraints!A768 + 0.605 /Performance!$E$15 * (Performance!$E$16  - Constraints!$N$6 * Performance!$E$14) + Constraints!$N$6</f>
        <v>0.45693324515652589</v>
      </c>
      <c r="G768" s="54" t="s">
        <v>198</v>
      </c>
      <c r="H768" s="55">
        <f>SQRT(2/$V$3 * A768 * SQRT(Performance!$E$23 / (3 * Performance!$E$12)))</f>
        <v>24.131241785582574</v>
      </c>
      <c r="I768" s="55">
        <f>SQRT(2/$V$3 * A768 * (SQRT(Performance!$E$23)/(SQRT(3*Performance!$E$12 + 4* Performance!$E$23 * Performance!$E$11^2) - SQRT(Performance!$E$23)*Performance!$E$11)))</f>
        <v>25.384498755614452</v>
      </c>
      <c r="J768" t="e">
        <f xml:space="preserve"> $AC$3/G768 + $AC$6/A768 * Performance!$E$12 + Performance!$E$23/Constraints!$AC$6 * Constraints!A768</f>
        <v>#VALUE!</v>
      </c>
      <c r="K768">
        <f xml:space="preserve"> $AC$3/H768 + $AC$6/A768 * Performance!$E$12 + Performance!$E$23/Constraints!$AC$6 * Constraints!A768</f>
        <v>1.4419086748345658</v>
      </c>
      <c r="L768">
        <f xml:space="preserve"> $AC$3/I768 + $AC$6/A768 * Performance!$E$12 + Performance!$E$23/Constraints!$AC$6 * Constraints!A768</f>
        <v>1.4315153242359659</v>
      </c>
      <c r="M768">
        <f>SIN($AC$9 * PI()/180) + 1/Performance!$AE$5</f>
        <v>0.24073077270730886</v>
      </c>
      <c r="N768">
        <f>SIN($AC$9 * PI()/180) + 1/Performance!$AE$8</f>
        <v>0.22738716112204788</v>
      </c>
      <c r="O768" s="60">
        <f>$AC$16 * (Performance!$E$12/Constraints!A768 + Performance!$E$23 * (Constraints!$AC$13/Constraints!$AC$17)^2 * Constraints!A768)</f>
        <v>2.3734129051752211E-4</v>
      </c>
      <c r="P768" t="e">
        <f t="shared" si="47"/>
        <v>#VALUE!</v>
      </c>
      <c r="Q768">
        <f t="shared" si="48"/>
        <v>152.898197549966</v>
      </c>
      <c r="R768">
        <f t="shared" si="49"/>
        <v>169.19214947903737</v>
      </c>
      <c r="S768" t="e">
        <f xml:space="preserve"> 1.667/G768 + P768/A768 * Performance!$E$12 + Performance!$E$23 / Constraints!P768 * Constraints!A768</f>
        <v>#VALUE!</v>
      </c>
      <c r="T768">
        <f xml:space="preserve"> 1.667/H768 + Q768/A768 * Performance!$E$12 + Performance!$E$23 / Constraints!Q768 * Constraints!A768</f>
        <v>0.17499354016182173</v>
      </c>
      <c r="U768">
        <f xml:space="preserve"> 1.667/I768 + R768/A768 * Performance!$E$12 + Performance!$E$23 / Constraints!R768 * Constraints!A768</f>
        <v>0.16381274436264578</v>
      </c>
    </row>
    <row r="769" spans="1:21" x14ac:dyDescent="0.3">
      <c r="A769" s="51">
        <v>383.5</v>
      </c>
      <c r="B769" s="50">
        <f>$V$4*Performance!$E$12*(1/A769)+Performance!$E$23*(1/Constraints!$V$4)*Constraints!A769</f>
        <v>8.9245511064854871E-2</v>
      </c>
      <c r="C769" s="50">
        <f>$V$5*Performance!$E$12*(1/A769)+Performance!$E$23*(1/Constraints!$V$5)*Constraints!A769</f>
        <v>0.12533649199398833</v>
      </c>
      <c r="D769" s="52">
        <f t="shared" si="46"/>
        <v>0.45741814132305281</v>
      </c>
      <c r="E769" s="52">
        <f>$V$4*Performance!$E$12*(1/A769)+Performance!$E$23*(1/Constraints!$V$9)*Constraints!A769</f>
        <v>8.7513563639993047E-2</v>
      </c>
      <c r="F769" s="52">
        <f xml:space="preserve"> 1.21 / (9.81 * Constraints!$N$7 * Performance!$E$15 * Constraints!$N$5 ) * Constraints!A769 + 0.605 /Performance!$E$15 * (Performance!$E$16  - Constraints!$N$6 * Performance!$E$14) + Constraints!$N$6</f>
        <v>0.4572052533094717</v>
      </c>
      <c r="G769" s="54" t="s">
        <v>198</v>
      </c>
      <c r="H769" s="55">
        <f>SQRT(2/$V$3 * A769 * SQRT(Performance!$E$23 / (3 * Performance!$E$12)))</f>
        <v>24.146988111424974</v>
      </c>
      <c r="I769" s="55">
        <f>SQRT(2/$V$3 * A769 * (SQRT(Performance!$E$23)/(SQRT(3*Performance!$E$12 + 4* Performance!$E$23 * Performance!$E$11^2) - SQRT(Performance!$E$23)*Performance!$E$11)))</f>
        <v>25.401062867494957</v>
      </c>
      <c r="J769" t="e">
        <f xml:space="preserve"> $AC$3/G769 + $AC$6/A769 * Performance!$E$12 + Performance!$E$23/Constraints!$AC$6 * Constraints!A769</f>
        <v>#VALUE!</v>
      </c>
      <c r="K769">
        <f xml:space="preserve"> $AC$3/H769 + $AC$6/A769 * Performance!$E$12 + Performance!$E$23/Constraints!$AC$6 * Constraints!A769</f>
        <v>1.443376574317754</v>
      </c>
      <c r="L769">
        <f xml:space="preserve"> $AC$3/I769 + $AC$6/A769 * Performance!$E$12 + Performance!$E$23/Constraints!$AC$6 * Constraints!A769</f>
        <v>1.4329900012553158</v>
      </c>
      <c r="M769">
        <f>SIN($AC$9 * PI()/180) + 1/Performance!$AE$5</f>
        <v>0.24073077270730886</v>
      </c>
      <c r="N769">
        <f>SIN($AC$9 * PI()/180) + 1/Performance!$AE$8</f>
        <v>0.22738716112204788</v>
      </c>
      <c r="O769" s="60">
        <f>$AC$16 * (Performance!$E$12/Constraints!A769 + Performance!$E$23 * (Constraints!$AC$13/Constraints!$AC$17)^2 * Constraints!A769)</f>
        <v>2.3748372555890322E-4</v>
      </c>
      <c r="P769" t="e">
        <f t="shared" si="47"/>
        <v>#VALUE!</v>
      </c>
      <c r="Q769">
        <f t="shared" si="48"/>
        <v>153.09780355198947</v>
      </c>
      <c r="R769">
        <f t="shared" si="49"/>
        <v>169.41302695877505</v>
      </c>
      <c r="S769" t="e">
        <f xml:space="preserve"> 1.667/G769 + P769/A769 * Performance!$E$12 + Performance!$E$23 / Constraints!P769 * Constraints!A769</f>
        <v>#VALUE!</v>
      </c>
      <c r="T769">
        <f xml:space="preserve"> 1.667/H769 + Q769/A769 * Performance!$E$12 + Performance!$E$23 / Constraints!Q769 * Constraints!A769</f>
        <v>0.17494849250616976</v>
      </c>
      <c r="U769">
        <f xml:space="preserve"> 1.667/I769 + R769/A769 * Performance!$E$12 + Performance!$E$23 / Constraints!R769 * Constraints!A769</f>
        <v>0.16376992075281691</v>
      </c>
    </row>
    <row r="770" spans="1:21" x14ac:dyDescent="0.3">
      <c r="A770" s="51">
        <v>384</v>
      </c>
      <c r="B770" s="50">
        <f>$V$4*Performance!$E$12*(1/A770)+Performance!$E$23*(1/Constraints!$V$4)*Constraints!A770</f>
        <v>8.9168894160882625E-2</v>
      </c>
      <c r="C770" s="50">
        <f>$V$5*Performance!$E$12*(1/A770)+Performance!$E$23*(1/Constraints!$V$5)*Constraints!A770</f>
        <v>0.12519865261826429</v>
      </c>
      <c r="D770" s="52">
        <f t="shared" si="46"/>
        <v>0.45769042703533835</v>
      </c>
      <c r="E770" s="52">
        <f>$V$4*Performance!$E$12*(1/A770)+Performance!$E$23*(1/Constraints!$V$9)*Constraints!A770</f>
        <v>8.7434688655936232E-2</v>
      </c>
      <c r="F770" s="52">
        <f xml:space="preserve"> 1.21 / (9.81 * Constraints!$N$7 * Performance!$E$15 * Constraints!$N$5 ) * Constraints!A770 + 0.605 /Performance!$E$15 * (Performance!$E$16  - Constraints!$N$6 * Performance!$E$14) + Constraints!$N$6</f>
        <v>0.45747726146241757</v>
      </c>
      <c r="G770" s="54" t="s">
        <v>198</v>
      </c>
      <c r="H770" s="55">
        <f>SQRT(2/$V$3 * A770 * SQRT(Performance!$E$23 / (3 * Performance!$E$12)))</f>
        <v>24.162724175728851</v>
      </c>
      <c r="I770" s="55">
        <f>SQRT(2/$V$3 * A770 * (SQRT(Performance!$E$23)/(SQRT(3*Performance!$E$12 + 4* Performance!$E$23 * Performance!$E$11^2) - SQRT(Performance!$E$23)*Performance!$E$11)))</f>
        <v>25.417616184903544</v>
      </c>
      <c r="J770" t="e">
        <f xml:space="preserve"> $AC$3/G770 + $AC$6/A770 * Performance!$E$12 + Performance!$E$23/Constraints!$AC$6 * Constraints!A770</f>
        <v>#VALUE!</v>
      </c>
      <c r="K770">
        <f xml:space="preserve"> $AC$3/H770 + $AC$6/A770 * Performance!$E$12 + Performance!$E$23/Constraints!$AC$6 * Constraints!A770</f>
        <v>1.444844745113264</v>
      </c>
      <c r="L770">
        <f xml:space="preserve"> $AC$3/I770 + $AC$6/A770 * Performance!$E$12 + Performance!$E$23/Constraints!$AC$6 * Constraints!A770</f>
        <v>1.4344649363452995</v>
      </c>
      <c r="M770">
        <f>SIN($AC$9 * PI()/180) + 1/Performance!$AE$5</f>
        <v>0.24073077270730886</v>
      </c>
      <c r="N770">
        <f>SIN($AC$9 * PI()/180) + 1/Performance!$AE$8</f>
        <v>0.22738716112204788</v>
      </c>
      <c r="O770" s="60">
        <f>$AC$16 * (Performance!$E$12/Constraints!A770 + Performance!$E$23 * (Constraints!$AC$13/Constraints!$AC$17)^2 * Constraints!A770)</f>
        <v>2.3762637843984322E-4</v>
      </c>
      <c r="P770" t="e">
        <f t="shared" si="47"/>
        <v>#VALUE!</v>
      </c>
      <c r="Q770">
        <f t="shared" si="48"/>
        <v>153.29740955401289</v>
      </c>
      <c r="R770">
        <f t="shared" si="49"/>
        <v>169.6339044385127</v>
      </c>
      <c r="S770" t="e">
        <f xml:space="preserve"> 1.667/G770 + P770/A770 * Performance!$E$12 + Performance!$E$23 / Constraints!P770 * Constraints!A770</f>
        <v>#VALUE!</v>
      </c>
      <c r="T770">
        <f xml:space="preserve"> 1.667/H770 + Q770/A770 * Performance!$E$12 + Performance!$E$23 / Constraints!Q770 * Constraints!A770</f>
        <v>0.17490353286288568</v>
      </c>
      <c r="U770">
        <f xml:space="preserve"> 1.667/I770 + R770/A770 * Performance!$E$12 + Performance!$E$23 / Constraints!R770 * Constraints!A770</f>
        <v>0.16372718081010118</v>
      </c>
    </row>
    <row r="771" spans="1:21" x14ac:dyDescent="0.3">
      <c r="A771" s="51">
        <v>384.5</v>
      </c>
      <c r="B771" s="50">
        <f>$V$4*Performance!$E$12*(1/A771)+Performance!$E$23*(1/Constraints!$V$4)*Constraints!A771</f>
        <v>8.9092528034266497E-2</v>
      </c>
      <c r="C771" s="50">
        <f>$V$5*Performance!$E$12*(1/A771)+Performance!$E$23*(1/Constraints!$V$5)*Constraints!A771</f>
        <v>0.1250612047307765</v>
      </c>
      <c r="D771" s="52">
        <f t="shared" si="46"/>
        <v>0.45796271274762401</v>
      </c>
      <c r="E771" s="52">
        <f>$V$4*Performance!$E$12*(1/A771)+Performance!$E$23*(1/Constraints!$V$9)*Constraints!A771</f>
        <v>8.7356064449235535E-2</v>
      </c>
      <c r="F771" s="52">
        <f xml:space="preserve"> 1.21 / (9.81 * Constraints!$N$7 * Performance!$E$15 * Constraints!$N$5 ) * Constraints!A771 + 0.605 /Performance!$E$15 * (Performance!$E$16  - Constraints!$N$6 * Performance!$E$14) + Constraints!$N$6</f>
        <v>0.45774926961536344</v>
      </c>
      <c r="G771" s="54" t="s">
        <v>198</v>
      </c>
      <c r="H771" s="55">
        <f>SQRT(2/$V$3 * A771 * SQRT(Performance!$E$23 / (3 * Performance!$E$12)))</f>
        <v>24.178449998529764</v>
      </c>
      <c r="I771" s="55">
        <f>SQRT(2/$V$3 * A771 * (SQRT(Performance!$E$23)/(SQRT(3*Performance!$E$12 + 4* Performance!$E$23 * Performance!$E$11^2) - SQRT(Performance!$E$23)*Performance!$E$11)))</f>
        <v>25.434158728916312</v>
      </c>
      <c r="J771" t="e">
        <f xml:space="preserve"> $AC$3/G771 + $AC$6/A771 * Performance!$E$12 + Performance!$E$23/Constraints!$AC$6 * Constraints!A771</f>
        <v>#VALUE!</v>
      </c>
      <c r="K771">
        <f xml:space="preserve"> $AC$3/H771 + $AC$6/A771 * Performance!$E$12 + Performance!$E$23/Constraints!$AC$6 * Constraints!A771</f>
        <v>1.4463131863367642</v>
      </c>
      <c r="L771">
        <f xml:space="preserve"> $AC$3/I771 + $AC$6/A771 * Performance!$E$12 + Performance!$E$23/Constraints!$AC$6 * Constraints!A771</f>
        <v>1.4359401286646476</v>
      </c>
      <c r="M771">
        <f>SIN($AC$9 * PI()/180) + 1/Performance!$AE$5</f>
        <v>0.24073077270730886</v>
      </c>
      <c r="N771">
        <f>SIN($AC$9 * PI()/180) + 1/Performance!$AE$8</f>
        <v>0.22738716112204788</v>
      </c>
      <c r="O771" s="60">
        <f>$AC$16 * (Performance!$E$12/Constraints!A771 + Performance!$E$23 * (Constraints!$AC$13/Constraints!$AC$17)^2 * Constraints!A771)</f>
        <v>2.3776924831051286E-4</v>
      </c>
      <c r="P771" t="e">
        <f t="shared" si="47"/>
        <v>#VALUE!</v>
      </c>
      <c r="Q771">
        <f t="shared" si="48"/>
        <v>153.49701555603633</v>
      </c>
      <c r="R771">
        <f t="shared" si="49"/>
        <v>169.8547819182503</v>
      </c>
      <c r="S771" t="e">
        <f xml:space="preserve"> 1.667/G771 + P771/A771 * Performance!$E$12 + Performance!$E$23 / Constraints!P771 * Constraints!A771</f>
        <v>#VALUE!</v>
      </c>
      <c r="T771">
        <f xml:space="preserve"> 1.667/H771 + Q771/A771 * Performance!$E$12 + Performance!$E$23 / Constraints!Q771 * Constraints!A771</f>
        <v>0.17485866094575031</v>
      </c>
      <c r="U771">
        <f xml:space="preserve"> 1.667/I771 + R771/A771 * Performance!$E$12 + Performance!$E$23 / Constraints!R771 * Constraints!A771</f>
        <v>0.16368452426241037</v>
      </c>
    </row>
    <row r="772" spans="1:21" x14ac:dyDescent="0.3">
      <c r="A772" s="51">
        <v>385</v>
      </c>
      <c r="B772" s="50">
        <f>$V$4*Performance!$E$12*(1/A772)+Performance!$E$23*(1/Constraints!$V$4)*Constraints!A772</f>
        <v>8.901641170795184E-2</v>
      </c>
      <c r="C772" s="50">
        <f>$V$5*Performance!$E$12*(1/A772)+Performance!$E$23*(1/Constraints!$V$5)*Constraints!A772</f>
        <v>0.12492414680624606</v>
      </c>
      <c r="D772" s="52">
        <f t="shared" si="46"/>
        <v>0.45823499845990956</v>
      </c>
      <c r="E772" s="52">
        <f>$V$4*Performance!$E$12*(1/A772)+Performance!$E$23*(1/Constraints!$V$9)*Constraints!A772</f>
        <v>8.7277690042836323E-2</v>
      </c>
      <c r="F772" s="52">
        <f xml:space="preserve"> 1.21 / (9.81 * Constraints!$N$7 * Performance!$E$15 * Constraints!$N$5 ) * Constraints!A772 + 0.605 /Performance!$E$15 * (Performance!$E$16  - Constraints!$N$6 * Performance!$E$14) + Constraints!$N$6</f>
        <v>0.45802127776830931</v>
      </c>
      <c r="G772" s="54" t="s">
        <v>198</v>
      </c>
      <c r="H772" s="55">
        <f>SQRT(2/$V$3 * A772 * SQRT(Performance!$E$23 / (3 * Performance!$E$12)))</f>
        <v>24.194165599798158</v>
      </c>
      <c r="I772" s="55">
        <f>SQRT(2/$V$3 * A772 * (SQRT(Performance!$E$23)/(SQRT(3*Performance!$E$12 + 4* Performance!$E$23 * Performance!$E$11^2) - SQRT(Performance!$E$23)*Performance!$E$11)))</f>
        <v>25.450690520540878</v>
      </c>
      <c r="J772" t="e">
        <f xml:space="preserve"> $AC$3/G772 + $AC$6/A772 * Performance!$E$12 + Performance!$E$23/Constraints!$AC$6 * Constraints!A772</f>
        <v>#VALUE!</v>
      </c>
      <c r="K772">
        <f xml:space="preserve"> $AC$3/H772 + $AC$6/A772 * Performance!$E$12 + Performance!$E$23/Constraints!$AC$6 * Constraints!A772</f>
        <v>1.4477818971079515</v>
      </c>
      <c r="L772">
        <f xml:space="preserve"> $AC$3/I772 + $AC$6/A772 * Performance!$E$12 + Performance!$E$23/Constraints!$AC$6 * Constraints!A772</f>
        <v>1.4374155773759236</v>
      </c>
      <c r="M772">
        <f>SIN($AC$9 * PI()/180) + 1/Performance!$AE$5</f>
        <v>0.24073077270730886</v>
      </c>
      <c r="N772">
        <f>SIN($AC$9 * PI()/180) + 1/Performance!$AE$8</f>
        <v>0.22738716112204788</v>
      </c>
      <c r="O772" s="60">
        <f>$AC$16 * (Performance!$E$12/Constraints!A772 + Performance!$E$23 * (Constraints!$AC$13/Constraints!$AC$17)^2 * Constraints!A772)</f>
        <v>2.3791233432549766E-4</v>
      </c>
      <c r="P772" t="e">
        <f t="shared" si="47"/>
        <v>#VALUE!</v>
      </c>
      <c r="Q772">
        <f t="shared" si="48"/>
        <v>153.6966215580598</v>
      </c>
      <c r="R772">
        <f t="shared" si="49"/>
        <v>170.07565939798798</v>
      </c>
      <c r="S772" t="e">
        <f xml:space="preserve"> 1.667/G772 + P772/A772 * Performance!$E$12 + Performance!$E$23 / Constraints!P772 * Constraints!A772</f>
        <v>#VALUE!</v>
      </c>
      <c r="T772">
        <f xml:space="preserve"> 1.667/H772 + Q772/A772 * Performance!$E$12 + Performance!$E$23 / Constraints!Q772 * Constraints!A772</f>
        <v>0.17481387646984589</v>
      </c>
      <c r="U772">
        <f xml:space="preserve"> 1.667/I772 + R772/A772 * Performance!$E$12 + Performance!$E$23 / Constraints!R772 * Constraints!A772</f>
        <v>0.16364195083889335</v>
      </c>
    </row>
    <row r="773" spans="1:21" x14ac:dyDescent="0.3">
      <c r="A773" s="51">
        <v>385.5</v>
      </c>
      <c r="B773" s="50">
        <f>$V$4*Performance!$E$12*(1/A773)+Performance!$E$23*(1/Constraints!$V$4)*Constraints!A773</f>
        <v>8.8940544209953065E-2</v>
      </c>
      <c r="C773" s="50">
        <f>$V$5*Performance!$E$12*(1/A773)+Performance!$E$23*(1/Constraints!$V$5)*Constraints!A773</f>
        <v>0.1247874773273074</v>
      </c>
      <c r="D773" s="52">
        <f t="shared" si="46"/>
        <v>0.45850728417219516</v>
      </c>
      <c r="E773" s="52">
        <f>$V$4*Performance!$E$12*(1/A773)+Performance!$E$23*(1/Constraints!$V$9)*Constraints!A773</f>
        <v>8.7199564464752966E-2</v>
      </c>
      <c r="F773" s="52">
        <f xml:space="preserve"> 1.21 / (9.81 * Constraints!$N$7 * Performance!$E$15 * Constraints!$N$5 ) * Constraints!A773 + 0.605 /Performance!$E$15 * (Performance!$E$16  - Constraints!$N$6 * Performance!$E$14) + Constraints!$N$6</f>
        <v>0.45829328592125518</v>
      </c>
      <c r="G773" s="54" t="s">
        <v>198</v>
      </c>
      <c r="H773" s="55">
        <f>SQRT(2/$V$3 * A773 * SQRT(Performance!$E$23 / (3 * Performance!$E$12)))</f>
        <v>24.209870999439651</v>
      </c>
      <c r="I773" s="55">
        <f>SQRT(2/$V$3 * A773 * (SQRT(Performance!$E$23)/(SQRT(3*Performance!$E$12 + 4* Performance!$E$23 * Performance!$E$11^2) - SQRT(Performance!$E$23)*Performance!$E$11)))</f>
        <v>25.467211580716658</v>
      </c>
      <c r="J773" t="e">
        <f xml:space="preserve"> $AC$3/G773 + $AC$6/A773 * Performance!$E$12 + Performance!$E$23/Constraints!$AC$6 * Constraints!A773</f>
        <v>#VALUE!</v>
      </c>
      <c r="K773">
        <f xml:space="preserve"> $AC$3/H773 + $AC$6/A773 * Performance!$E$12 + Performance!$E$23/Constraints!$AC$6 * Constraints!A773</f>
        <v>1.4492508765505281</v>
      </c>
      <c r="L773">
        <f xml:space="preserve"> $AC$3/I773 + $AC$6/A773 * Performance!$E$12 + Performance!$E$23/Constraints!$AC$6 * Constraints!A773</f>
        <v>1.4388912816455017</v>
      </c>
      <c r="M773">
        <f>SIN($AC$9 * PI()/180) + 1/Performance!$AE$5</f>
        <v>0.24073077270730886</v>
      </c>
      <c r="N773">
        <f>SIN($AC$9 * PI()/180) + 1/Performance!$AE$8</f>
        <v>0.22738716112204788</v>
      </c>
      <c r="O773" s="60">
        <f>$AC$16 * (Performance!$E$12/Constraints!A773 + Performance!$E$23 * (Constraints!$AC$13/Constraints!$AC$17)^2 * Constraints!A773)</f>
        <v>2.3805563564376918E-4</v>
      </c>
      <c r="P773" t="e">
        <f t="shared" si="47"/>
        <v>#VALUE!</v>
      </c>
      <c r="Q773">
        <f t="shared" si="48"/>
        <v>153.89622756008325</v>
      </c>
      <c r="R773">
        <f t="shared" si="49"/>
        <v>170.29653687772557</v>
      </c>
      <c r="S773" t="e">
        <f xml:space="preserve"> 1.667/G773 + P773/A773 * Performance!$E$12 + Performance!$E$23 / Constraints!P773 * Constraints!A773</f>
        <v>#VALUE!</v>
      </c>
      <c r="T773">
        <f xml:space="preserve"> 1.667/H773 + Q773/A773 * Performance!$E$12 + Performance!$E$23 / Constraints!Q773 * Constraints!A773</f>
        <v>0.17476917915154855</v>
      </c>
      <c r="U773">
        <f xml:space="preserve"> 1.667/I773 + R773/A773 * Performance!$E$12 + Performance!$E$23 / Constraints!R773 * Constraints!A773</f>
        <v>0.16359946026992905</v>
      </c>
    </row>
    <row r="774" spans="1:21" x14ac:dyDescent="0.3">
      <c r="A774" s="51">
        <v>386</v>
      </c>
      <c r="B774" s="50">
        <f>$V$4*Performance!$E$12*(1/A774)+Performance!$E$23*(1/Constraints!$V$4)*Constraints!A774</f>
        <v>8.8864924573320764E-2</v>
      </c>
      <c r="C774" s="50">
        <f>$V$5*Performance!$E$12*(1/A774)+Performance!$E$23*(1/Constraints!$V$5)*Constraints!A774</f>
        <v>0.12465119478445692</v>
      </c>
      <c r="D774" s="52">
        <f t="shared" si="46"/>
        <v>0.45877956988448076</v>
      </c>
      <c r="E774" s="52">
        <f>$V$4*Performance!$E$12*(1/A774)+Performance!$E$23*(1/Constraints!$V$9)*Constraints!A774</f>
        <v>8.7121686748036095E-2</v>
      </c>
      <c r="F774" s="52">
        <f xml:space="preserve"> 1.21 / (9.81 * Constraints!$N$7 * Performance!$E$15 * Constraints!$N$5 ) * Constraints!A774 + 0.605 /Performance!$E$15 * (Performance!$E$16  - Constraints!$N$6 * Performance!$E$14) + Constraints!$N$6</f>
        <v>0.45856529407420099</v>
      </c>
      <c r="G774" s="54" t="s">
        <v>198</v>
      </c>
      <c r="H774" s="55">
        <f>SQRT(2/$V$3 * A774 * SQRT(Performance!$E$23 / (3 * Performance!$E$12)))</f>
        <v>24.225566217295349</v>
      </c>
      <c r="I774" s="55">
        <f>SQRT(2/$V$3 * A774 * (SQRT(Performance!$E$23)/(SQRT(3*Performance!$E$12 + 4* Performance!$E$23 * Performance!$E$11^2) - SQRT(Performance!$E$23)*Performance!$E$11)))</f>
        <v>25.483721930315205</v>
      </c>
      <c r="J774" t="e">
        <f xml:space="preserve"> $AC$3/G774 + $AC$6/A774 * Performance!$E$12 + Performance!$E$23/Constraints!$AC$6 * Constraints!A774</f>
        <v>#VALUE!</v>
      </c>
      <c r="K774">
        <f xml:space="preserve"> $AC$3/H774 + $AC$6/A774 * Performance!$E$12 + Performance!$E$23/Constraints!$AC$6 * Constraints!A774</f>
        <v>1.4507201237921783</v>
      </c>
      <c r="L774">
        <f xml:space="preserve"> $AC$3/I774 + $AC$6/A774 * Performance!$E$12 + Performance!$E$23/Constraints!$AC$6 * Constraints!A774</f>
        <v>1.440367240643545</v>
      </c>
      <c r="M774">
        <f>SIN($AC$9 * PI()/180) + 1/Performance!$AE$5</f>
        <v>0.24073077270730886</v>
      </c>
      <c r="N774">
        <f>SIN($AC$9 * PI()/180) + 1/Performance!$AE$8</f>
        <v>0.22738716112204788</v>
      </c>
      <c r="O774" s="60">
        <f>$AC$16 * (Performance!$E$12/Constraints!A774 + Performance!$E$23 * (Constraints!$AC$13/Constraints!$AC$17)^2 * Constraints!A774)</f>
        <v>2.3819915142865656E-4</v>
      </c>
      <c r="P774" t="e">
        <f t="shared" si="47"/>
        <v>#VALUE!</v>
      </c>
      <c r="Q774">
        <f t="shared" si="48"/>
        <v>154.09583356210669</v>
      </c>
      <c r="R774">
        <f t="shared" si="49"/>
        <v>170.51741435746325</v>
      </c>
      <c r="S774" t="e">
        <f xml:space="preserve"> 1.667/G774 + P774/A774 * Performance!$E$12 + Performance!$E$23 / Constraints!P774 * Constraints!A774</f>
        <v>#VALUE!</v>
      </c>
      <c r="T774">
        <f xml:space="preserve"> 1.667/H774 + Q774/A774 * Performance!$E$12 + Performance!$E$23 / Constraints!Q774 * Constraints!A774</f>
        <v>0.17472456870852066</v>
      </c>
      <c r="U774">
        <f xml:space="preserve"> 1.667/I774 + R774/A774 * Performance!$E$12 + Performance!$E$23 / Constraints!R774 * Constraints!A774</f>
        <v>0.16355705228711903</v>
      </c>
    </row>
    <row r="775" spans="1:21" x14ac:dyDescent="0.3">
      <c r="A775" s="51">
        <v>386.5</v>
      </c>
      <c r="B775" s="50">
        <f>$V$4*Performance!$E$12*(1/A775)+Performance!$E$23*(1/Constraints!$V$4)*Constraints!A775</f>
        <v>8.8789551836109121E-2</v>
      </c>
      <c r="C775" s="50">
        <f>$V$5*Performance!$E$12*(1/A775)+Performance!$E$23*(1/Constraints!$V$5)*Constraints!A775</f>
        <v>0.12451529767600218</v>
      </c>
      <c r="D775" s="52">
        <f t="shared" si="46"/>
        <v>0.45905185559676637</v>
      </c>
      <c r="E775" s="52">
        <f>$V$4*Performance!$E$12*(1/A775)+Performance!$E$23*(1/Constraints!$V$9)*Constraints!A775</f>
        <v>8.7044055930739897E-2</v>
      </c>
      <c r="F775" s="52">
        <f xml:space="preserve"> 1.21 / (9.81 * Constraints!$N$7 * Performance!$E$15 * Constraints!$N$5 ) * Constraints!A775 + 0.605 /Performance!$E$15 * (Performance!$E$16  - Constraints!$N$6 * Performance!$E$14) + Constraints!$N$6</f>
        <v>0.45883730222714686</v>
      </c>
      <c r="G775" s="54" t="s">
        <v>198</v>
      </c>
      <c r="H775" s="55">
        <f>SQRT(2/$V$3 * A775 * SQRT(Performance!$E$23 / (3 * Performance!$E$12)))</f>
        <v>24.241251273142115</v>
      </c>
      <c r="I775" s="55">
        <f>SQRT(2/$V$3 * A775 * (SQRT(Performance!$E$23)/(SQRT(3*Performance!$E$12 + 4* Performance!$E$23 * Performance!$E$11^2) - SQRT(Performance!$E$23)*Performance!$E$11)))</f>
        <v>25.500221590140498</v>
      </c>
      <c r="J775" t="e">
        <f xml:space="preserve"> $AC$3/G775 + $AC$6/A775 * Performance!$E$12 + Performance!$E$23/Constraints!$AC$6 * Constraints!A775</f>
        <v>#VALUE!</v>
      </c>
      <c r="K775">
        <f xml:space="preserve"> $AC$3/H775 + $AC$6/A775 * Performance!$E$12 + Performance!$E$23/Constraints!$AC$6 * Constraints!A775</f>
        <v>1.4521896379645451</v>
      </c>
      <c r="L775">
        <f xml:space="preserve"> $AC$3/I775 + $AC$6/A775 * Performance!$E$12 + Performance!$E$23/Constraints!$AC$6 * Constraints!A775</f>
        <v>1.4418434535439819</v>
      </c>
      <c r="M775">
        <f>SIN($AC$9 * PI()/180) + 1/Performance!$AE$5</f>
        <v>0.24073077270730886</v>
      </c>
      <c r="N775">
        <f>SIN($AC$9 * PI()/180) + 1/Performance!$AE$8</f>
        <v>0.22738716112204788</v>
      </c>
      <c r="O775" s="60">
        <f>$AC$16 * (Performance!$E$12/Constraints!A775 + Performance!$E$23 * (Constraints!$AC$13/Constraints!$AC$17)^2 * Constraints!A775)</f>
        <v>2.3834288084781846E-4</v>
      </c>
      <c r="P775" t="e">
        <f t="shared" si="47"/>
        <v>#VALUE!</v>
      </c>
      <c r="Q775">
        <f t="shared" si="48"/>
        <v>154.29543956413016</v>
      </c>
      <c r="R775">
        <f t="shared" si="49"/>
        <v>170.7382918372009</v>
      </c>
      <c r="S775" t="e">
        <f xml:space="preserve"> 1.667/G775 + P775/A775 * Performance!$E$12 + Performance!$E$23 / Constraints!P775 * Constraints!A775</f>
        <v>#VALUE!</v>
      </c>
      <c r="T775">
        <f xml:space="preserve"> 1.667/H775 + Q775/A775 * Performance!$E$12 + Performance!$E$23 / Constraints!Q775 * Constraints!A775</f>
        <v>0.17468004485970329</v>
      </c>
      <c r="U775">
        <f xml:space="preserve"> 1.667/I775 + R775/A775 * Performance!$E$12 + Performance!$E$23 / Constraints!R775 * Constraints!A775</f>
        <v>0.16351472662328065</v>
      </c>
    </row>
    <row r="776" spans="1:21" x14ac:dyDescent="0.3">
      <c r="A776" s="51">
        <v>387</v>
      </c>
      <c r="B776" s="50">
        <f>$V$4*Performance!$E$12*(1/A776)+Performance!$E$23*(1/Constraints!$V$4)*Constraints!A776</f>
        <v>8.871442504134365E-2</v>
      </c>
      <c r="C776" s="50">
        <f>$V$5*Performance!$E$12*(1/A776)+Performance!$E$23*(1/Constraints!$V$5)*Constraints!A776</f>
        <v>0.12437978450801139</v>
      </c>
      <c r="D776" s="52">
        <f t="shared" si="46"/>
        <v>0.45932414130905197</v>
      </c>
      <c r="E776" s="52">
        <f>$V$4*Performance!$E$12*(1/A776)+Performance!$E$23*(1/Constraints!$V$9)*Constraints!A776</f>
        <v>8.6966671055889858E-2</v>
      </c>
      <c r="F776" s="52">
        <f xml:space="preserve"> 1.21 / (9.81 * Constraints!$N$7 * Performance!$E$15 * Constraints!$N$5 ) * Constraints!A776 + 0.605 /Performance!$E$15 * (Performance!$E$16  - Constraints!$N$6 * Performance!$E$14) + Constraints!$N$6</f>
        <v>0.45910931038009273</v>
      </c>
      <c r="G776" s="54" t="s">
        <v>198</v>
      </c>
      <c r="H776" s="55">
        <f>SQRT(2/$V$3 * A776 * SQRT(Performance!$E$23 / (3 * Performance!$E$12)))</f>
        <v>24.25692618669288</v>
      </c>
      <c r="I776" s="55">
        <f>SQRT(2/$V$3 * A776 * (SQRT(Performance!$E$23)/(SQRT(3*Performance!$E$12 + 4* Performance!$E$23 * Performance!$E$11^2) - SQRT(Performance!$E$23)*Performance!$E$11)))</f>
        <v>25.516710580929256</v>
      </c>
      <c r="J776" t="e">
        <f xml:space="preserve"> $AC$3/G776 + $AC$6/A776 * Performance!$E$12 + Performance!$E$23/Constraints!$AC$6 * Constraints!A776</f>
        <v>#VALUE!</v>
      </c>
      <c r="K776">
        <f xml:space="preserve"> $AC$3/H776 + $AC$6/A776 * Performance!$E$12 + Performance!$E$23/Constraints!$AC$6 * Constraints!A776</f>
        <v>1.4536594182032068</v>
      </c>
      <c r="L776">
        <f xml:space="preserve"> $AC$3/I776 + $AC$6/A776 * Performance!$E$12 + Performance!$E$23/Constraints!$AC$6 * Constraints!A776</f>
        <v>1.4433199195244859</v>
      </c>
      <c r="M776">
        <f>SIN($AC$9 * PI()/180) + 1/Performance!$AE$5</f>
        <v>0.24073077270730886</v>
      </c>
      <c r="N776">
        <f>SIN($AC$9 * PI()/180) + 1/Performance!$AE$8</f>
        <v>0.22738716112204788</v>
      </c>
      <c r="O776" s="60">
        <f>$AC$16 * (Performance!$E$12/Constraints!A776 + Performance!$E$23 * (Constraints!$AC$13/Constraints!$AC$17)^2 * Constraints!A776)</f>
        <v>2.3848682307321515E-4</v>
      </c>
      <c r="P776" t="e">
        <f t="shared" si="47"/>
        <v>#VALUE!</v>
      </c>
      <c r="Q776">
        <f t="shared" si="48"/>
        <v>154.49504556615364</v>
      </c>
      <c r="R776">
        <f t="shared" si="49"/>
        <v>170.95916931693856</v>
      </c>
      <c r="S776" t="e">
        <f xml:space="preserve"> 1.667/G776 + P776/A776 * Performance!$E$12 + Performance!$E$23 / Constraints!P776 * Constraints!A776</f>
        <v>#VALUE!</v>
      </c>
      <c r="T776">
        <f xml:space="preserve"> 1.667/H776 + Q776/A776 * Performance!$E$12 + Performance!$E$23 / Constraints!Q776 * Constraints!A776</f>
        <v>0.17463560732530906</v>
      </c>
      <c r="U776">
        <f xml:space="preserve"> 1.667/I776 + R776/A776 * Performance!$E$12 + Performance!$E$23 / Constraints!R776 * Constraints!A776</f>
        <v>0.16347248301243977</v>
      </c>
    </row>
    <row r="777" spans="1:21" x14ac:dyDescent="0.3">
      <c r="A777" s="51">
        <v>387.5</v>
      </c>
      <c r="B777" s="50">
        <f>$V$4*Performance!$E$12*(1/A777)+Performance!$E$23*(1/Constraints!$V$4)*Constraints!A777</f>
        <v>8.8639543236989055E-2</v>
      </c>
      <c r="C777" s="50">
        <f>$V$5*Performance!$E$12*(1/A777)+Performance!$E$23*(1/Constraints!$V$5)*Constraints!A777</f>
        <v>0.12424465379426343</v>
      </c>
      <c r="D777" s="52">
        <f t="shared" si="46"/>
        <v>0.45959642702133757</v>
      </c>
      <c r="E777" s="52">
        <f>$V$4*Performance!$E$12*(1/A777)+Performance!$E$23*(1/Constraints!$V$9)*Constraints!A777</f>
        <v>8.6889531171450707E-2</v>
      </c>
      <c r="F777" s="52">
        <f xml:space="preserve"> 1.21 / (9.81 * Constraints!$N$7 * Performance!$E$15 * Constraints!$N$5 ) * Constraints!A777 + 0.605 /Performance!$E$15 * (Performance!$E$16  - Constraints!$N$6 * Performance!$E$14) + Constraints!$N$6</f>
        <v>0.45938131853303854</v>
      </c>
      <c r="G777" s="54" t="s">
        <v>198</v>
      </c>
      <c r="H777" s="55">
        <f>SQRT(2/$V$3 * A777 * SQRT(Performance!$E$23 / (3 * Performance!$E$12)))</f>
        <v>24.272590977596916</v>
      </c>
      <c r="I777" s="55">
        <f>SQRT(2/$V$3 * A777 * (SQRT(Performance!$E$23)/(SQRT(3*Performance!$E$12 + 4* Performance!$E$23 * Performance!$E$11^2) - SQRT(Performance!$E$23)*Performance!$E$11)))</f>
        <v>25.53318892335124</v>
      </c>
      <c r="J777" t="e">
        <f xml:space="preserve"> $AC$3/G777 + $AC$6/A777 * Performance!$E$12 + Performance!$E$23/Constraints!$AC$6 * Constraints!A777</f>
        <v>#VALUE!</v>
      </c>
      <c r="K777">
        <f xml:space="preserve"> $AC$3/H777 + $AC$6/A777 * Performance!$E$12 + Performance!$E$23/Constraints!$AC$6 * Constraints!A777</f>
        <v>1.4551294636476546</v>
      </c>
      <c r="L777">
        <f xml:space="preserve"> $AC$3/I777 + $AC$6/A777 * Performance!$E$12 + Performance!$E$23/Constraints!$AC$6 * Constraints!A777</f>
        <v>1.4447966377664527</v>
      </c>
      <c r="M777">
        <f>SIN($AC$9 * PI()/180) + 1/Performance!$AE$5</f>
        <v>0.24073077270730886</v>
      </c>
      <c r="N777">
        <f>SIN($AC$9 * PI()/180) + 1/Performance!$AE$8</f>
        <v>0.22738716112204788</v>
      </c>
      <c r="O777" s="60">
        <f>$AC$16 * (Performance!$E$12/Constraints!A777 + Performance!$E$23 * (Constraints!$AC$13/Constraints!$AC$17)^2 * Constraints!A777)</f>
        <v>2.3863097728108043E-4</v>
      </c>
      <c r="P777" t="e">
        <f t="shared" si="47"/>
        <v>#VALUE!</v>
      </c>
      <c r="Q777">
        <f t="shared" si="48"/>
        <v>154.69465156817705</v>
      </c>
      <c r="R777">
        <f t="shared" si="49"/>
        <v>171.18004679667621</v>
      </c>
      <c r="S777" t="e">
        <f xml:space="preserve"> 1.667/G777 + P777/A777 * Performance!$E$12 + Performance!$E$23 / Constraints!P777 * Constraints!A777</f>
        <v>#VALUE!</v>
      </c>
      <c r="T777">
        <f xml:space="preserve"> 1.667/H777 + Q777/A777 * Performance!$E$12 + Performance!$E$23 / Constraints!Q777 * Constraints!A777</f>
        <v>0.17459125582681434</v>
      </c>
      <c r="U777">
        <f xml:space="preserve"> 1.667/I777 + R777/A777 * Performance!$E$12 + Performance!$E$23 / Constraints!R777 * Constraints!A777</f>
        <v>0.16343032118982384</v>
      </c>
    </row>
    <row r="778" spans="1:21" x14ac:dyDescent="0.3">
      <c r="A778" s="51">
        <v>388</v>
      </c>
      <c r="B778" s="50">
        <f>$V$4*Performance!$E$12*(1/A778)+Performance!$E$23*(1/Constraints!$V$4)*Constraints!A778</f>
        <v>8.8564905475917485E-2</v>
      </c>
      <c r="C778" s="50">
        <f>$V$5*Performance!$E$12*(1/A778)+Performance!$E$23*(1/Constraints!$V$5)*Constraints!A778</f>
        <v>0.12410990405619805</v>
      </c>
      <c r="D778" s="52">
        <f t="shared" si="46"/>
        <v>0.45986871273362318</v>
      </c>
      <c r="E778" s="52">
        <f>$V$4*Performance!$E$12*(1/A778)+Performance!$E$23*(1/Constraints!$V$9)*Constraints!A778</f>
        <v>8.6812635330294569E-2</v>
      </c>
      <c r="F778" s="52">
        <f xml:space="preserve"> 1.21 / (9.81 * Constraints!$N$7 * Performance!$E$15 * Constraints!$N$5 ) * Constraints!A778 + 0.605 /Performance!$E$15 * (Performance!$E$16  - Constraints!$N$6 * Performance!$E$14) + Constraints!$N$6</f>
        <v>0.45965332668598446</v>
      </c>
      <c r="G778" s="54" t="s">
        <v>198</v>
      </c>
      <c r="H778" s="55">
        <f>SQRT(2/$V$3 * A778 * SQRT(Performance!$E$23 / (3 * Performance!$E$12)))</f>
        <v>24.28824566544014</v>
      </c>
      <c r="I778" s="55">
        <f>SQRT(2/$V$3 * A778 * (SQRT(Performance!$E$23)/(SQRT(3*Performance!$E$12 + 4* Performance!$E$23 * Performance!$E$11^2) - SQRT(Performance!$E$23)*Performance!$E$11)))</f>
        <v>25.549656638009559</v>
      </c>
      <c r="J778" t="e">
        <f xml:space="preserve"> $AC$3/G778 + $AC$6/A778 * Performance!$E$12 + Performance!$E$23/Constraints!$AC$6 * Constraints!A778</f>
        <v>#VALUE!</v>
      </c>
      <c r="K778">
        <f xml:space="preserve"> $AC$3/H778 + $AC$6/A778 * Performance!$E$12 + Performance!$E$23/Constraints!$AC$6 * Constraints!A778</f>
        <v>1.4565997734412697</v>
      </c>
      <c r="L778">
        <f xml:space="preserve"> $AC$3/I778 + $AC$6/A778 * Performance!$E$12 + Performance!$E$23/Constraints!$AC$6 * Constraints!A778</f>
        <v>1.4462736074549789</v>
      </c>
      <c r="M778">
        <f>SIN($AC$9 * PI()/180) + 1/Performance!$AE$5</f>
        <v>0.24073077270730886</v>
      </c>
      <c r="N778">
        <f>SIN($AC$9 * PI()/180) + 1/Performance!$AE$8</f>
        <v>0.22738716112204788</v>
      </c>
      <c r="O778" s="60">
        <f>$AC$16 * (Performance!$E$12/Constraints!A778 + Performance!$E$23 * (Constraints!$AC$13/Constraints!$AC$17)^2 * Constraints!A778)</f>
        <v>2.3877534265189456E-4</v>
      </c>
      <c r="P778" t="e">
        <f t="shared" si="47"/>
        <v>#VALUE!</v>
      </c>
      <c r="Q778">
        <f t="shared" si="48"/>
        <v>154.89425757020052</v>
      </c>
      <c r="R778">
        <f t="shared" si="49"/>
        <v>171.40092427641386</v>
      </c>
      <c r="S778" t="e">
        <f xml:space="preserve"> 1.667/G778 + P778/A778 * Performance!$E$12 + Performance!$E$23 / Constraints!P778 * Constraints!A778</f>
        <v>#VALUE!</v>
      </c>
      <c r="T778">
        <f xml:space="preserve"> 1.667/H778 + Q778/A778 * Performance!$E$12 + Performance!$E$23 / Constraints!Q778 * Constraints!A778</f>
        <v>0.17454699008695226</v>
      </c>
      <c r="U778">
        <f xml:space="preserve"> 1.667/I778 + R778/A778 * Performance!$E$12 + Performance!$E$23 / Constraints!R778 * Constraints!A778</f>
        <v>0.16338824089185486</v>
      </c>
    </row>
    <row r="779" spans="1:21" x14ac:dyDescent="0.3">
      <c r="A779" s="51">
        <v>388.5</v>
      </c>
      <c r="B779" s="50">
        <f>$V$4*Performance!$E$12*(1/A779)+Performance!$E$23*(1/Constraints!$V$4)*Constraints!A779</f>
        <v>8.8490510815876861E-2</v>
      </c>
      <c r="C779" s="50">
        <f>$V$5*Performance!$E$12*(1/A779)+Performance!$E$23*(1/Constraints!$V$5)*Constraints!A779</f>
        <v>0.12397553382286669</v>
      </c>
      <c r="D779" s="52">
        <f t="shared" si="46"/>
        <v>0.46014099844590872</v>
      </c>
      <c r="E779" s="52">
        <f>$V$4*Performance!$E$12*(1/A779)+Performance!$E$23*(1/Constraints!$V$9)*Constraints!A779</f>
        <v>8.6735982590169375E-2</v>
      </c>
      <c r="F779" s="52">
        <f xml:space="preserve"> 1.21 / (9.81 * Constraints!$N$7 * Performance!$E$15 * Constraints!$N$5 ) * Constraints!A779 + 0.605 /Performance!$E$15 * (Performance!$E$16  - Constraints!$N$6 * Performance!$E$14) + Constraints!$N$6</f>
        <v>0.45992533483893028</v>
      </c>
      <c r="G779" s="54" t="s">
        <v>198</v>
      </c>
      <c r="H779" s="55">
        <f>SQRT(2/$V$3 * A779 * SQRT(Performance!$E$23 / (3 * Performance!$E$12)))</f>
        <v>24.303890269745384</v>
      </c>
      <c r="I779" s="55">
        <f>SQRT(2/$V$3 * A779 * (SQRT(Performance!$E$23)/(SQRT(3*Performance!$E$12 + 4* Performance!$E$23 * Performance!$E$11^2) - SQRT(Performance!$E$23)*Performance!$E$11)))</f>
        <v>25.566113745440962</v>
      </c>
      <c r="J779" t="e">
        <f xml:space="preserve"> $AC$3/G779 + $AC$6/A779 * Performance!$E$12 + Performance!$E$23/Constraints!$AC$6 * Constraints!A779</f>
        <v>#VALUE!</v>
      </c>
      <c r="K779">
        <f xml:space="preserve"> $AC$3/H779 + $AC$6/A779 * Performance!$E$12 + Performance!$E$23/Constraints!$AC$6 * Constraints!A779</f>
        <v>1.4580703467313003</v>
      </c>
      <c r="L779">
        <f xml:space="preserve"> $AC$3/I779 + $AC$6/A779 * Performance!$E$12 + Performance!$E$23/Constraints!$AC$6 * Constraints!A779</f>
        <v>1.4477508277788405</v>
      </c>
      <c r="M779">
        <f>SIN($AC$9 * PI()/180) + 1/Performance!$AE$5</f>
        <v>0.24073077270730886</v>
      </c>
      <c r="N779">
        <f>SIN($AC$9 * PI()/180) + 1/Performance!$AE$8</f>
        <v>0.22738716112204788</v>
      </c>
      <c r="O779" s="60">
        <f>$AC$16 * (Performance!$E$12/Constraints!A779 + Performance!$E$23 * (Constraints!$AC$13/Constraints!$AC$17)^2 * Constraints!A779)</f>
        <v>2.3891991837035652E-4</v>
      </c>
      <c r="P779" t="e">
        <f t="shared" si="47"/>
        <v>#VALUE!</v>
      </c>
      <c r="Q779">
        <f t="shared" si="48"/>
        <v>155.093863572224</v>
      </c>
      <c r="R779">
        <f t="shared" si="49"/>
        <v>171.62180175615148</v>
      </c>
      <c r="S779" t="e">
        <f xml:space="preserve"> 1.667/G779 + P779/A779 * Performance!$E$12 + Performance!$E$23 / Constraints!P779 * Constraints!A779</f>
        <v>#VALUE!</v>
      </c>
      <c r="T779">
        <f xml:space="preserve"> 1.667/H779 + Q779/A779 * Performance!$E$12 + Performance!$E$23 / Constraints!Q779 * Constraints!A779</f>
        <v>0.17450280982970529</v>
      </c>
      <c r="U779">
        <f xml:space="preserve"> 1.667/I779 + R779/A779 * Performance!$E$12 + Performance!$E$23 / Constraints!R779 * Constraints!A779</f>
        <v>0.16334624185614255</v>
      </c>
    </row>
    <row r="780" spans="1:21" x14ac:dyDescent="0.3">
      <c r="A780" s="51">
        <v>389</v>
      </c>
      <c r="B780" s="50">
        <f>$V$4*Performance!$E$12*(1/A780)+Performance!$E$23*(1/Constraints!$V$4)*Constraints!A780</f>
        <v>8.841635831945964E-2</v>
      </c>
      <c r="C780" s="50">
        <f>$V$5*Performance!$E$12*(1/A780)+Performance!$E$23*(1/Constraints!$V$5)*Constraints!A780</f>
        <v>0.12384154163088347</v>
      </c>
      <c r="D780" s="52">
        <f t="shared" si="46"/>
        <v>0.46041328415819438</v>
      </c>
      <c r="E780" s="52">
        <f>$V$4*Performance!$E$12*(1/A780)+Performance!$E$23*(1/Constraints!$V$9)*Constraints!A780</f>
        <v>8.6659572013667585E-2</v>
      </c>
      <c r="F780" s="52">
        <f xml:space="preserve"> 1.21 / (9.81 * Constraints!$N$7 * Performance!$E$15 * Constraints!$N$5 ) * Constraints!A780 + 0.605 /Performance!$E$15 * (Performance!$E$16  - Constraints!$N$6 * Performance!$E$14) + Constraints!$N$6</f>
        <v>0.46019734299187615</v>
      </c>
      <c r="G780" s="54" t="s">
        <v>198</v>
      </c>
      <c r="H780" s="55">
        <f>SQRT(2/$V$3 * A780 * SQRT(Performance!$E$23 / (3 * Performance!$E$12)))</f>
        <v>24.319524809972684</v>
      </c>
      <c r="I780" s="55">
        <f>SQRT(2/$V$3 * A780 * (SQRT(Performance!$E$23)/(SQRT(3*Performance!$E$12 + 4* Performance!$E$23 * Performance!$E$11^2) - SQRT(Performance!$E$23)*Performance!$E$11)))</f>
        <v>25.582560266116147</v>
      </c>
      <c r="J780" t="e">
        <f xml:space="preserve"> $AC$3/G780 + $AC$6/A780 * Performance!$E$12 + Performance!$E$23/Constraints!$AC$6 * Constraints!A780</f>
        <v>#VALUE!</v>
      </c>
      <c r="K780">
        <f xml:space="preserve"> $AC$3/H780 + $AC$6/A780 * Performance!$E$12 + Performance!$E$23/Constraints!$AC$6 * Constraints!A780</f>
        <v>1.45954118266884</v>
      </c>
      <c r="L780">
        <f xml:space="preserve"> $AC$3/I780 + $AC$6/A780 * Performance!$E$12 + Performance!$E$23/Constraints!$AC$6 * Constraints!A780</f>
        <v>1.4492282979304716</v>
      </c>
      <c r="M780">
        <f>SIN($AC$9 * PI()/180) + 1/Performance!$AE$5</f>
        <v>0.24073077270730886</v>
      </c>
      <c r="N780">
        <f>SIN($AC$9 * PI()/180) + 1/Performance!$AE$8</f>
        <v>0.22738716112204788</v>
      </c>
      <c r="O780" s="60">
        <f>$AC$16 * (Performance!$E$12/Constraints!A780 + Performance!$E$23 * (Constraints!$AC$13/Constraints!$AC$17)^2 * Constraints!A780)</f>
        <v>2.3906470362535713E-4</v>
      </c>
      <c r="P780" t="e">
        <f t="shared" si="47"/>
        <v>#VALUE!</v>
      </c>
      <c r="Q780">
        <f t="shared" si="48"/>
        <v>155.29346957424744</v>
      </c>
      <c r="R780">
        <f t="shared" si="49"/>
        <v>171.84267923588914</v>
      </c>
      <c r="S780" t="e">
        <f xml:space="preserve"> 1.667/G780 + P780/A780 * Performance!$E$12 + Performance!$E$23 / Constraints!P780 * Constraints!A780</f>
        <v>#VALUE!</v>
      </c>
      <c r="T780">
        <f xml:space="preserve"> 1.667/H780 + Q780/A780 * Performance!$E$12 + Performance!$E$23 / Constraints!Q780 * Constraints!A780</f>
        <v>0.17445871478029795</v>
      </c>
      <c r="U780">
        <f xml:space="preserve"> 1.667/I780 + R780/A780 * Performance!$E$12 + Performance!$E$23 / Constraints!R780 * Constraints!A780</f>
        <v>0.16330432382147742</v>
      </c>
    </row>
    <row r="781" spans="1:21" x14ac:dyDescent="0.3">
      <c r="A781" s="51">
        <v>389.5</v>
      </c>
      <c r="B781" s="50">
        <f>$V$4*Performance!$E$12*(1/A781)+Performance!$E$23*(1/Constraints!$V$4)*Constraints!A781</f>
        <v>8.8342447054071613E-2</v>
      </c>
      <c r="C781" s="50">
        <f>$V$5*Performance!$E$12*(1/A781)+Performance!$E$23*(1/Constraints!$V$5)*Constraints!A781</f>
        <v>0.12370792602437675</v>
      </c>
      <c r="D781" s="52">
        <f t="shared" si="46"/>
        <v>0.46068556987047993</v>
      </c>
      <c r="E781" s="52">
        <f>$V$4*Performance!$E$12*(1/A781)+Performance!$E$23*(1/Constraints!$V$9)*Constraints!A781</f>
        <v>8.6583402668194989E-2</v>
      </c>
      <c r="F781" s="52">
        <f xml:space="preserve"> 1.21 / (9.81 * Constraints!$N$7 * Performance!$E$15 * Constraints!$N$5 ) * Constraints!A781 + 0.605 /Performance!$E$15 * (Performance!$E$16  - Constraints!$N$6 * Performance!$E$14) + Constraints!$N$6</f>
        <v>0.46046935114482201</v>
      </c>
      <c r="G781" s="54" t="s">
        <v>198</v>
      </c>
      <c r="H781" s="55">
        <f>SQRT(2/$V$3 * A781 * SQRT(Performance!$E$23 / (3 * Performance!$E$12)))</f>
        <v>24.335149305519568</v>
      </c>
      <c r="I781" s="55">
        <f>SQRT(2/$V$3 * A781 * (SQRT(Performance!$E$23)/(SQRT(3*Performance!$E$12 + 4* Performance!$E$23 * Performance!$E$11^2) - SQRT(Performance!$E$23)*Performance!$E$11)))</f>
        <v>25.598996220440053</v>
      </c>
      <c r="J781" t="e">
        <f xml:space="preserve"> $AC$3/G781 + $AC$6/A781 * Performance!$E$12 + Performance!$E$23/Constraints!$AC$6 * Constraints!A781</f>
        <v>#VALUE!</v>
      </c>
      <c r="K781">
        <f xml:space="preserve"> $AC$3/H781 + $AC$6/A781 * Performance!$E$12 + Performance!$E$23/Constraints!$AC$6 * Constraints!A781</f>
        <v>1.461012280408805</v>
      </c>
      <c r="L781">
        <f xml:space="preserve"> $AC$3/I781 + $AC$6/A781 * Performance!$E$12 + Performance!$E$23/Constraints!$AC$6 * Constraints!A781</f>
        <v>1.4507060171059432</v>
      </c>
      <c r="M781">
        <f>SIN($AC$9 * PI()/180) + 1/Performance!$AE$5</f>
        <v>0.24073077270730886</v>
      </c>
      <c r="N781">
        <f>SIN($AC$9 * PI()/180) + 1/Performance!$AE$8</f>
        <v>0.22738716112204788</v>
      </c>
      <c r="O781" s="60">
        <f>$AC$16 * (Performance!$E$12/Constraints!A781 + Performance!$E$23 * (Constraints!$AC$13/Constraints!$AC$17)^2 * Constraints!A781)</f>
        <v>2.3920969760995208E-4</v>
      </c>
      <c r="P781" t="e">
        <f t="shared" si="47"/>
        <v>#VALUE!</v>
      </c>
      <c r="Q781">
        <f t="shared" si="48"/>
        <v>155.49307557627094</v>
      </c>
      <c r="R781">
        <f t="shared" si="49"/>
        <v>172.06355671562682</v>
      </c>
      <c r="S781" t="e">
        <f xml:space="preserve"> 1.667/G781 + P781/A781 * Performance!$E$12 + Performance!$E$23 / Constraints!P781 * Constraints!A781</f>
        <v>#VALUE!</v>
      </c>
      <c r="T781">
        <f xml:space="preserve"> 1.667/H781 + Q781/A781 * Performance!$E$12 + Performance!$E$23 / Constraints!Q781 * Constraints!A781</f>
        <v>0.17441470466518977</v>
      </c>
      <c r="U781">
        <f xml:space="preserve"> 1.667/I781 + R781/A781 * Performance!$E$12 + Performance!$E$23 / Constraints!R781 * Constraints!A781</f>
        <v>0.16326248652782388</v>
      </c>
    </row>
    <row r="782" spans="1:21" x14ac:dyDescent="0.3">
      <c r="A782" s="51">
        <v>390</v>
      </c>
      <c r="B782" s="50">
        <f>$V$4*Performance!$E$12*(1/A782)+Performance!$E$23*(1/Constraints!$V$4)*Constraints!A782</f>
        <v>8.8268776091901133E-2</v>
      </c>
      <c r="C782" s="50">
        <f>$V$5*Performance!$E$12*(1/A782)+Performance!$E$23*(1/Constraints!$V$5)*Constraints!A782</f>
        <v>0.12357468555494079</v>
      </c>
      <c r="D782" s="52">
        <f t="shared" si="46"/>
        <v>0.46095785558276559</v>
      </c>
      <c r="E782" s="52">
        <f>$V$4*Performance!$E$12*(1/A782)+Performance!$E$23*(1/Constraints!$V$9)*Constraints!A782</f>
        <v>8.6507473625939954E-2</v>
      </c>
      <c r="F782" s="52">
        <f xml:space="preserve"> 1.21 / (9.81 * Constraints!$N$7 * Performance!$E$15 * Constraints!$N$5 ) * Constraints!A782 + 0.605 /Performance!$E$15 * (Performance!$E$16  - Constraints!$N$6 * Performance!$E$14) + Constraints!$N$6</f>
        <v>0.46074135929776783</v>
      </c>
      <c r="G782" s="54" t="s">
        <v>198</v>
      </c>
      <c r="H782" s="55">
        <f>SQRT(2/$V$3 * A782 * SQRT(Performance!$E$23 / (3 * Performance!$E$12)))</f>
        <v>24.350763775721326</v>
      </c>
      <c r="I782" s="55">
        <f>SQRT(2/$V$3 * A782 * (SQRT(Performance!$E$23)/(SQRT(3*Performance!$E$12 + 4* Performance!$E$23 * Performance!$E$11^2) - SQRT(Performance!$E$23)*Performance!$E$11)))</f>
        <v>25.615421628752149</v>
      </c>
      <c r="J782" t="e">
        <f xml:space="preserve"> $AC$3/G782 + $AC$6/A782 * Performance!$E$12 + Performance!$E$23/Constraints!$AC$6 * Constraints!A782</f>
        <v>#VALUE!</v>
      </c>
      <c r="K782">
        <f xml:space="preserve"> $AC$3/H782 + $AC$6/A782 * Performance!$E$12 + Performance!$E$23/Constraints!$AC$6 * Constraints!A782</f>
        <v>1.4624836391099123</v>
      </c>
      <c r="L782">
        <f xml:space="preserve"> $AC$3/I782 + $AC$6/A782 * Performance!$E$12 + Performance!$E$23/Constraints!$AC$6 * Constraints!A782</f>
        <v>1.4521839845049425</v>
      </c>
      <c r="M782">
        <f>SIN($AC$9 * PI()/180) + 1/Performance!$AE$5</f>
        <v>0.24073077270730886</v>
      </c>
      <c r="N782">
        <f>SIN($AC$9 * PI()/180) + 1/Performance!$AE$8</f>
        <v>0.22738716112204788</v>
      </c>
      <c r="O782" s="60">
        <f>$AC$16 * (Performance!$E$12/Constraints!A782 + Performance!$E$23 * (Constraints!$AC$13/Constraints!$AC$17)^2 * Constraints!A782)</f>
        <v>2.3935489952133527E-4</v>
      </c>
      <c r="P782" t="e">
        <f t="shared" si="47"/>
        <v>#VALUE!</v>
      </c>
      <c r="Q782">
        <f t="shared" si="48"/>
        <v>155.69268157829433</v>
      </c>
      <c r="R782">
        <f t="shared" si="49"/>
        <v>172.28443419536438</v>
      </c>
      <c r="S782" t="e">
        <f xml:space="preserve"> 1.667/G782 + P782/A782 * Performance!$E$12 + Performance!$E$23 / Constraints!P782 * Constraints!A782</f>
        <v>#VALUE!</v>
      </c>
      <c r="T782">
        <f xml:space="preserve"> 1.667/H782 + Q782/A782 * Performance!$E$12 + Performance!$E$23 / Constraints!Q782 * Constraints!A782</f>
        <v>0.17437077921206817</v>
      </c>
      <c r="U782">
        <f xml:space="preserve"> 1.667/I782 + R782/A782 * Performance!$E$12 + Performance!$E$23 / Constraints!R782 * Constraints!A782</f>
        <v>0.16322072971631368</v>
      </c>
    </row>
    <row r="783" spans="1:21" x14ac:dyDescent="0.3">
      <c r="A783" s="51">
        <v>390.5</v>
      </c>
      <c r="B783" s="50">
        <f>$V$4*Performance!$E$12*(1/A783)+Performance!$E$23*(1/Constraints!$V$4)*Constraints!A783</f>
        <v>8.819534450988846E-2</v>
      </c>
      <c r="C783" s="50">
        <f>$V$5*Performance!$E$12*(1/A783)+Performance!$E$23*(1/Constraints!$V$5)*Constraints!A783</f>
        <v>0.12344181878158815</v>
      </c>
      <c r="D783" s="52">
        <f t="shared" si="46"/>
        <v>0.46123014129505113</v>
      </c>
      <c r="E783" s="52">
        <f>$V$4*Performance!$E$12*(1/A783)+Performance!$E$23*(1/Constraints!$V$9)*Constraints!A783</f>
        <v>8.6431783963842712E-2</v>
      </c>
      <c r="F783" s="52">
        <f xml:space="preserve"> 1.21 / (9.81 * Constraints!$N$7 * Performance!$E$15 * Constraints!$N$5 ) * Constraints!A783 + 0.605 /Performance!$E$15 * (Performance!$E$16  - Constraints!$N$6 * Performance!$E$14) + Constraints!$N$6</f>
        <v>0.46101336745071375</v>
      </c>
      <c r="G783" s="54" t="s">
        <v>198</v>
      </c>
      <c r="H783" s="55">
        <f>SQRT(2/$V$3 * A783 * SQRT(Performance!$E$23 / (3 * Performance!$E$12)))</f>
        <v>24.366368239851305</v>
      </c>
      <c r="I783" s="55">
        <f>SQRT(2/$V$3 * A783 * (SQRT(Performance!$E$23)/(SQRT(3*Performance!$E$12 + 4* Performance!$E$23 * Performance!$E$11^2) - SQRT(Performance!$E$23)*Performance!$E$11)))</f>
        <v>25.631836511326746</v>
      </c>
      <c r="J783" t="e">
        <f xml:space="preserve"> $AC$3/G783 + $AC$6/A783 * Performance!$E$12 + Performance!$E$23/Constraints!$AC$6 * Constraints!A783</f>
        <v>#VALUE!</v>
      </c>
      <c r="K783">
        <f xml:space="preserve"> $AC$3/H783 + $AC$6/A783 * Performance!$E$12 + Performance!$E$23/Constraints!$AC$6 * Constraints!A783</f>
        <v>1.4639552579346571</v>
      </c>
      <c r="L783">
        <f xml:space="preserve"> $AC$3/I783 + $AC$6/A783 * Performance!$E$12 + Performance!$E$23/Constraints!$AC$6 * Constraints!A783</f>
        <v>1.4536621993307512</v>
      </c>
      <c r="M783">
        <f>SIN($AC$9 * PI()/180) + 1/Performance!$AE$5</f>
        <v>0.24073077270730886</v>
      </c>
      <c r="N783">
        <f>SIN($AC$9 * PI()/180) + 1/Performance!$AE$8</f>
        <v>0.22738716112204788</v>
      </c>
      <c r="O783" s="60">
        <f>$AC$16 * (Performance!$E$12/Constraints!A783 + Performance!$E$23 * (Constraints!$AC$13/Constraints!$AC$17)^2 * Constraints!A783)</f>
        <v>2.3950030856081226E-4</v>
      </c>
      <c r="P783" t="e">
        <f t="shared" si="47"/>
        <v>#VALUE!</v>
      </c>
      <c r="Q783">
        <f t="shared" si="48"/>
        <v>155.89228758031774</v>
      </c>
      <c r="R783">
        <f t="shared" si="49"/>
        <v>172.50531167510206</v>
      </c>
      <c r="S783" t="e">
        <f xml:space="preserve"> 1.667/G783 + P783/A783 * Performance!$E$12 + Performance!$E$23 / Constraints!P783 * Constraints!A783</f>
        <v>#VALUE!</v>
      </c>
      <c r="T783">
        <f xml:space="preserve"> 1.667/H783 + Q783/A783 * Performance!$E$12 + Performance!$E$23 / Constraints!Q783 * Constraints!A783</f>
        <v>0.17432693814984115</v>
      </c>
      <c r="U783">
        <f xml:space="preserve"> 1.667/I783 + R783/A783 * Performance!$E$12 + Performance!$E$23 / Constraints!R783 * Constraints!A783</f>
        <v>0.16317905312923892</v>
      </c>
    </row>
    <row r="784" spans="1:21" x14ac:dyDescent="0.3">
      <c r="A784" s="51">
        <v>391</v>
      </c>
      <c r="B784" s="50">
        <f>$V$4*Performance!$E$12*(1/A784)+Performance!$E$23*(1/Constraints!$V$4)*Constraints!A784</f>
        <v>8.8122151389695424E-2</v>
      </c>
      <c r="C784" s="50">
        <f>$V$5*Performance!$E$12*(1/A784)+Performance!$E$23*(1/Constraints!$V$5)*Constraints!A784</f>
        <v>0.12330932427070215</v>
      </c>
      <c r="D784" s="52">
        <f t="shared" si="46"/>
        <v>0.46150242700733674</v>
      </c>
      <c r="E784" s="52">
        <f>$V$4*Performance!$E$12*(1/A784)+Performance!$E$23*(1/Constraints!$V$9)*Constraints!A784</f>
        <v>8.6356332763565108E-2</v>
      </c>
      <c r="F784" s="52">
        <f xml:space="preserve"> 1.21 / (9.81 * Constraints!$N$7 * Performance!$E$15 * Constraints!$N$5 ) * Constraints!A784 + 0.605 /Performance!$E$15 * (Performance!$E$16  - Constraints!$N$6 * Performance!$E$14) + Constraints!$N$6</f>
        <v>0.46128537560365956</v>
      </c>
      <c r="G784" s="54" t="s">
        <v>198</v>
      </c>
      <c r="H784" s="55">
        <f>SQRT(2/$V$3 * A784 * SQRT(Performance!$E$23 / (3 * Performance!$E$12)))</f>
        <v>24.381962717121176</v>
      </c>
      <c r="I784" s="55">
        <f>SQRT(2/$V$3 * A784 * (SQRT(Performance!$E$23)/(SQRT(3*Performance!$E$12 + 4* Performance!$E$23 * Performance!$E$11^2) - SQRT(Performance!$E$23)*Performance!$E$11)))</f>
        <v>25.64824088837327</v>
      </c>
      <c r="J784" t="e">
        <f xml:space="preserve"> $AC$3/G784 + $AC$6/A784 * Performance!$E$12 + Performance!$E$23/Constraints!$AC$6 * Constraints!A784</f>
        <v>#VALUE!</v>
      </c>
      <c r="K784">
        <f xml:space="preserve"> $AC$3/H784 + $AC$6/A784 * Performance!$E$12 + Performance!$E$23/Constraints!$AC$6 * Constraints!A784</f>
        <v>1.4654271360492916</v>
      </c>
      <c r="L784">
        <f xml:space="preserve"> $AC$3/I784 + $AC$6/A784 * Performance!$E$12 + Performance!$E$23/Constraints!$AC$6 * Constraints!A784</f>
        <v>1.4551406607902255</v>
      </c>
      <c r="M784">
        <f>SIN($AC$9 * PI()/180) + 1/Performance!$AE$5</f>
        <v>0.24073077270730886</v>
      </c>
      <c r="N784">
        <f>SIN($AC$9 * PI()/180) + 1/Performance!$AE$8</f>
        <v>0.22738716112204788</v>
      </c>
      <c r="O784" s="60">
        <f>$AC$16 * (Performance!$E$12/Constraints!A784 + Performance!$E$23 * (Constraints!$AC$13/Constraints!$AC$17)^2 * Constraints!A784)</f>
        <v>2.3964592393377389E-4</v>
      </c>
      <c r="P784" t="e">
        <f t="shared" si="47"/>
        <v>#VALUE!</v>
      </c>
      <c r="Q784">
        <f t="shared" si="48"/>
        <v>156.09189358234124</v>
      </c>
      <c r="R784">
        <f t="shared" si="49"/>
        <v>172.72618915483974</v>
      </c>
      <c r="S784" t="e">
        <f xml:space="preserve"> 1.667/G784 + P784/A784 * Performance!$E$12 + Performance!$E$23 / Constraints!P784 * Constraints!A784</f>
        <v>#VALUE!</v>
      </c>
      <c r="T784">
        <f xml:space="preserve"> 1.667/H784 + Q784/A784 * Performance!$E$12 + Performance!$E$23 / Constraints!Q784 * Constraints!A784</f>
        <v>0.17428318120863046</v>
      </c>
      <c r="U784">
        <f xml:space="preserve"> 1.667/I784 + R784/A784 * Performance!$E$12 + Performance!$E$23 / Constraints!R784 * Constraints!A784</f>
        <v>0.16313745651004552</v>
      </c>
    </row>
    <row r="785" spans="1:21" x14ac:dyDescent="0.3">
      <c r="A785" s="51">
        <v>391.5</v>
      </c>
      <c r="B785" s="50">
        <f>$V$4*Performance!$E$12*(1/A785)+Performance!$E$23*(1/Constraints!$V$4)*Constraints!A785</f>
        <v>8.8049195817675147E-2</v>
      </c>
      <c r="C785" s="50">
        <f>$V$5*Performance!$E$12*(1/A785)+Performance!$E$23*(1/Constraints!$V$5)*Constraints!A785</f>
        <v>0.1231772005959898</v>
      </c>
      <c r="D785" s="52">
        <f t="shared" si="46"/>
        <v>0.46177471271962234</v>
      </c>
      <c r="E785" s="52">
        <f>$V$4*Performance!$E$12*(1/A785)+Performance!$E$23*(1/Constraints!$V$9)*Constraints!A785</f>
        <v>8.6281119111460275E-2</v>
      </c>
      <c r="F785" s="52">
        <f xml:space="preserve"> 1.21 / (9.81 * Constraints!$N$7 * Performance!$E$15 * Constraints!$N$5 ) * Constraints!A785 + 0.605 /Performance!$E$15 * (Performance!$E$16  - Constraints!$N$6 * Performance!$E$14) + Constraints!$N$6</f>
        <v>0.46155738375660543</v>
      </c>
      <c r="G785" s="54" t="s">
        <v>198</v>
      </c>
      <c r="H785" s="55">
        <f>SQRT(2/$V$3 * A785 * SQRT(Performance!$E$23 / (3 * Performance!$E$12)))</f>
        <v>24.397547226681201</v>
      </c>
      <c r="I785" s="55">
        <f>SQRT(2/$V$3 * A785 * (SQRT(Performance!$E$23)/(SQRT(3*Performance!$E$12 + 4* Performance!$E$23 * Performance!$E$11^2) - SQRT(Performance!$E$23)*Performance!$E$11)))</f>
        <v>25.66463478003655</v>
      </c>
      <c r="J785" t="e">
        <f xml:space="preserve"> $AC$3/G785 + $AC$6/A785 * Performance!$E$12 + Performance!$E$23/Constraints!$AC$6 * Constraints!A785</f>
        <v>#VALUE!</v>
      </c>
      <c r="K785">
        <f xml:space="preserve"> $AC$3/H785 + $AC$6/A785 * Performance!$E$12 + Performance!$E$23/Constraints!$AC$6 * Constraints!A785</f>
        <v>1.4668992726238039</v>
      </c>
      <c r="L785">
        <f xml:space="preserve"> $AC$3/I785 + $AC$6/A785 * Performance!$E$12 + Performance!$E$23/Constraints!$AC$6 * Constraints!A785</f>
        <v>1.4566193680937756</v>
      </c>
      <c r="M785">
        <f>SIN($AC$9 * PI()/180) + 1/Performance!$AE$5</f>
        <v>0.24073077270730886</v>
      </c>
      <c r="N785">
        <f>SIN($AC$9 * PI()/180) + 1/Performance!$AE$8</f>
        <v>0.22738716112204788</v>
      </c>
      <c r="O785" s="60">
        <f>$AC$16 * (Performance!$E$12/Constraints!A785 + Performance!$E$23 * (Constraints!$AC$13/Constraints!$AC$17)^2 * Constraints!A785)</f>
        <v>2.3979174484967054E-4</v>
      </c>
      <c r="P785" t="e">
        <f t="shared" si="47"/>
        <v>#VALUE!</v>
      </c>
      <c r="Q785">
        <f t="shared" si="48"/>
        <v>156.29149958436471</v>
      </c>
      <c r="R785">
        <f t="shared" si="49"/>
        <v>172.94706663457737</v>
      </c>
      <c r="S785" t="e">
        <f xml:space="preserve"> 1.667/G785 + P785/A785 * Performance!$E$12 + Performance!$E$23 / Constraints!P785 * Constraints!A785</f>
        <v>#VALUE!</v>
      </c>
      <c r="T785">
        <f xml:space="preserve"> 1.667/H785 + Q785/A785 * Performance!$E$12 + Performance!$E$23 / Constraints!Q785 * Constraints!A785</f>
        <v>0.17423950811976471</v>
      </c>
      <c r="U785">
        <f xml:space="preserve"> 1.667/I785 + R785/A785 * Performance!$E$12 + Performance!$E$23 / Constraints!R785 * Constraints!A785</f>
        <v>0.16309593960332663</v>
      </c>
    </row>
    <row r="786" spans="1:21" x14ac:dyDescent="0.3">
      <c r="A786" s="51">
        <v>392</v>
      </c>
      <c r="B786" s="50">
        <f>$V$4*Performance!$E$12*(1/A786)+Performance!$E$23*(1/Constraints!$V$4)*Constraints!A786</f>
        <v>8.7976476884842308E-2</v>
      </c>
      <c r="C786" s="50">
        <f>$V$5*Performance!$E$12*(1/A786)+Performance!$E$23*(1/Constraints!$V$5)*Constraints!A786</f>
        <v>0.12304544633843512</v>
      </c>
      <c r="D786" s="52">
        <f t="shared" si="46"/>
        <v>0.46204699843190794</v>
      </c>
      <c r="E786" s="52">
        <f>$V$4*Performance!$E$12*(1/A786)+Performance!$E$23*(1/Constraints!$V$9)*Constraints!A786</f>
        <v>8.6206142098542854E-2</v>
      </c>
      <c r="F786" s="52">
        <f xml:space="preserve"> 1.21 / (9.81 * Constraints!$N$7 * Performance!$E$15 * Constraints!$N$5 ) * Constraints!A786 + 0.605 /Performance!$E$15 * (Performance!$E$16  - Constraints!$N$6 * Performance!$E$14) + Constraints!$N$6</f>
        <v>0.4618293919095513</v>
      </c>
      <c r="G786" s="54" t="s">
        <v>198</v>
      </c>
      <c r="H786" s="55">
        <f>SQRT(2/$V$3 * A786 * SQRT(Performance!$E$23 / (3 * Performance!$E$12)))</f>
        <v>24.413121787620529</v>
      </c>
      <c r="I786" s="55">
        <f>SQRT(2/$V$3 * A786 * (SQRT(Performance!$E$23)/(SQRT(3*Performance!$E$12 + 4* Performance!$E$23 * Performance!$E$11^2) - SQRT(Performance!$E$23)*Performance!$E$11)))</f>
        <v>25.681018206397138</v>
      </c>
      <c r="J786" t="e">
        <f xml:space="preserve"> $AC$3/G786 + $AC$6/A786 * Performance!$E$12 + Performance!$E$23/Constraints!$AC$6 * Constraints!A786</f>
        <v>#VALUE!</v>
      </c>
      <c r="K786">
        <f xml:space="preserve"> $AC$3/H786 + $AC$6/A786 * Performance!$E$12 + Performance!$E$23/Constraints!$AC$6 * Constraints!A786</f>
        <v>1.4683716668318951</v>
      </c>
      <c r="L786">
        <f xml:space="preserve"> $AC$3/I786 + $AC$6/A786 * Performance!$E$12 + Performance!$E$23/Constraints!$AC$6 * Constraints!A786</f>
        <v>1.4580983204553444</v>
      </c>
      <c r="M786">
        <f>SIN($AC$9 * PI()/180) + 1/Performance!$AE$5</f>
        <v>0.24073077270730886</v>
      </c>
      <c r="N786">
        <f>SIN($AC$9 * PI()/180) + 1/Performance!$AE$8</f>
        <v>0.22738716112204788</v>
      </c>
      <c r="O786" s="60">
        <f>$AC$16 * (Performance!$E$12/Constraints!A786 + Performance!$E$23 * (Constraints!$AC$13/Constraints!$AC$17)^2 * Constraints!A786)</f>
        <v>2.3993777052198581E-4</v>
      </c>
      <c r="P786" t="e">
        <f t="shared" si="47"/>
        <v>#VALUE!</v>
      </c>
      <c r="Q786">
        <f t="shared" si="48"/>
        <v>156.49110558638819</v>
      </c>
      <c r="R786">
        <f t="shared" si="49"/>
        <v>173.16794411431505</v>
      </c>
      <c r="S786" t="e">
        <f xml:space="preserve"> 1.667/G786 + P786/A786 * Performance!$E$12 + Performance!$E$23 / Constraints!P786 * Constraints!A786</f>
        <v>#VALUE!</v>
      </c>
      <c r="T786">
        <f xml:space="preserve"> 1.667/H786 + Q786/A786 * Performance!$E$12 + Performance!$E$23 / Constraints!Q786 * Constraints!A786</f>
        <v>0.17419591861577222</v>
      </c>
      <c r="U786">
        <f xml:space="preserve"> 1.667/I786 + R786/A786 * Performance!$E$12 + Performance!$E$23 / Constraints!R786 * Constraints!A786</f>
        <v>0.1630545021548159</v>
      </c>
    </row>
    <row r="787" spans="1:21" x14ac:dyDescent="0.3">
      <c r="A787" s="51">
        <v>392.5</v>
      </c>
      <c r="B787" s="50">
        <f>$V$4*Performance!$E$12*(1/A787)+Performance!$E$23*(1/Constraints!$V$4)*Constraints!A787</f>
        <v>8.7903993686843332E-2</v>
      </c>
      <c r="C787" s="50">
        <f>$V$5*Performance!$E$12*(1/A787)+Performance!$E$23*(1/Constraints!$V$5)*Constraints!A787</f>
        <v>0.12291406008625282</v>
      </c>
      <c r="D787" s="52">
        <f t="shared" si="46"/>
        <v>0.46231928414419354</v>
      </c>
      <c r="E787" s="52">
        <f>$V$4*Performance!$E$12*(1/A787)+Performance!$E$23*(1/Constraints!$V$9)*Constraints!A787</f>
        <v>8.6131400820459322E-2</v>
      </c>
      <c r="F787" s="52">
        <f xml:space="preserve"> 1.21 / (9.81 * Constraints!$N$7 * Performance!$E$15 * Constraints!$N$5 ) * Constraints!A787 + 0.605 /Performance!$E$15 * (Performance!$E$16  - Constraints!$N$6 * Performance!$E$14) + Constraints!$N$6</f>
        <v>0.46210140006249711</v>
      </c>
      <c r="G787" s="54" t="s">
        <v>198</v>
      </c>
      <c r="H787" s="55">
        <f>SQRT(2/$V$3 * A787 * SQRT(Performance!$E$23 / (3 * Performance!$E$12)))</f>
        <v>24.428686418967448</v>
      </c>
      <c r="I787" s="55">
        <f>SQRT(2/$V$3 * A787 * (SQRT(Performance!$E$23)/(SQRT(3*Performance!$E$12 + 4* Performance!$E$23 * Performance!$E$11^2) - SQRT(Performance!$E$23)*Performance!$E$11)))</f>
        <v>25.697391187471553</v>
      </c>
      <c r="J787" t="e">
        <f xml:space="preserve"> $AC$3/G787 + $AC$6/A787 * Performance!$E$12 + Performance!$E$23/Constraints!$AC$6 * Constraints!A787</f>
        <v>#VALUE!</v>
      </c>
      <c r="K787">
        <f xml:space="preserve"> $AC$3/H787 + $AC$6/A787 * Performance!$E$12 + Performance!$E$23/Constraints!$AC$6 * Constraints!A787</f>
        <v>1.4698443178509588</v>
      </c>
      <c r="L787">
        <f xml:space="preserve"> $AC$3/I787 + $AC$6/A787 * Performance!$E$12 + Performance!$E$23/Constraints!$AC$6 * Constraints!A787</f>
        <v>1.4595775170923881</v>
      </c>
      <c r="M787">
        <f>SIN($AC$9 * PI()/180) + 1/Performance!$AE$5</f>
        <v>0.24073077270730886</v>
      </c>
      <c r="N787">
        <f>SIN($AC$9 * PI()/180) + 1/Performance!$AE$8</f>
        <v>0.22738716112204788</v>
      </c>
      <c r="O787" s="60">
        <f>$AC$16 * (Performance!$E$12/Constraints!A787 + Performance!$E$23 * (Constraints!$AC$13/Constraints!$AC$17)^2 * Constraints!A787)</f>
        <v>2.4008400016821104E-4</v>
      </c>
      <c r="P787" t="e">
        <f t="shared" si="47"/>
        <v>#VALUE!</v>
      </c>
      <c r="Q787">
        <f t="shared" si="48"/>
        <v>156.69071158841163</v>
      </c>
      <c r="R787">
        <f t="shared" si="49"/>
        <v>173.38882159405267</v>
      </c>
      <c r="S787" t="e">
        <f xml:space="preserve"> 1.667/G787 + P787/A787 * Performance!$E$12 + Performance!$E$23 / Constraints!P787 * Constraints!A787</f>
        <v>#VALUE!</v>
      </c>
      <c r="T787">
        <f xml:space="preserve"> 1.667/H787 + Q787/A787 * Performance!$E$12 + Performance!$E$23 / Constraints!Q787 * Constraints!A787</f>
        <v>0.17415241243037427</v>
      </c>
      <c r="U787">
        <f xml:space="preserve"> 1.667/I787 + R787/A787 * Performance!$E$12 + Performance!$E$23 / Constraints!R787 * Constraints!A787</f>
        <v>0.16301314391138108</v>
      </c>
    </row>
    <row r="788" spans="1:21" x14ac:dyDescent="0.3">
      <c r="A788" s="51">
        <v>393</v>
      </c>
      <c r="B788" s="50">
        <f>$V$4*Performance!$E$12*(1/A788)+Performance!$E$23*(1/Constraints!$V$4)*Constraints!A788</f>
        <v>8.7831745323926957E-2</v>
      </c>
      <c r="C788" s="50">
        <f>$V$5*Performance!$E$12*(1/A788)+Performance!$E$23*(1/Constraints!$V$5)*Constraints!A788</f>
        <v>0.12278304043484224</v>
      </c>
      <c r="D788" s="52">
        <f t="shared" si="46"/>
        <v>0.46259156985647909</v>
      </c>
      <c r="E788" s="52">
        <f>$V$4*Performance!$E$12*(1/A788)+Performance!$E$23*(1/Constraints!$V$9)*Constraints!A788</f>
        <v>8.6056894377458379E-2</v>
      </c>
      <c r="F788" s="52">
        <f xml:space="preserve"> 1.21 / (9.81 * Constraints!$N$7 * Performance!$E$15 * Constraints!$N$5 ) * Constraints!A788 + 0.605 /Performance!$E$15 * (Performance!$E$16  - Constraints!$N$6 * Performance!$E$14) + Constraints!$N$6</f>
        <v>0.46237340821544304</v>
      </c>
      <c r="G788" s="54" t="s">
        <v>198</v>
      </c>
      <c r="H788" s="55">
        <f>SQRT(2/$V$3 * A788 * SQRT(Performance!$E$23 / (3 * Performance!$E$12)))</f>
        <v>24.444241139689677</v>
      </c>
      <c r="I788" s="55">
        <f>SQRT(2/$V$3 * A788 * (SQRT(Performance!$E$23)/(SQRT(3*Performance!$E$12 + 4* Performance!$E$23 * Performance!$E$11^2) - SQRT(Performance!$E$23)*Performance!$E$11)))</f>
        <v>25.7137537432126</v>
      </c>
      <c r="J788" t="e">
        <f xml:space="preserve"> $AC$3/G788 + $AC$6/A788 * Performance!$E$12 + Performance!$E$23/Constraints!$AC$6 * Constraints!A788</f>
        <v>#VALUE!</v>
      </c>
      <c r="K788">
        <f xml:space="preserve"> $AC$3/H788 + $AC$6/A788 * Performance!$E$12 + Performance!$E$23/Constraints!$AC$6 * Constraints!A788</f>
        <v>1.4713172248620603</v>
      </c>
      <c r="L788">
        <f xml:space="preserve"> $AC$3/I788 + $AC$6/A788 * Performance!$E$12 + Performance!$E$23/Constraints!$AC$6 * Constraints!A788</f>
        <v>1.4610569572258556</v>
      </c>
      <c r="M788">
        <f>SIN($AC$9 * PI()/180) + 1/Performance!$AE$5</f>
        <v>0.24073077270730886</v>
      </c>
      <c r="N788">
        <f>SIN($AC$9 * PI()/180) + 1/Performance!$AE$8</f>
        <v>0.22738716112204788</v>
      </c>
      <c r="O788" s="60">
        <f>$AC$16 * (Performance!$E$12/Constraints!A788 + Performance!$E$23 * (Constraints!$AC$13/Constraints!$AC$17)^2 * Constraints!A788)</f>
        <v>2.4023043300982005E-4</v>
      </c>
      <c r="P788" t="e">
        <f t="shared" si="47"/>
        <v>#VALUE!</v>
      </c>
      <c r="Q788">
        <f t="shared" si="48"/>
        <v>156.8903175904351</v>
      </c>
      <c r="R788">
        <f t="shared" si="49"/>
        <v>173.60969907379032</v>
      </c>
      <c r="S788" t="e">
        <f xml:space="preserve"> 1.667/G788 + P788/A788 * Performance!$E$12 + Performance!$E$23 / Constraints!P788 * Constraints!A788</f>
        <v>#VALUE!</v>
      </c>
      <c r="T788">
        <f xml:space="preserve"> 1.667/H788 + Q788/A788 * Performance!$E$12 + Performance!$E$23 / Constraints!Q788 * Constraints!A788</f>
        <v>0.17410898929847823</v>
      </c>
      <c r="U788">
        <f xml:space="preserve"> 1.667/I788 + R788/A788 * Performance!$E$12 + Performance!$E$23 / Constraints!R788 * Constraints!A788</f>
        <v>0.16297186462101731</v>
      </c>
    </row>
    <row r="789" spans="1:21" x14ac:dyDescent="0.3">
      <c r="A789" s="51">
        <v>393.5</v>
      </c>
      <c r="B789" s="50">
        <f>$V$4*Performance!$E$12*(1/A789)+Performance!$E$23*(1/Constraints!$V$4)*Constraints!A789</f>
        <v>8.7759730900914934E-2</v>
      </c>
      <c r="C789" s="50">
        <f>$V$5*Performance!$E$12*(1/A789)+Performance!$E$23*(1/Constraints!$V$5)*Constraints!A789</f>
        <v>0.1226523859867417</v>
      </c>
      <c r="D789" s="52">
        <f t="shared" si="46"/>
        <v>0.46286385556876475</v>
      </c>
      <c r="E789" s="52">
        <f>$V$4*Performance!$E$12*(1/A789)+Performance!$E$23*(1/Constraints!$V$9)*Constraints!A789</f>
        <v>8.59826218743618E-2</v>
      </c>
      <c r="F789" s="52">
        <f xml:space="preserve"> 1.21 / (9.81 * Constraints!$N$7 * Performance!$E$15 * Constraints!$N$5 ) * Constraints!A789 + 0.605 /Performance!$E$15 * (Performance!$E$16  - Constraints!$N$6 * Performance!$E$14) + Constraints!$N$6</f>
        <v>0.46264541636838885</v>
      </c>
      <c r="G789" s="54" t="s">
        <v>198</v>
      </c>
      <c r="H789" s="55">
        <f>SQRT(2/$V$3 * A789 * SQRT(Performance!$E$23 / (3 * Performance!$E$12)))</f>
        <v>24.459785968694611</v>
      </c>
      <c r="I789" s="55">
        <f>SQRT(2/$V$3 * A789 * (SQRT(Performance!$E$23)/(SQRT(3*Performance!$E$12 + 4* Performance!$E$23 * Performance!$E$11^2) - SQRT(Performance!$E$23)*Performance!$E$11)))</f>
        <v>25.730105893509638</v>
      </c>
      <c r="J789" t="e">
        <f xml:space="preserve"> $AC$3/G789 + $AC$6/A789 * Performance!$E$12 + Performance!$E$23/Constraints!$AC$6 * Constraints!A789</f>
        <v>#VALUE!</v>
      </c>
      <c r="K789">
        <f xml:space="preserve"> $AC$3/H789 + $AC$6/A789 * Performance!$E$12 + Performance!$E$23/Constraints!$AC$6 * Constraints!A789</f>
        <v>1.4727903870499146</v>
      </c>
      <c r="L789">
        <f xml:space="preserve"> $AC$3/I789 + $AC$6/A789 * Performance!$E$12 + Performance!$E$23/Constraints!$AC$6 * Constraints!A789</f>
        <v>1.4625366400801685</v>
      </c>
      <c r="M789">
        <f>SIN($AC$9 * PI()/180) + 1/Performance!$AE$5</f>
        <v>0.24073077270730886</v>
      </c>
      <c r="N789">
        <f>SIN($AC$9 * PI()/180) + 1/Performance!$AE$8</f>
        <v>0.22738716112204788</v>
      </c>
      <c r="O789" s="60">
        <f>$AC$16 * (Performance!$E$12/Constraints!A789 + Performance!$E$23 * (Constraints!$AC$13/Constraints!$AC$17)^2 * Constraints!A789)</f>
        <v>2.4037706827224317E-4</v>
      </c>
      <c r="P789" t="e">
        <f t="shared" si="47"/>
        <v>#VALUE!</v>
      </c>
      <c r="Q789">
        <f t="shared" si="48"/>
        <v>157.08992359245852</v>
      </c>
      <c r="R789">
        <f t="shared" si="49"/>
        <v>173.83057655352798</v>
      </c>
      <c r="S789" t="e">
        <f xml:space="preserve"> 1.667/G789 + P789/A789 * Performance!$E$12 + Performance!$E$23 / Constraints!P789 * Constraints!A789</f>
        <v>#VALUE!</v>
      </c>
      <c r="T789">
        <f xml:space="preserve"> 1.667/H789 + Q789/A789 * Performance!$E$12 + Performance!$E$23 / Constraints!Q789 * Constraints!A789</f>
        <v>0.17406564895617077</v>
      </c>
      <c r="U789">
        <f xml:space="preserve"> 1.667/I789 + R789/A789 * Performance!$E$12 + Performance!$E$23 / Constraints!R789 * Constraints!A789</f>
        <v>0.16293066403284107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D24"/>
  <sheetViews>
    <sheetView workbookViewId="0">
      <selection activeCell="C20" sqref="C20"/>
    </sheetView>
  </sheetViews>
  <sheetFormatPr defaultRowHeight="16.5" x14ac:dyDescent="0.3"/>
  <cols>
    <col min="2" max="2" width="23.5" customWidth="1"/>
    <col min="3" max="3" width="7.25" customWidth="1"/>
    <col min="4" max="4" width="6.625" customWidth="1"/>
  </cols>
  <sheetData>
    <row r="3" spans="2:4" x14ac:dyDescent="0.3">
      <c r="B3" t="s">
        <v>0</v>
      </c>
    </row>
    <row r="5" spans="2:4" x14ac:dyDescent="0.3">
      <c r="B5" t="s">
        <v>1</v>
      </c>
      <c r="C5">
        <v>10.71</v>
      </c>
      <c r="D5" t="s">
        <v>2</v>
      </c>
    </row>
    <row r="6" spans="2:4" x14ac:dyDescent="0.3">
      <c r="B6" t="s">
        <v>3</v>
      </c>
      <c r="C6">
        <v>9.51</v>
      </c>
      <c r="D6" t="s">
        <v>4</v>
      </c>
    </row>
    <row r="7" spans="2:4" x14ac:dyDescent="0.3">
      <c r="B7" t="s">
        <v>5</v>
      </c>
      <c r="C7">
        <v>12.04</v>
      </c>
      <c r="D7" t="s">
        <v>7</v>
      </c>
    </row>
    <row r="8" spans="2:4" x14ac:dyDescent="0.3">
      <c r="B8" t="s">
        <v>6</v>
      </c>
      <c r="C8">
        <v>428</v>
      </c>
      <c r="D8" t="s">
        <v>8</v>
      </c>
    </row>
    <row r="9" spans="2:4" x14ac:dyDescent="0.3">
      <c r="B9" t="s">
        <v>9</v>
      </c>
      <c r="C9">
        <v>600</v>
      </c>
      <c r="D9" t="s">
        <v>8</v>
      </c>
    </row>
    <row r="10" spans="2:4" x14ac:dyDescent="0.3">
      <c r="B10" t="s">
        <v>12</v>
      </c>
      <c r="C10">
        <v>172</v>
      </c>
      <c r="D10" t="s">
        <v>8</v>
      </c>
    </row>
    <row r="11" spans="2:4" x14ac:dyDescent="0.3">
      <c r="B11" t="s">
        <v>15</v>
      </c>
      <c r="C11" t="s">
        <v>16</v>
      </c>
      <c r="D11" t="s">
        <v>17</v>
      </c>
    </row>
    <row r="12" spans="2:4" x14ac:dyDescent="0.3">
      <c r="B12" t="s">
        <v>27</v>
      </c>
      <c r="C12">
        <f>9.8*C9/C6</f>
        <v>618.29652996845425</v>
      </c>
    </row>
    <row r="13" spans="2:4" x14ac:dyDescent="0.3">
      <c r="B13" t="s">
        <v>13</v>
      </c>
      <c r="C13">
        <v>57.6</v>
      </c>
      <c r="D13" t="s">
        <v>14</v>
      </c>
    </row>
    <row r="14" spans="2:4" x14ac:dyDescent="0.3">
      <c r="B14" t="s">
        <v>10</v>
      </c>
      <c r="C14">
        <v>24.8</v>
      </c>
      <c r="D14" t="s">
        <v>11</v>
      </c>
    </row>
    <row r="15" spans="2:4" x14ac:dyDescent="0.3">
      <c r="B15" t="s">
        <v>18</v>
      </c>
      <c r="C15">
        <v>50</v>
      </c>
      <c r="D15" t="s">
        <v>19</v>
      </c>
    </row>
    <row r="16" spans="2:4" x14ac:dyDescent="0.3">
      <c r="B16" t="s">
        <v>26</v>
      </c>
      <c r="C16">
        <v>22.7</v>
      </c>
      <c r="D16" t="s">
        <v>8</v>
      </c>
    </row>
    <row r="18" spans="2:4" x14ac:dyDescent="0.3">
      <c r="B18" t="s">
        <v>21</v>
      </c>
      <c r="C18">
        <v>15</v>
      </c>
    </row>
    <row r="19" spans="2:4" x14ac:dyDescent="0.3">
      <c r="B19" t="s">
        <v>20</v>
      </c>
      <c r="C19">
        <v>1.875</v>
      </c>
    </row>
    <row r="22" spans="2:4" x14ac:dyDescent="0.3">
      <c r="B22" t="s">
        <v>23</v>
      </c>
      <c r="C22">
        <v>90</v>
      </c>
      <c r="D22" t="s">
        <v>22</v>
      </c>
    </row>
    <row r="23" spans="2:4" x14ac:dyDescent="0.3">
      <c r="B23" t="s">
        <v>24</v>
      </c>
      <c r="C23">
        <v>45</v>
      </c>
      <c r="D23" t="s">
        <v>22</v>
      </c>
    </row>
    <row r="24" spans="2:4" x14ac:dyDescent="0.3">
      <c r="B24" s="1" t="s">
        <v>25</v>
      </c>
      <c r="C24" s="1">
        <v>51</v>
      </c>
      <c r="D24" t="s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Performance</vt:lpstr>
      <vt:lpstr>Constraints</vt:lpstr>
      <vt:lpstr>Velis Electro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 Sundström</dc:creator>
  <cp:lastModifiedBy>Paloma Pizarro Torrico</cp:lastModifiedBy>
  <dcterms:created xsi:type="dcterms:W3CDTF">2015-06-05T18:17:20Z</dcterms:created>
  <dcterms:modified xsi:type="dcterms:W3CDTF">2023-09-20T16:11:26Z</dcterms:modified>
</cp:coreProperties>
</file>